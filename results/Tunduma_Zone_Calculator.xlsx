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Levels" sheetId="2" state="visible" r:id="rId4"/>
    <sheet name="Summary" sheetId="3" state="visible" r:id="rId5"/>
    <sheet name="Demands" sheetId="4" state="visible" r:id="rId6"/>
    <sheet name="Global" sheetId="5" state="visible" r:id="rId7"/>
    <sheet name="Z1 River-Intake" sheetId="6" state="visible" r:id="rId8"/>
    <sheet name="Z2 Intake-Grit" sheetId="7" state="visible" r:id="rId9"/>
    <sheet name="Z3 Grit-WTP" sheetId="8" state="visible" r:id="rId10"/>
    <sheet name="Z4 WTP-Ikana" sheetId="9" state="visible" r:id="rId11"/>
    <sheet name="Z5 Ikana-Nkangamo" sheetId="10" state="visible" r:id="rId12"/>
    <sheet name="Z6 Nkangamo-Uhuru" sheetId="11" state="visible" r:id="rId13"/>
    <sheet name="Z7 Uhuru-Chapwa" sheetId="12" state="visible" r:id="rId14"/>
    <sheet name="Storage" sheetId="13" state="visible" r:id="rId15"/>
    <sheet name="Profile" sheetId="14" state="visible" r:id="rId16"/>
  </sheets>
  <definedNames>
    <definedName function="false" hidden="true" localSheetId="13" name="_xlnm._FilterDatabase" vbProcedure="false">Profile!$A$4:$L$2360</definedName>
    <definedName function="false" hidden="false" name="bar_per_m" vbProcedure="false">Global!$B$15</definedName>
    <definedName function="false" hidden="false" name="cover" vbProcedure="false">Global!$B$9</definedName>
    <definedName function="false" hidden="false" name="C_default" vbProcedure="false">Global!$B$16</definedName>
    <definedName function="false" hidden="false" name="fcv_limit" vbProcedure="false">Global!$B$17</definedName>
    <definedName function="false" hidden="false" name="g" vbProcedure="false">Global!$B$5</definedName>
    <definedName function="false" hidden="false" name="h_res" vbProcedure="false">Global!$B$8</definedName>
    <definedName function="false" hidden="false" name="h_station" vbProcedure="false">Global!$B$7</definedName>
    <definedName function="false" hidden="false" name="k_minor" vbProcedure="false">Global!$B$6</definedName>
    <definedName function="false" hidden="false" name="Motor_list" vbProcedure="false">Global!$B$28:$B$77</definedName>
    <definedName function="false" hidden="false" name="motor_margin" vbProcedure="false">Global!$B$13</definedName>
    <definedName function="false" hidden="false" name="PN_list" vbProcedure="false">Global!$B$20:$B$25</definedName>
    <definedName function="false" hidden="false" name="p_min" vbProcedure="false">Global!$B$10</definedName>
    <definedName function="false" hidden="false" name="p_min_j" vbProcedure="false">Global!$B$11</definedName>
    <definedName function="false" hidden="false" name="tariff" vbProcedure="false">Global!$B$14</definedName>
    <definedName function="false" hidden="false" name="wave" vbProcedure="false">Global!$B$12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6" authorId="0">
      <text>
        <r>
          <rPr>
            <sz val="10"/>
            <rFont val="Arial"/>
            <family val="2"/>
          </rPr>
          <t xml:space="preserve">Intake: water enters below the surface, so the sump MINIMUM level is what the river must hold.</t>
        </r>
      </text>
    </comment>
    <comment ref="L7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8" authorId="0">
      <text>
        <r>
          <rPr>
            <sz val="10"/>
            <rFont val="Arial"/>
            <family val="2"/>
          </rPr>
          <t xml:space="preserve">WTP: raw water must reach the aerator inlet (column H); min/max are the clear-water tank.</t>
        </r>
      </text>
    </comment>
    <comment ref="L9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10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11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12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13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14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15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  <comment ref="L16" authorId="0">
      <text>
        <r>
          <rPr>
            <sz val="10"/>
            <rFont val="Arial"/>
            <family val="2"/>
          </rPr>
          <t xml:space="preserve">Water must reach the inlet; if the inlet is below the maximum level (submerged) the maximum level counts.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6" authorId="0">
      <text>
        <r>
          <rPr>
            <sz val="10"/>
            <rFont val="Arial"/>
            <family val="2"/>
          </rPr>
          <t xml:space="preserve">Value from run_analysis.py (Python model) with the starting inputs. Fixed number, for checking.</t>
        </r>
      </text>
    </comment>
    <comment ref="P7" authorId="0">
      <text>
        <r>
          <rPr>
            <sz val="10"/>
            <rFont val="Arial"/>
            <family val="2"/>
          </rPr>
          <t xml:space="preserve">Value from run_analysis.py (Python model) with the starting inputs. Fixed number, for checking.</t>
        </r>
      </text>
    </comment>
    <comment ref="P8" authorId="0">
      <text>
        <r>
          <rPr>
            <sz val="10"/>
            <rFont val="Arial"/>
            <family val="2"/>
          </rPr>
          <t xml:space="preserve">Value from run_analysis.py (Python model) with the starting inputs. Fixed number, for checking.</t>
        </r>
      </text>
    </comment>
    <comment ref="P9" authorId="0">
      <text>
        <r>
          <rPr>
            <sz val="10"/>
            <rFont val="Arial"/>
            <family val="2"/>
          </rPr>
          <t xml:space="preserve">Value from run_analysis.py (Python model) with the starting inputs. Fixed number, for checking.</t>
        </r>
      </text>
    </comment>
    <comment ref="P10" authorId="0">
      <text>
        <r>
          <rPr>
            <sz val="10"/>
            <rFont val="Arial"/>
            <family val="2"/>
          </rPr>
          <t xml:space="preserve">Value from run_analysis.py (Python model) with the starting inputs. Fixed number, for checking.</t>
        </r>
      </text>
    </comment>
    <comment ref="P11" authorId="0">
      <text>
        <r>
          <rPr>
            <sz val="10"/>
            <rFont val="Arial"/>
            <family val="2"/>
          </rPr>
          <t xml:space="preserve">Value from run_analysis.py (Python model) with the starting inputs. Fixed number, for checking.</t>
        </r>
      </text>
    </comment>
    <comment ref="P12" authorId="0">
      <text>
        <r>
          <rPr>
            <sz val="10"/>
            <rFont val="Arial"/>
            <family val="2"/>
          </rPr>
          <t xml:space="preserve">Value from run_analysis.py (Python model) with the starting inputs. Fixed number, for checking.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G12" authorId="0">
      <text>
        <r>
          <rPr>
            <sz val="10"/>
            <rFont val="Arial"/>
            <family val="2"/>
          </rPr>
          <t xml:space="preserve">Abstraction pipe STEEL DN600-PN10, L = 100 m | ER length 100 m | model length measured along the surveyed slope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8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G18" authorId="0">
      <text>
        <r>
          <rPr>
            <sz val="10"/>
            <rFont val="Arial"/>
            <family val="2"/>
          </rPr>
          <t xml:space="preserve">ASSUMED short delivery pipe low-lift PS -&gt; grit tank | model length measured along the surveyed slope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8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G18" authorId="0">
      <text>
        <r>
          <rPr>
            <sz val="10"/>
            <rFont val="Arial"/>
            <family val="2"/>
          </rPr>
          <t xml:space="preserve">Raw water pipe STEEL DN600-PN10, L = 1,177 m, V = 0.97 m/s | ER length 1,177 m | model length measured along the surveyed slope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8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G18" authorId="0">
      <text>
        <r>
          <rPr>
            <sz val="10"/>
            <rFont val="Arial"/>
            <family val="2"/>
          </rPr>
          <t xml:space="preserve">Rising main STEEL DN600 PN10/16/25/30/40, L = 20,994 m, V = 0.9 m/s | ER length 20,994 m | model length measured along the surveyed slope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G12" authorId="0">
      <text>
        <r>
          <rPr>
            <sz val="10"/>
            <rFont val="Arial"/>
            <family val="2"/>
          </rPr>
          <t xml:space="preserve">Gravity main STEEL DN600 PN10/16/25, L = 38,504 m, V = 0.82 m/s | ER length 38,504 m | model length measured along the surveyed slope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8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F19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F20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F21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F22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F23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F24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G18" authorId="0">
      <text>
        <r>
          <rPr>
            <sz val="10"/>
            <rFont val="Arial"/>
            <family val="2"/>
          </rPr>
          <t xml:space="preserve">Rising main STEEL DN600 PN10/16/25, L = 21,673 m (BPS -&gt; Uhuru Park), V = 0.9 m/s | ER length 21,673 m | model length measured along the surveyed slope</t>
        </r>
      </text>
    </comment>
    <comment ref="G19" authorId="0">
      <text>
        <r>
          <rPr>
            <sz val="10"/>
            <rFont val="Arial"/>
            <family val="2"/>
          </rPr>
          <t xml:space="preserve"> | model length measured along the surveyed slope</t>
        </r>
      </text>
    </comment>
    <comment ref="G20" authorId="0">
      <text>
        <r>
          <rPr>
            <sz val="10"/>
            <rFont val="Arial"/>
            <family val="2"/>
          </rPr>
          <t xml:space="preserve"> | model length measured along the surveyed slope</t>
        </r>
      </text>
    </comment>
    <comment ref="G21" authorId="0">
      <text>
        <r>
          <rPr>
            <sz val="10"/>
            <rFont val="Arial"/>
            <family val="2"/>
          </rPr>
          <t xml:space="preserve">ASSUMED 50 m from J-003N to the Uhuru Park GBR inlet | model length measured along the surveyed slope</t>
        </r>
      </text>
    </comment>
    <comment ref="G22" authorId="0">
      <text>
        <r>
          <rPr>
            <sz val="10"/>
            <rFont val="Arial"/>
            <family val="2"/>
          </rPr>
          <t xml:space="preserve">STEEL DN100-PN10, L = 38 m (schematic label DN80) | ER length 38 m | model length measured along the surveyed slope</t>
        </r>
      </text>
    </comment>
    <comment ref="G23" authorId="0">
      <text>
        <r>
          <rPr>
            <sz val="10"/>
            <rFont val="Arial"/>
            <family val="2"/>
          </rPr>
          <t xml:space="preserve">STEEL DN150-PN16, L = 40 m | ER length 40 m | model length measured along the surveyed slope</t>
        </r>
      </text>
    </comment>
    <comment ref="G24" authorId="0">
      <text>
        <r>
          <rPr>
            <sz val="10"/>
            <rFont val="Arial"/>
            <family val="2"/>
          </rPr>
          <t xml:space="preserve">STEEL DN150-PN10, L = 4,285 m | ER length 4,285 m | model length measured along the surveyed slope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F13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F14" authorId="0">
      <text>
        <r>
          <rPr>
            <sz val="10"/>
            <rFont val="Arial"/>
            <family val="2"/>
          </rPr>
          <t xml:space="preserve">Internal diameter. Defaults to DN; overwrite with the real ID (e.g. lined steel) if known.</t>
        </r>
      </text>
    </comment>
    <comment ref="G12" authorId="0">
      <text>
        <r>
          <rPr>
            <sz val="10"/>
            <rFont val="Arial"/>
            <family val="2"/>
          </rPr>
          <t xml:space="preserve">Gravity STEEL DN150-PN10, L = 1,555 m, Q = 1,244.2 m3/day | ER length 1,555 m | model length measured along the surveyed slope</t>
        </r>
      </text>
    </comment>
    <comment ref="G13" authorId="0">
      <text>
        <r>
          <rPr>
            <sz val="10"/>
            <rFont val="Arial"/>
            <family val="2"/>
          </rPr>
          <t xml:space="preserve">STEEL DN100-PN10, L = 494 m (route not surveyed - straight line) | ER length 494 m | model length measured along the surveyed slope</t>
        </r>
      </text>
    </comment>
    <comment ref="G14" authorId="0">
      <text>
        <r>
          <rPr>
            <sz val="10"/>
            <rFont val="Arial"/>
            <family val="2"/>
          </rPr>
          <t xml:space="preserve">STEEL DN100-PN25, L = 2,664 m | ER length 2,664 m | model length measured along the surveyed slope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Sump receives 24 h gravity flow and is emptied by the BPS pumps in these hours: it must hold the inflow during the pump-off period.</t>
        </r>
      </text>
    </comment>
  </commentList>
</comments>
</file>

<file path=xl/sharedStrings.xml><?xml version="1.0" encoding="utf-8"?>
<sst xmlns="http://schemas.openxmlformats.org/spreadsheetml/2006/main" count="8363" uniqueCount="415">
  <si>
    <t xml:space="preserve">Tunduma Water Supply – Zone Calculator</t>
  </si>
  <si>
    <t xml:space="preserve">Hydraulic analysis from the Momba River intake to the Tunduma tanks, split by zone. Every result is a live Excel formula.</t>
  </si>
  <si>
    <t xml:space="preserve">WHEN YOU RECEIVE THE REAL LEVELS – 4 STEPS</t>
  </si>
  <si>
    <t xml:space="preserve">Step 1 – sheet 'Levels'</t>
  </si>
  <si>
    <t xml:space="preserve">type ground, floor, MINIMUM and MAXIMUM water level, inlet level and capacity of every tank / sump / river. Read the 'Check' column: it must say OK.</t>
  </si>
  <si>
    <t xml:space="preserve">Step 2 – sheet 'Demands'</t>
  </si>
  <si>
    <t xml:space="preserve">type the daily demand of each tank and the WTP losses (if they changed).</t>
  </si>
  <si>
    <t xml:space="preserve">Step 3 – zone sheets Z1 … Z7</t>
  </si>
  <si>
    <t xml:space="preserve">only if pipes or pumps changed: DN, length, C, hours, number of pumps, efficiencies, ER duty (blue cells).</t>
  </si>
  <si>
    <t xml:space="preserve">Step 4 – sheet 'Summary'</t>
  </si>
  <si>
    <t xml:space="preserve">read the pump heads (at minimum and maximum suction level), gravity surplus, tank results and storage. Each zone sheet explains its result in section F.</t>
  </si>
  <si>
    <t xml:space="preserve">Optional – Python and PDFs</t>
  </si>
  <si>
    <t xml:space="preserve">run 'python levels_from_excel.py results/Tunduma_Zone_Calculator.xlsx' to copy the levels into tunduma_config.json, then 'python run_analysis.py' and the PDF scripts to regenerate every report with the same levels.</t>
  </si>
  <si>
    <t xml:space="preserve">COLOUR LEGEND</t>
  </si>
  <si>
    <t xml:space="preserve">Blue text, yellow fill</t>
  </si>
  <si>
    <t xml:space="preserve">input – edit these</t>
  </si>
  <si>
    <t xml:space="preserve">Black text</t>
  </si>
  <si>
    <t xml:space="preserve">formula – do not overwrite</t>
  </si>
  <si>
    <t xml:space="preserve">Green text</t>
  </si>
  <si>
    <t xml:space="preserve">link from another sheet</t>
  </si>
  <si>
    <t xml:space="preserve">Green fill, bold</t>
  </si>
  <si>
    <t xml:space="preserve">key result</t>
  </si>
  <si>
    <t xml:space="preserve">WHY MINIMUM AND MAXIMUM LEVELS MATTER</t>
  </si>
  <si>
    <t xml:space="preserve">Pumped zone, design case</t>
  </si>
  <si>
    <t xml:space="preserve">suction tank at its MINIMUM level → the pump must lift the most → TDH max (used to size pump and motor).</t>
  </si>
  <si>
    <t xml:space="preserve">Pumped zone, low-head case</t>
  </si>
  <si>
    <t xml:space="preserve">suction tank at its MAXIMUM level → least lift → TDH min (the pump must also run safely here: it gives more flow unless throttled / VFD).</t>
  </si>
  <si>
    <t xml:space="preserve">Gravity zone, design case</t>
  </si>
  <si>
    <t xml:space="preserve">supplying tank at its MINIMUM level → least energy available → must still reach every tank (surplus ≥ 0).</t>
  </si>
  <si>
    <t xml:space="preserve">Gravity zone, high case</t>
  </si>
  <si>
    <t xml:space="preserve">supplying tank at its MAXIMUM level → most energy → the valve must burn the biggest surplus; static pressure (pipe class) uses this level.</t>
  </si>
  <si>
    <t xml:space="preserve">Receiving tank</t>
  </si>
  <si>
    <t xml:space="preserve">water must arrive at the inlet level (or the maximum level if the inlet is lower / submerged) plus a small residual head.</t>
  </si>
  <si>
    <t xml:space="preserve">ZONES (split at every free water surface)</t>
  </si>
  <si>
    <t xml:space="preserve">Z1 River-Intake</t>
  </si>
  <si>
    <t xml:space="preserve">gravity: Momba River → intake sump (abstraction pipe)</t>
  </si>
  <si>
    <t xml:space="preserve">Z2 Intake-Grit</t>
  </si>
  <si>
    <t xml:space="preserve">pumped: low-lift pumps, intake sump → grit tank</t>
  </si>
  <si>
    <t xml:space="preserve">Z3 Grit-WTP</t>
  </si>
  <si>
    <t xml:space="preserve">pumped: high-lift pumps, grit tank → WTP inlet (raw-water main)</t>
  </si>
  <si>
    <t xml:space="preserve">Z4 WTP-Ikana</t>
  </si>
  <si>
    <t xml:space="preserve">pumped: WTP clear-water pumps → Ikana GBR (treated-water rising main)</t>
  </si>
  <si>
    <t xml:space="preserve">Z5 Ikana-Nkangamo</t>
  </si>
  <si>
    <t xml:space="preserve">gravity: Ikana GBR → Nkangamo BPS sump</t>
  </si>
  <si>
    <t xml:space="preserve">Z6 Nkangamo-Uhuru</t>
  </si>
  <si>
    <t xml:space="preserve">pumped: Nkangamo BPS → J-001N (ESR), J-002N (GSR01), J-003N (Ipito) → Uhuru Park GBR</t>
  </si>
  <si>
    <t xml:space="preserve">Z7 Uhuru-Chapwa</t>
  </si>
  <si>
    <t xml:space="preserve">gravity: Uhuru Park GBR → J-004N → Makambini GSR03 and Chapwa GSR04</t>
  </si>
  <si>
    <t xml:space="preserve">METHOD (Bernoulli / energy equation between two water surfaces)</t>
  </si>
  <si>
    <t xml:space="preserve">z1 + p1/ρg + V1²/2g + Hp = z2 + p2/ρg + V2²/2g + hL</t>
  </si>
  <si>
    <t xml:space="preserve">at tank surfaces p = 0 and V ≈ 0</t>
  </si>
  <si>
    <t xml:space="preserve">Pumped zone</t>
  </si>
  <si>
    <t xml:space="preserve">Hp = H_req − z1 ;  TDH = Hp + station losses</t>
  </si>
  <si>
    <t xml:space="preserve">Gravity zone</t>
  </si>
  <si>
    <t xml:space="preserve">surplus = z1 − H_req  (≥ 0 OK, burnt by an FCV/PRV; &lt; 0 short of head)</t>
  </si>
  <si>
    <t xml:space="preserve">H_req (head needed at zone start)</t>
  </si>
  <si>
    <t xml:space="preserve">largest of: each destination arrival level + residual + losses on the way, and each critical point crown + min. pressure + losses up to it</t>
  </si>
  <si>
    <t xml:space="preserve">Friction (Hazen-Williams)</t>
  </si>
  <si>
    <t xml:space="preserve">hf = 10.67 L Q^1.852 / (C^1.852 D^4.8704) ;  hL = hf × (1 + minor-loss factor)</t>
  </si>
  <si>
    <t xml:space="preserve">Pressure at a point</t>
  </si>
  <si>
    <t xml:space="preserve">p = HGL − pipe crown ;  working = max(p, static level − crown) ;  PN = smallest class ≥ working × 0.0981 bar/m</t>
  </si>
  <si>
    <t xml:space="preserve">Surge (Joukowsky)</t>
  </si>
  <si>
    <t xml:space="preserve">Δh = a V / g</t>
  </si>
  <si>
    <t xml:space="preserve">SOURCE OF THE STARTING VALUES</t>
  </si>
  <si>
    <t xml:space="preserve">Employer's Requirements</t>
  </si>
  <si>
    <t xml:space="preserve">flows, pipe sizes and lengths, pump duties, tank elevations and capacities.</t>
  </si>
  <si>
    <t xml:space="preserve">ASSUMED (to confirm)</t>
  </si>
  <si>
    <t xml:space="preserve">operating water levels, inlet levels, WTP inlet, C value, station losses, pipe cover – marked in 'Levels' column M and in cell notes.</t>
  </si>
  <si>
    <t xml:space="preserve">Check</t>
  </si>
  <si>
    <t xml:space="preserve">column 'Python model' on Summary = run_analysis.py with the starting inputs.</t>
  </si>
  <si>
    <t xml:space="preserve">Levels of every water surface – ENTER THE REAL LEVELS HERE</t>
  </si>
  <si>
    <t xml:space="preserve">Minimum and maximum water levels drive every zone. Blank inlet = the maximum level is used. All levels in m above datum (survey datum).</t>
  </si>
  <si>
    <t xml:space="preserve">ID</t>
  </si>
  <si>
    <t xml:space="preserve">Facility</t>
  </si>
  <si>
    <t xml:space="preserve">Role</t>
  </si>
  <si>
    <t xml:space="preserve">Ground level (m)</t>
  </si>
  <si>
    <t xml:space="preserve">Floor level (m)</t>
  </si>
  <si>
    <t xml:space="preserve">MINIMUM water level (m)</t>
  </si>
  <si>
    <t xml:space="preserve">MAXIMUM water level (m)</t>
  </si>
  <si>
    <t xml:space="preserve">Inlet level (m)</t>
  </si>
  <si>
    <t xml:space="preserve">Capacity (m³)</t>
  </si>
  <si>
    <t xml:space="preserve">Water depth (m)</t>
  </si>
  <si>
    <t xml:space="preserve">Plan area (m²)</t>
  </si>
  <si>
    <t xml:space="preserve">Arrival level used (m)</t>
  </si>
  <si>
    <t xml:space="preserve">Source / status</t>
  </si>
  <si>
    <t xml:space="preserve">MOMBA_RIVER</t>
  </si>
  <si>
    <t xml:space="preserve">Momba (Saisi) River</t>
  </si>
  <si>
    <t xml:space="preserve">source: minimum = dry-season low level, maximum = flood level</t>
  </si>
  <si>
    <t xml:space="preserve">levels ASSUMED – confirm</t>
  </si>
  <si>
    <t xml:space="preserve">MOMBA_INTAKE</t>
  </si>
  <si>
    <t xml:space="preserve">Momba Intake - low lift PS</t>
  </si>
  <si>
    <t xml:space="preserve">intake sump: minimum = pump start/stop low level (submergence)</t>
  </si>
  <si>
    <t xml:space="preserve">ER elevation/capacity; levels ASSUMED – confirm</t>
  </si>
  <si>
    <t xml:space="preserve">GRIT_TANK</t>
  </si>
  <si>
    <t xml:space="preserve">Grit tank - high lift PS</t>
  </si>
  <si>
    <t xml:space="preserve">grit tank = high-lift pump suction; receives low-lift flow</t>
  </si>
  <si>
    <t xml:space="preserve">MOMBA_WTP</t>
  </si>
  <si>
    <t xml:space="preserve">Momba WTP (20,000 m3/day)</t>
  </si>
  <si>
    <t xml:space="preserve">inlet = aerator inlet; min/max/capacity = CLEAR-WATER tank (pump suction)</t>
  </si>
  <si>
    <t xml:space="preserve">IKANA_GBR</t>
  </si>
  <si>
    <t xml:space="preserve">Ikana (Momba) GBR 3,000 m3</t>
  </si>
  <si>
    <t xml:space="preserve">receives WTP pumping; supplies gravity main</t>
  </si>
  <si>
    <t xml:space="preserve">NKANGAMO_BPS</t>
  </si>
  <si>
    <t xml:space="preserve">Nkangamo BPS</t>
  </si>
  <si>
    <t xml:space="preserve">BPS sump: receives gravity main; BPS pump suction</t>
  </si>
  <si>
    <t xml:space="preserve">UHURU_PARK_GBR</t>
  </si>
  <si>
    <t xml:space="preserve">Uhuru Park GBR 5,000 m3 (Tunduma)</t>
  </si>
  <si>
    <t xml:space="preserve">receives BPS main; supplies town + J-004N</t>
  </si>
  <si>
    <t xml:space="preserve">TUNDUMA_ESR</t>
  </si>
  <si>
    <t xml:space="preserve">Existing Tunduma ESR 120 m3</t>
  </si>
  <si>
    <t xml:space="preserve">existing elevated tank (from J-001N)</t>
  </si>
  <si>
    <t xml:space="preserve">UHURU_GSR01</t>
  </si>
  <si>
    <t xml:space="preserve">Existing Tunduma Uhuru GSR 01 500 m3</t>
  </si>
  <si>
    <t xml:space="preserve">existing tank (from J-002N)</t>
  </si>
  <si>
    <t xml:space="preserve">IPITO_GSR02</t>
  </si>
  <si>
    <t xml:space="preserve">Existing Tunduma Ipito GSR 02</t>
  </si>
  <si>
    <t xml:space="preserve">existing tank (from J-003N)</t>
  </si>
  <si>
    <t xml:space="preserve">MAKAMBINI_GSR03</t>
  </si>
  <si>
    <t xml:space="preserve">Existing Tunduma Makambini GSR 03</t>
  </si>
  <si>
    <t xml:space="preserve">existing tank (from J-004N, gravity)</t>
  </si>
  <si>
    <t xml:space="preserve">ER</t>
  </si>
  <si>
    <t xml:space="preserve">CHAPWA_GSR04</t>
  </si>
  <si>
    <t xml:space="preserve">Existing Tunduma Chapwa GSR 04</t>
  </si>
  <si>
    <t xml:space="preserve">Notes</t>
  </si>
  <si>
    <t xml:space="preserve">MINIMUM level = lowest operating level (pump cut-out / bottom water level, BWL). MAXIMUM level = top water level (TWL, overflow level).</t>
  </si>
  <si>
    <t xml:space="preserve">Floor and capacity are used for the depth/area check and the Storage sheet; they do not change the hydraulics.</t>
  </si>
  <si>
    <t xml:space="preserve">If the real inlet is a free fall above the tank, enter its level in 'Inlet level'; if it enters from below, leave it blank.</t>
  </si>
  <si>
    <t xml:space="preserve">After typing new levels, look at Summary – every zone, tank and pressure check updates.</t>
  </si>
  <si>
    <t xml:space="preserve">Summary of all zones</t>
  </si>
  <si>
    <t xml:space="preserve">Linked to the zone sheets (green). Change levels on 'Levels' and read the result here. 'Python model' = run_analysis.py with the starting inputs.</t>
  </si>
  <si>
    <t xml:space="preserve">Zones</t>
  </si>
  <si>
    <t xml:space="preserve">Zone</t>
  </si>
  <si>
    <t xml:space="preserve">Type</t>
  </si>
  <si>
    <t xml:space="preserve">Flow (l/s)</t>
  </si>
  <si>
    <t xml:space="preserve">Velocity first pipe (m/s)</t>
  </si>
  <si>
    <t xml:space="preserve">hL first pipe (m)</t>
  </si>
  <si>
    <t xml:space="preserve">H_req (m a.s.l.)</t>
  </si>
  <si>
    <t xml:space="preserve">Set by</t>
  </si>
  <si>
    <t xml:space="preserve">Design: TDH (m) / surplus (m)</t>
  </si>
  <si>
    <t xml:space="preserve">Start at MAX level: TDH (m) / surplus (m)</t>
  </si>
  <si>
    <t xml:space="preserve">ER duty head (m)</t>
  </si>
  <si>
    <t xml:space="preserve">TDH − ER (m)</t>
  </si>
  <si>
    <t xml:space="preserve">Shaft kW per pump</t>
  </si>
  <si>
    <t xml:space="preserve">Motor kW per pump</t>
  </si>
  <si>
    <t xml:space="preserve">Energy (kWh/d)</t>
  </si>
  <si>
    <t xml:space="preserve">Lowest pressure on route (m)</t>
  </si>
  <si>
    <t xml:space="preserve">Python model (m)</t>
  </si>
  <si>
    <t xml:space="preserve">Excel − Python (m)</t>
  </si>
  <si>
    <t xml:space="preserve">gravity</t>
  </si>
  <si>
    <t xml:space="preserve">–</t>
  </si>
  <si>
    <t xml:space="preserve">pumped</t>
  </si>
  <si>
    <t xml:space="preserve">Total pumping energy</t>
  </si>
  <si>
    <t xml:space="preserve">Pumped zones: H = pump head with suction at MINIMUM level (design), I = with suction at MAXIMUM level. Gravity zones: H/I = spare head with the supplying tank at MIN/MAX level (≥ 0 OK, burnt by a valve; &lt; 0 short of head).</t>
  </si>
  <si>
    <t xml:space="preserve">Tanks and sumps</t>
  </si>
  <si>
    <t xml:space="preserve">Tank</t>
  </si>
  <si>
    <t xml:space="preserve">MIN level (m)</t>
  </si>
  <si>
    <t xml:space="preserve">MAX level (m)</t>
  </si>
  <si>
    <t xml:space="preserve">Arrival level (m)</t>
  </si>
  <si>
    <t xml:space="preserve">Fed by zone</t>
  </si>
  <si>
    <t xml:space="preserve">Arriving HGL (m)</t>
  </si>
  <si>
    <t xml:space="preserve">Excess head, design (m)</t>
  </si>
  <si>
    <t xml:space="preserve">Excess head, max (m)</t>
  </si>
  <si>
    <t xml:space="preserve">Inlet comment</t>
  </si>
  <si>
    <t xml:space="preserve">Storage required (m³)</t>
  </si>
  <si>
    <t xml:space="preserve">Storage status</t>
  </si>
  <si>
    <t xml:space="preserve">Levels check (from sheet Levels)</t>
  </si>
  <si>
    <t xml:space="preserve">Demands and design flows</t>
  </si>
  <si>
    <t xml:space="preserve">Daily volumes (m³/d) supplied by each tank; pipe volumes follow by mass balance.</t>
  </si>
  <si>
    <t xml:space="preserve">Tank demands (ER schematic, design year 2035)</t>
  </si>
  <si>
    <t xml:space="preserve">Uhuru Park GBR – town supply</t>
  </si>
  <si>
    <t xml:space="preserve">m³/d</t>
  </si>
  <si>
    <t xml:space="preserve">ER schematic</t>
  </si>
  <si>
    <t xml:space="preserve">Existing Uhuru GSR 01</t>
  </si>
  <si>
    <t xml:space="preserve">Existing Tunduma ESR</t>
  </si>
  <si>
    <t xml:space="preserve">Existing Ipito GSR 02</t>
  </si>
  <si>
    <t xml:space="preserve">Existing Makambini GSR 03</t>
  </si>
  <si>
    <t xml:space="preserve">Existing Chapwa GSR 04</t>
  </si>
  <si>
    <t xml:space="preserve">WTP + intake-to-WTP losses</t>
  </si>
  <si>
    <t xml:space="preserve">ER Table 8: 2 % + 5 %</t>
  </si>
  <si>
    <t xml:space="preserve">Daily volume in each pipe (mass balance, downstream → upstream)</t>
  </si>
  <si>
    <t xml:space="preserve">J-004N → Makambini</t>
  </si>
  <si>
    <t xml:space="preserve">J-004N → Chapwa</t>
  </si>
  <si>
    <t xml:space="preserve">Uhuru Park → J-004N</t>
  </si>
  <si>
    <t xml:space="preserve">J-003N → Uhuru Park GBR</t>
  </si>
  <si>
    <t xml:space="preserve">J-003N → Ipito</t>
  </si>
  <si>
    <t xml:space="preserve">J-002N → GSR01</t>
  </si>
  <si>
    <t xml:space="preserve">J-001N → ESR</t>
  </si>
  <si>
    <t xml:space="preserve">J-002N → J-003N</t>
  </si>
  <si>
    <t xml:space="preserve">J-001N → J-002N</t>
  </si>
  <si>
    <t xml:space="preserve">Nkangamo BPS → J-001N</t>
  </si>
  <si>
    <t xml:space="preserve">Ikana GBR → Nkangamo BPS</t>
  </si>
  <si>
    <t xml:space="preserve">WTP → Ikana GBR (net WTP output)</t>
  </si>
  <si>
    <t xml:space="preserve">Raw water: intake → WTP</t>
  </si>
  <si>
    <t xml:space="preserve">net ÷ (1 − losses)</t>
  </si>
  <si>
    <t xml:space="preserve">Low-lift → grit tank</t>
  </si>
  <si>
    <t xml:space="preserve">River → intake sump</t>
  </si>
  <si>
    <t xml:space="preserve">Global constants and design criteria</t>
  </si>
  <si>
    <t xml:space="preserve">Used by every zone (named cells).</t>
  </si>
  <si>
    <t xml:space="preserve">Constants and criteria</t>
  </si>
  <si>
    <t xml:space="preserve">Gravitational acceleration g</t>
  </si>
  <si>
    <t xml:space="preserve">m/s²</t>
  </si>
  <si>
    <t xml:space="preserve">physical constant</t>
  </si>
  <si>
    <t xml:space="preserve">Minor losses as fraction of friction</t>
  </si>
  <si>
    <t xml:space="preserve">ASSUMED 10 % (bends, valves, fittings)</t>
  </si>
  <si>
    <t xml:space="preserve">Losses inside each pump station</t>
  </si>
  <si>
    <t xml:space="preserve">m</t>
  </si>
  <si>
    <t xml:space="preserve">ASSUMED pipework/valves/meter</t>
  </si>
  <si>
    <t xml:space="preserve">Residual head above a tank inlet</t>
  </si>
  <si>
    <t xml:space="preserve">ASSUMED safety margin</t>
  </si>
  <si>
    <t xml:space="preserve">Pipe crown depth below ground</t>
  </si>
  <si>
    <t xml:space="preserve">ASSUMED</t>
  </si>
  <si>
    <t xml:space="preserve">Minimum pressure at pipe crown along mains</t>
  </si>
  <si>
    <t xml:space="preserve">Minimum pressure at junctions / delivery</t>
  </si>
  <si>
    <t xml:space="preserve">ER Table 7</t>
  </si>
  <si>
    <t xml:space="preserve">Pressure wave speed a (steel)</t>
  </si>
  <si>
    <t xml:space="preserve">m/s</t>
  </si>
  <si>
    <t xml:space="preserve">ASSUMED, for surge</t>
  </si>
  <si>
    <t xml:space="preserve">Motor size margin over shaft power</t>
  </si>
  <si>
    <t xml:space="preserve">common practice</t>
  </si>
  <si>
    <t xml:space="preserve">Electricity tariff</t>
  </si>
  <si>
    <t xml:space="preserve">per kWh</t>
  </si>
  <si>
    <t xml:space="preserve">enter the TANESCO tariff</t>
  </si>
  <si>
    <t xml:space="preserve">Bar per metre of water</t>
  </si>
  <si>
    <t xml:space="preserve">bar/m</t>
  </si>
  <si>
    <t xml:space="preserve">ρg/10⁵</t>
  </si>
  <si>
    <t xml:space="preserve">Default Hazen-Williams C</t>
  </si>
  <si>
    <t xml:space="preserve">ASSUMED, cement-lined steel (aged)</t>
  </si>
  <si>
    <t xml:space="preserve">Excess head above which a flow control valve is flagged</t>
  </si>
  <si>
    <t xml:space="preserve">judgement</t>
  </si>
  <si>
    <t xml:space="preserve">Pipe pressure classes (PN, bar)</t>
  </si>
  <si>
    <t xml:space="preserve">PN10</t>
  </si>
  <si>
    <t xml:space="preserve">PN16</t>
  </si>
  <si>
    <t xml:space="preserve">PN25</t>
  </si>
  <si>
    <t xml:space="preserve">PN30</t>
  </si>
  <si>
    <t xml:space="preserve">PN40</t>
  </si>
  <si>
    <t xml:space="preserve">PN64</t>
  </si>
  <si>
    <t xml:space="preserve">Standard motor sizes (kW)</t>
  </si>
  <si>
    <t xml:space="preserve">Zone 1 – Momba River to intake sump (gravity)</t>
  </si>
  <si>
    <t xml:space="preserve">The river fills the intake sump by gravity through the abstraction pipe. The river at its MINIMUM (dry-season) level must stay above the sump MINIMUM level plus the pipe loss, otherwise the low-lift pumps lose submergence.</t>
  </si>
  <si>
    <t xml:space="preserve">A. Inputs (levels come from sheet 'Levels')</t>
  </si>
  <si>
    <t xml:space="preserve">Start: MOMBA_RIVER MINIMUM water level</t>
  </si>
  <si>
    <t xml:space="preserve">m a.s.l.</t>
  </si>
  <si>
    <t xml:space="preserve">point 1 of Bernoulli, design case (least energy at the start)</t>
  </si>
  <si>
    <t xml:space="preserve">Start: MOMBA_RIVER MAXIMUM water level</t>
  </si>
  <si>
    <t xml:space="preserve">low-head case for pumps / highest energy for gravity</t>
  </si>
  <si>
    <t xml:space="preserve">Operating hours per day</t>
  </si>
  <si>
    <t xml:space="preserve">h/d</t>
  </si>
  <si>
    <t xml:space="preserve">carries the intake pump flow while the pumps run</t>
  </si>
  <si>
    <t xml:space="preserve">Static level for pressure class</t>
  </si>
  <si>
    <t xml:space="preserve">MAXIMUM level of the supplying tank (water at rest)</t>
  </si>
  <si>
    <t xml:space="preserve">B. Pipes – flow (continuity) and friction (Hazen-Williams)</t>
  </si>
  <si>
    <t xml:space="preserve">Pipe</t>
  </si>
  <si>
    <t xml:space="preserve">From</t>
  </si>
  <si>
    <t xml:space="preserve">To</t>
  </si>
  <si>
    <t xml:space="preserve">Upstream pipe</t>
  </si>
  <si>
    <t xml:space="preserve">DN</t>
  </si>
  <si>
    <t xml:space="preserve">Internal D (mm)</t>
  </si>
  <si>
    <t xml:space="preserve">Length L (m)</t>
  </si>
  <si>
    <t xml:space="preserve">C (H-W)</t>
  </si>
  <si>
    <t xml:space="preserve">Daily volume (m³/d)</t>
  </si>
  <si>
    <t xml:space="preserve">Q (m³/s)</t>
  </si>
  <si>
    <t xml:space="preserve">Q (l/s)</t>
  </si>
  <si>
    <t xml:space="preserve">Area (m²)</t>
  </si>
  <si>
    <t xml:space="preserve">V (m/s)</t>
  </si>
  <si>
    <t xml:space="preserve">hf friction (m)</t>
  </si>
  <si>
    <t xml:space="preserve">hm minor (m)</t>
  </si>
  <si>
    <t xml:space="preserve">hL total (m)</t>
  </si>
  <si>
    <t xml:space="preserve">Gradient (m/km)</t>
  </si>
  <si>
    <t xml:space="preserve">Loss before this pipe (m)</t>
  </si>
  <si>
    <t xml:space="preserve">HGL start (m)</t>
  </si>
  <si>
    <t xml:space="preserve">HGL end (m)</t>
  </si>
  <si>
    <t xml:space="preserve">Surge Δh = aV/g (m)</t>
  </si>
  <si>
    <t xml:space="preserve">ABSTRACTION</t>
  </si>
  <si>
    <t xml:space="preserve">C. Destinations – Bernoulli to each receiving water surface (levels from 'Levels')</t>
  </si>
  <si>
    <t xml:space="preserve">Destination</t>
  </si>
  <si>
    <t xml:space="preserve">Ends with pipe</t>
  </si>
  <si>
    <t xml:space="preserve">Residual (m)</t>
  </si>
  <si>
    <t xml:space="preserve">z2 = arrival + residual (m)</t>
  </si>
  <si>
    <t xml:space="preserve">Head needed at zone start = z2 + losses (m)</t>
  </si>
  <si>
    <t xml:space="preserve">Arriving HGL, design case (m)</t>
  </si>
  <si>
    <t xml:space="preserve">Excess head, design case (m)</t>
  </si>
  <si>
    <t xml:space="preserve">Excess head, start at MAX level (m)</t>
  </si>
  <si>
    <t xml:space="preserve">Comment</t>
  </si>
  <si>
    <t xml:space="preserve">D. Critical points along the pipes – pressure check (add your own rows)</t>
  </si>
  <si>
    <t xml:space="preserve">Chainage in pipe x (m)</t>
  </si>
  <si>
    <t xml:space="preserve">Pipe crown (m)</t>
  </si>
  <si>
    <t xml:space="preserve">Head needed at zone start (m)</t>
  </si>
  <si>
    <t xml:space="preserve">HGL at point (m)</t>
  </si>
  <si>
    <t xml:space="preserve">Pressure (m)</t>
  </si>
  <si>
    <t xml:space="preserve">Static (m)</t>
  </si>
  <si>
    <t xml:space="preserve">Working (m)</t>
  </si>
  <si>
    <t xml:space="preserve">Working (bar)</t>
  </si>
  <si>
    <t xml:space="preserve">PN required</t>
  </si>
  <si>
    <t xml:space="preserve">Transient min = p − Δh (m)</t>
  </si>
  <si>
    <t xml:space="preserve">Note</t>
  </si>
  <si>
    <t xml:space="preserve">Status</t>
  </si>
  <si>
    <t xml:space="preserve">add a point: pipe ID, chainage, ground level</t>
  </si>
  <si>
    <t xml:space="preserve">E. Bernoulli result</t>
  </si>
  <si>
    <t xml:space="preserve">Head needed at zone start H_req</t>
  </si>
  <si>
    <t xml:space="preserve">largest of sections C, C2 (junctions) and D (points)</t>
  </si>
  <si>
    <t xml:space="preserve">governing destination, junction or point</t>
  </si>
  <si>
    <t xml:space="preserve">Surplus = z1 − H_req  (start at MINIMUM level)</t>
  </si>
  <si>
    <t xml:space="preserve">design case: must be ≥ 0</t>
  </si>
  <si>
    <t xml:space="preserve">Surplus with start at MAXIMUM level</t>
  </si>
  <si>
    <t xml:space="preserve">largest head the valve must burn</t>
  </si>
  <si>
    <t xml:space="preserve">Lowest pressure at any survey point (sheet Profile)</t>
  </si>
  <si>
    <t xml:space="preserve">if below the minimum, add that point to section D</t>
  </si>
  <si>
    <t xml:space="preserve">F. Step by step in words (updates with the numbers)</t>
  </si>
  <si>
    <t xml:space="preserve">Zone 2 – Intake low-lift pumps to grit tank (pumped)</t>
  </si>
  <si>
    <t xml:space="preserve">Low-lift pumps lift raw water from the intake sump into the grit tank. Pump head = level the water must reach in the grit tank + losses − sump level.</t>
  </si>
  <si>
    <t xml:space="preserve">Start: MOMBA_INTAKE MINIMUM water level</t>
  </si>
  <si>
    <t xml:space="preserve">Start: MOMBA_INTAKE MAXIMUM water level</t>
  </si>
  <si>
    <t xml:space="preserve">ER: pumps 22 h/d; gravity 24 h/d</t>
  </si>
  <si>
    <t xml:space="preserve">highest arrival level at the end of the zone (pipe full, pumps stopped)</t>
  </si>
  <si>
    <t xml:space="preserve">Number of duty pumps</t>
  </si>
  <si>
    <t xml:space="preserve">no.</t>
  </si>
  <si>
    <t xml:space="preserve">working pumps sharing the flow</t>
  </si>
  <si>
    <t xml:space="preserve">Number of standby pumps</t>
  </si>
  <si>
    <t xml:space="preserve">for information</t>
  </si>
  <si>
    <t xml:space="preserve">Pump efficiency η_p</t>
  </si>
  <si>
    <t xml:space="preserve">ASSUMED – use the pump curve</t>
  </si>
  <si>
    <t xml:space="preserve">Motor efficiency η_m</t>
  </si>
  <si>
    <t xml:space="preserve">ER duty flow per pump</t>
  </si>
  <si>
    <t xml:space="preserve">m³/h</t>
  </si>
  <si>
    <t xml:space="preserve">ER duty head</t>
  </si>
  <si>
    <t xml:space="preserve">LL_DELIVERY</t>
  </si>
  <si>
    <t xml:space="preserve">Hp = H_req − z1  (suction at MINIMUM level)</t>
  </si>
  <si>
    <t xml:space="preserve">z1 + 0 + 0 + Hp = H_req  (p = 0, V ≈ 0 at the sump surface)</t>
  </si>
  <si>
    <t xml:space="preserve">TDH design (suction at MINIMUM level)</t>
  </si>
  <si>
    <t xml:space="preserve">Hp + station losses → size pump and motor with this</t>
  </si>
  <si>
    <t xml:space="preserve">TDH low-head (suction at MAXIMUM level)</t>
  </si>
  <si>
    <t xml:space="preserve">pump must also operate here (more flow unless throttled / VFD)</t>
  </si>
  <si>
    <t xml:space="preserve">Total pumped flow</t>
  </si>
  <si>
    <t xml:space="preserve">m³/s</t>
  </si>
  <si>
    <t xml:space="preserve">flow in the first pipe</t>
  </si>
  <si>
    <t xml:space="preserve">Flow per pump</t>
  </si>
  <si>
    <t xml:space="preserve">compare ER duty flow</t>
  </si>
  <si>
    <t xml:space="preserve">Hydraulic power per pump P_h = ρgQH</t>
  </si>
  <si>
    <t xml:space="preserve">kW</t>
  </si>
  <si>
    <t xml:space="preserve">Shaft power per pump P_s = P_h / η_p</t>
  </si>
  <si>
    <t xml:space="preserve">Motor needed = P_s × margin</t>
  </si>
  <si>
    <t xml:space="preserve">Standard motor per pump</t>
  </si>
  <si>
    <t xml:space="preserve">next size up</t>
  </si>
  <si>
    <t xml:space="preserve">Electricity per day</t>
  </si>
  <si>
    <t xml:space="preserve">kWh/d</t>
  </si>
  <si>
    <t xml:space="preserve">Specific energy</t>
  </si>
  <si>
    <t xml:space="preserve">kWh/m³</t>
  </si>
  <si>
    <t xml:space="preserve">Electricity cost per year</t>
  </si>
  <si>
    <t xml:space="preserve">per year</t>
  </si>
  <si>
    <t xml:space="preserve">uses Global tariff</t>
  </si>
  <si>
    <t xml:space="preserve">TDH design minus ER duty head</t>
  </si>
  <si>
    <t xml:space="preserve">negative = ER pump has spare head (throttle / VFD)</t>
  </si>
  <si>
    <t xml:space="preserve">Zone 3 – Grit tank high-lift pumps to the WTP (pumped)</t>
  </si>
  <si>
    <t xml:space="preserve">High-lift pumps push raw water from the grit tank through the raw-water main into the WTP inlet (cascade aerator).</t>
  </si>
  <si>
    <t xml:space="preserve">Start: GRIT_TANK MINIMUM water level</t>
  </si>
  <si>
    <t xml:space="preserve">Start: GRIT_TANK MAXIMUM water level</t>
  </si>
  <si>
    <t xml:space="preserve">RAW_MAIN</t>
  </si>
  <si>
    <t xml:space="preserve">critical high point</t>
  </si>
  <si>
    <t xml:space="preserve">lowest point (highest static pressure)</t>
  </si>
  <si>
    <t xml:space="preserve">Zone 4 – WTP clear-water pumps to Ikana GBR (pumped)</t>
  </si>
  <si>
    <t xml:space="preserve">The WTP pumps lift treated water about 300 m over ~20 km from the clear-water tank to Ikana GBR on the hill. Most of the head is lift; friction is the rest. Pressure is highest at the pumps.</t>
  </si>
  <si>
    <t xml:space="preserve">Start: MOMBA_WTP MINIMUM water level</t>
  </si>
  <si>
    <t xml:space="preserve">Start: MOMBA_WTP MAXIMUM water level</t>
  </si>
  <si>
    <t xml:space="preserve">WTP_IKANA_RM</t>
  </si>
  <si>
    <t xml:space="preserve">Zone 5 – Ikana GBR to Nkangamo BPS (gravity)</t>
  </si>
  <si>
    <t xml:space="preserve">Water runs downhill by gravity from Ikana GBR to the Nkangamo sump. With Ikana at its MINIMUM level it must still arrive (surplus ≥ 0); any surplus is burnt by the flow control valve at the sump inlet. Static pressure uses Ikana at its MAXIMUM level.</t>
  </si>
  <si>
    <t xml:space="preserve">Start: IKANA_GBR MINIMUM water level</t>
  </si>
  <si>
    <t xml:space="preserve">Start: IKANA_GBR MAXIMUM water level</t>
  </si>
  <si>
    <t xml:space="preserve">IKANA_NKANGAMO_GM</t>
  </si>
  <si>
    <t xml:space="preserve">Zone 6 – Nkangamo BPS to Uhuru Park GBR and existing tanks (pumped)</t>
  </si>
  <si>
    <t xml:space="preserve">One pump station feeds four tanks (ESR, GSR01, Ipito, Uhuru Park) and crosses a high point near 74 km. Bernoulli is applied to each; the one needing the most head sets the pumps, the others get flow control valves.</t>
  </si>
  <si>
    <t xml:space="preserve">Start: NKANGAMO_BPS MINIMUM water level</t>
  </si>
  <si>
    <t xml:space="preserve">Start: NKANGAMO_BPS MAXIMUM water level</t>
  </si>
  <si>
    <t xml:space="preserve">BPS_RM_1</t>
  </si>
  <si>
    <t xml:space="preserve">J-001N</t>
  </si>
  <si>
    <t xml:space="preserve">BPS_RM_2</t>
  </si>
  <si>
    <t xml:space="preserve">J-002N</t>
  </si>
  <si>
    <t xml:space="preserve">BPS_RM_3</t>
  </si>
  <si>
    <t xml:space="preserve">J-003N</t>
  </si>
  <si>
    <t xml:space="preserve">UHURU_INLET</t>
  </si>
  <si>
    <t xml:space="preserve">ESR_BRANCH</t>
  </si>
  <si>
    <t xml:space="preserve">GSR01_BRANCH</t>
  </si>
  <si>
    <t xml:space="preserve">IPITO_BRANCH</t>
  </si>
  <si>
    <t xml:space="preserve">C2. Junctions – minimum pressure at offtakes (ER Table 7)</t>
  </si>
  <si>
    <t xml:space="preserve">Junction</t>
  </si>
  <si>
    <t xml:space="preserve">End of pipe</t>
  </si>
  <si>
    <t xml:space="preserve">Minimum pressure (m)</t>
  </si>
  <si>
    <t xml:space="preserve">Head needed at zone start = ground + p_min + losses (m)</t>
  </si>
  <si>
    <t xml:space="preserve">HGL at junction (m)</t>
  </si>
  <si>
    <t xml:space="preserve">Zone 7 – Uhuru Park GBR to Makambini and Chapwa (gravity)</t>
  </si>
  <si>
    <t xml:space="preserve">Uhuru Park GBR feeds Makambini and Chapwa by gravity through J-004N. Chapwa is far below, so it arrives with large excess head (valve + higher PN). Check the points near the GBR: the ground there is close to the tank level.</t>
  </si>
  <si>
    <t xml:space="preserve">Start: UHURU_PARK_GBR MINIMUM water level</t>
  </si>
  <si>
    <t xml:space="preserve">Start: UHURU_PARK_GBR MAXIMUM water level</t>
  </si>
  <si>
    <t xml:space="preserve">UHURU_J004N</t>
  </si>
  <si>
    <t xml:space="preserve">J-004N</t>
  </si>
  <si>
    <t xml:space="preserve">MAKAMBINI_BRANCH</t>
  </si>
  <si>
    <t xml:space="preserve">CHAPWA_BRANCH</t>
  </si>
  <si>
    <t xml:space="preserve">governing point (model)</t>
  </si>
  <si>
    <t xml:space="preserve">Storage – balancing for pump rest hours</t>
  </si>
  <si>
    <t xml:space="preserve">V_bal = inflow × (1 − hours/24); emergency = inflow × hours/24. Volumes and levels from 'Levels'.</t>
  </si>
  <si>
    <t xml:space="preserve">Daily inflow (m³/d)</t>
  </si>
  <si>
    <t xml:space="preserve">Inflow hours (h/d)</t>
  </si>
  <si>
    <t xml:space="preserve">Balancing volume (m³)</t>
  </si>
  <si>
    <t xml:space="preserve">Emergency hours</t>
  </si>
  <si>
    <t xml:space="preserve">Emergency volume (m³)</t>
  </si>
  <si>
    <t xml:space="preserve">Required (m³)</t>
  </si>
  <si>
    <t xml:space="preserve">Storage (h of flow)</t>
  </si>
  <si>
    <t xml:space="preserve">Pressure at every surveyed point</t>
  </si>
  <si>
    <t xml:space="preserve">HGL from the zone sheets; ground from the topographic survey. Column L = 'no' for pipe ends at a water surface (not checked).</t>
  </si>
  <si>
    <t xml:space="preserve">Chainage in pipe (m)</t>
  </si>
  <si>
    <t xml:space="preserve">Ground (m)</t>
  </si>
  <si>
    <t xml:space="preserve">HGL (m)</t>
  </si>
  <si>
    <t xml:space="preserve">Check?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</si>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</sst>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#,##0"/>
    <numFmt numFmtId="167" formatCode="0.00"/>
    <numFmt numFmtId="168" formatCode="#,##0.0"/>
    <numFmt numFmtId="169" formatCode="\+0.00;\-0.00;0.00"/>
    <numFmt numFmtId="170" formatCode="\+0.0;\-0.0"/>
    <numFmt numFmtId="171" formatCode="0.0%"/>
    <numFmt numFmtId="172" formatCode="0"/>
    <numFmt numFmtId="173" formatCode="0.0#"/>
    <numFmt numFmtId="174" formatCode="0.0"/>
    <numFmt numFmtId="175" formatCode="0.0000"/>
    <numFmt numFmtId="176" formatCode="0.000"/>
    <numFmt numFmtId="177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E2EFDA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15" hidden="false" customHeight="false" outlineLevel="0" collapsed="false">
      <c r="A7" s="4" t="s">
        <v>7</v>
      </c>
      <c r="B7" s="4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</row>
    <row r="9" customFormat="false" ht="15" hidden="false" customHeight="false" outlineLevel="0" collapsed="false">
      <c r="A9" s="4" t="s">
        <v>11</v>
      </c>
      <c r="B9" s="4" t="s">
        <v>12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4" t="s">
        <v>16</v>
      </c>
      <c r="B13" s="4" t="s">
        <v>17</v>
      </c>
    </row>
    <row r="14" customFormat="false" ht="15" hidden="false" customHeight="false" outlineLevel="0" collapsed="false">
      <c r="A14" s="6" t="s">
        <v>18</v>
      </c>
      <c r="B14" s="4" t="s">
        <v>19</v>
      </c>
    </row>
    <row r="15" customFormat="false" ht="15" hidden="false" customHeight="false" outlineLevel="0" collapsed="false">
      <c r="A15" s="7" t="s">
        <v>20</v>
      </c>
      <c r="B15" s="4" t="s">
        <v>21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3" t="s">
        <v>22</v>
      </c>
    </row>
    <row r="18" customFormat="false" ht="15" hidden="false" customHeight="false" outlineLevel="0" collapsed="false">
      <c r="A18" s="4" t="s">
        <v>23</v>
      </c>
      <c r="B18" s="4" t="s">
        <v>24</v>
      </c>
    </row>
    <row r="19" customFormat="false" ht="15" hidden="false" customHeight="false" outlineLevel="0" collapsed="false">
      <c r="A19" s="4" t="s">
        <v>25</v>
      </c>
      <c r="B19" s="4" t="s">
        <v>26</v>
      </c>
    </row>
    <row r="20" customFormat="false" ht="15" hidden="false" customHeight="false" outlineLevel="0" collapsed="false">
      <c r="A20" s="4" t="s">
        <v>27</v>
      </c>
      <c r="B20" s="4" t="s">
        <v>28</v>
      </c>
    </row>
    <row r="21" customFormat="false" ht="15" hidden="false" customHeight="false" outlineLevel="0" collapsed="false">
      <c r="A21" s="4" t="s">
        <v>29</v>
      </c>
      <c r="B21" s="4" t="s">
        <v>30</v>
      </c>
    </row>
    <row r="22" customFormat="false" ht="15" hidden="false" customHeight="false" outlineLevel="0" collapsed="false">
      <c r="A22" s="4" t="s">
        <v>31</v>
      </c>
      <c r="B22" s="4" t="s">
        <v>32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4" t="s">
        <v>33</v>
      </c>
    </row>
    <row r="25" customFormat="false" ht="15" hidden="false" customHeight="false" outlineLevel="0" collapsed="false">
      <c r="A25" s="4" t="s">
        <v>34</v>
      </c>
      <c r="B25" s="4" t="s">
        <v>35</v>
      </c>
    </row>
    <row r="26" customFormat="false" ht="15" hidden="false" customHeight="false" outlineLevel="0" collapsed="false">
      <c r="A26" s="4" t="s">
        <v>36</v>
      </c>
      <c r="B26" s="4" t="s">
        <v>37</v>
      </c>
    </row>
    <row r="27" customFormat="false" ht="15" hidden="false" customHeight="false" outlineLevel="0" collapsed="false">
      <c r="A27" s="4" t="s">
        <v>38</v>
      </c>
      <c r="B27" s="4" t="s">
        <v>39</v>
      </c>
    </row>
    <row r="28" customFormat="false" ht="15" hidden="false" customHeight="false" outlineLevel="0" collapsed="false">
      <c r="A28" s="4" t="s">
        <v>40</v>
      </c>
      <c r="B28" s="4" t="s">
        <v>41</v>
      </c>
    </row>
    <row r="29" customFormat="false" ht="15" hidden="false" customHeight="false" outlineLevel="0" collapsed="false">
      <c r="A29" s="4" t="s">
        <v>42</v>
      </c>
      <c r="B29" s="4" t="s">
        <v>43</v>
      </c>
    </row>
    <row r="30" customFormat="false" ht="15" hidden="false" customHeight="false" outlineLevel="0" collapsed="false">
      <c r="A30" s="4" t="s">
        <v>44</v>
      </c>
      <c r="B30" s="4" t="s">
        <v>45</v>
      </c>
    </row>
    <row r="31" customFormat="false" ht="15" hidden="false" customHeight="false" outlineLevel="0" collapsed="false">
      <c r="A31" s="4" t="s">
        <v>46</v>
      </c>
      <c r="B31" s="4" t="s">
        <v>47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 t="s">
        <v>48</v>
      </c>
    </row>
    <row r="34" customFormat="false" ht="15" hidden="false" customHeight="false" outlineLevel="0" collapsed="false">
      <c r="A34" s="4" t="s">
        <v>49</v>
      </c>
      <c r="B34" s="4" t="s">
        <v>50</v>
      </c>
    </row>
    <row r="35" customFormat="false" ht="15" hidden="false" customHeight="false" outlineLevel="0" collapsed="false">
      <c r="A35" s="4" t="s">
        <v>51</v>
      </c>
      <c r="B35" s="4" t="s">
        <v>52</v>
      </c>
    </row>
    <row r="36" customFormat="false" ht="15" hidden="false" customHeight="false" outlineLevel="0" collapsed="false">
      <c r="A36" s="4" t="s">
        <v>53</v>
      </c>
      <c r="B36" s="4" t="s">
        <v>54</v>
      </c>
    </row>
    <row r="37" customFormat="false" ht="15" hidden="false" customHeight="false" outlineLevel="0" collapsed="false">
      <c r="A37" s="4" t="s">
        <v>55</v>
      </c>
      <c r="B37" s="4" t="s">
        <v>56</v>
      </c>
    </row>
    <row r="38" customFormat="false" ht="15" hidden="false" customHeight="false" outlineLevel="0" collapsed="false">
      <c r="A38" s="4" t="s">
        <v>57</v>
      </c>
      <c r="B38" s="4" t="s">
        <v>58</v>
      </c>
    </row>
    <row r="39" customFormat="false" ht="15" hidden="false" customHeight="false" outlineLevel="0" collapsed="false">
      <c r="A39" s="4" t="s">
        <v>59</v>
      </c>
      <c r="B39" s="4" t="s">
        <v>60</v>
      </c>
    </row>
    <row r="40" customFormat="false" ht="15" hidden="false" customHeight="false" outlineLevel="0" collapsed="false">
      <c r="A40" s="4" t="s">
        <v>61</v>
      </c>
      <c r="B40" s="4" t="s">
        <v>62</v>
      </c>
    </row>
    <row r="41" customFormat="false" ht="15" hidden="false" customHeight="false" outlineLevel="0" collapsed="false">
      <c r="A41" s="4"/>
    </row>
    <row r="42" customFormat="false" ht="15" hidden="false" customHeight="false" outlineLevel="0" collapsed="false">
      <c r="A42" s="3" t="s">
        <v>63</v>
      </c>
    </row>
    <row r="43" customFormat="false" ht="15" hidden="false" customHeight="false" outlineLevel="0" collapsed="false">
      <c r="A43" s="4" t="s">
        <v>64</v>
      </c>
      <c r="B43" s="4" t="s">
        <v>65</v>
      </c>
    </row>
    <row r="44" customFormat="false" ht="15" hidden="false" customHeight="false" outlineLevel="0" collapsed="false">
      <c r="A44" s="4" t="s">
        <v>66</v>
      </c>
      <c r="B44" s="4" t="s">
        <v>67</v>
      </c>
    </row>
    <row r="45" customFormat="false" ht="15" hidden="false" customHeight="false" outlineLevel="0" collapsed="false">
      <c r="A45" s="4" t="s">
        <v>68</v>
      </c>
      <c r="B45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D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58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40"/>
    <col collapsed="false" customWidth="true" hidden="false" outlineLevel="0" max="14" min="14" style="0" width="24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42" hidden="false" customHeight="true" outlineLevel="0" collapsed="false">
      <c r="A4" s="8" t="s">
        <v>72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77</v>
      </c>
      <c r="G4" s="8" t="s">
        <v>78</v>
      </c>
      <c r="H4" s="8" t="s">
        <v>79</v>
      </c>
      <c r="I4" s="8" t="s">
        <v>80</v>
      </c>
      <c r="J4" s="8" t="s">
        <v>81</v>
      </c>
      <c r="K4" s="8" t="s">
        <v>82</v>
      </c>
      <c r="L4" s="8" t="s">
        <v>83</v>
      </c>
      <c r="M4" s="8" t="s">
        <v>84</v>
      </c>
      <c r="N4" s="8" t="s">
        <v>68</v>
      </c>
    </row>
    <row r="5" customFormat="false" ht="15" hidden="false" customHeight="false" outlineLevel="0" collapsed="false">
      <c r="A5" s="9" t="s">
        <v>85</v>
      </c>
      <c r="B5" s="10" t="s">
        <v>86</v>
      </c>
      <c r="C5" s="11" t="s">
        <v>87</v>
      </c>
      <c r="D5" s="12" t="n">
        <v>1363</v>
      </c>
      <c r="E5" s="12"/>
      <c r="F5" s="12" t="n">
        <v>1361</v>
      </c>
      <c r="G5" s="12" t="n">
        <v>1364.5</v>
      </c>
      <c r="H5" s="12"/>
      <c r="I5" s="13"/>
      <c r="J5" s="14" t="str">
        <f aca="false">IF(OR(E5="",G5=""),"",G5-E5)</f>
        <v/>
      </c>
      <c r="K5" s="15" t="str">
        <f aca="false">IF(OR(I5="",J5="",J5&lt;=0),"",I5/J5)</f>
        <v/>
      </c>
      <c r="L5" s="16" t="n">
        <f aca="false">IF(H5="",G5,MAX(H5,G5))</f>
        <v>1364.5</v>
      </c>
      <c r="M5" s="17" t="s">
        <v>88</v>
      </c>
      <c r="N5" s="10" t="str">
        <f aca="false">IF(OR(F5="",G5=""),"ENTER MIN AND MAX",IF(G5&lt;=F5,"MAX must be above MIN",IF(AND(E5&lt;&gt;"",F5&lt;E5),"MIN below floor",IF(AND(H5&lt;&gt;"",H5&lt;G5),"inlet below MAX – MAX used","OK"))))</f>
        <v>OK</v>
      </c>
    </row>
    <row r="6" customFormat="false" ht="15" hidden="false" customHeight="false" outlineLevel="0" collapsed="false">
      <c r="A6" s="9" t="s">
        <v>89</v>
      </c>
      <c r="B6" s="10" t="s">
        <v>90</v>
      </c>
      <c r="C6" s="11" t="s">
        <v>91</v>
      </c>
      <c r="D6" s="12" t="n">
        <v>1365.94</v>
      </c>
      <c r="E6" s="12"/>
      <c r="F6" s="12" t="n">
        <v>1360</v>
      </c>
      <c r="G6" s="12" t="n">
        <v>1364</v>
      </c>
      <c r="H6" s="12"/>
      <c r="I6" s="13"/>
      <c r="J6" s="14" t="str">
        <f aca="false">IF(OR(E6="",G6=""),"",G6-E6)</f>
        <v/>
      </c>
      <c r="K6" s="15" t="str">
        <f aca="false">IF(OR(I6="",J6="",J6&lt;=0),"",I6/J6)</f>
        <v/>
      </c>
      <c r="L6" s="16" t="n">
        <f aca="false">F6</f>
        <v>1360</v>
      </c>
      <c r="M6" s="17" t="s">
        <v>92</v>
      </c>
      <c r="N6" s="10" t="str">
        <f aca="false">IF(OR(F6="",G6=""),"ENTER MIN AND MAX",IF(G6&lt;=F6,"MAX must be above MIN",IF(AND(E6&lt;&gt;"",F6&lt;E6),"MIN below floor",IF(AND(H6&lt;&gt;"",H6&lt;G6),"inlet below MAX – MAX used","OK"))))</f>
        <v>OK</v>
      </c>
    </row>
    <row r="7" customFormat="false" ht="15" hidden="false" customHeight="false" outlineLevel="0" collapsed="false">
      <c r="A7" s="9" t="s">
        <v>93</v>
      </c>
      <c r="B7" s="10" t="s">
        <v>94</v>
      </c>
      <c r="C7" s="11" t="s">
        <v>95</v>
      </c>
      <c r="D7" s="12" t="n">
        <v>1365.94</v>
      </c>
      <c r="E7" s="12"/>
      <c r="F7" s="12" t="n">
        <v>1366.5</v>
      </c>
      <c r="G7" s="12" t="n">
        <v>1368</v>
      </c>
      <c r="H7" s="12" t="n">
        <v>1368</v>
      </c>
      <c r="I7" s="13"/>
      <c r="J7" s="14" t="str">
        <f aca="false">IF(OR(E7="",G7=""),"",G7-E7)</f>
        <v/>
      </c>
      <c r="K7" s="15" t="str">
        <f aca="false">IF(OR(I7="",J7="",J7&lt;=0),"",I7/J7)</f>
        <v/>
      </c>
      <c r="L7" s="16" t="n">
        <f aca="false">IF(H7="",G7,MAX(H7,G7))</f>
        <v>1368</v>
      </c>
      <c r="M7" s="17" t="s">
        <v>92</v>
      </c>
      <c r="N7" s="10" t="str">
        <f aca="false">IF(OR(F7="",G7=""),"ENTER MIN AND MAX",IF(G7&lt;=F7,"MAX must be above MIN",IF(AND(E7&lt;&gt;"",F7&lt;E7),"MIN below floor",IF(AND(H7&lt;&gt;"",H7&lt;G7),"inlet below MAX – MAX used","OK"))))</f>
        <v>OK</v>
      </c>
    </row>
    <row r="8" customFormat="false" ht="15" hidden="false" customHeight="false" outlineLevel="0" collapsed="false">
      <c r="A8" s="9" t="s">
        <v>96</v>
      </c>
      <c r="B8" s="10" t="s">
        <v>97</v>
      </c>
      <c r="C8" s="11" t="s">
        <v>98</v>
      </c>
      <c r="D8" s="12" t="n">
        <v>1372.1</v>
      </c>
      <c r="E8" s="12" t="n">
        <v>1368</v>
      </c>
      <c r="F8" s="12" t="n">
        <v>1368.5</v>
      </c>
      <c r="G8" s="12" t="n">
        <v>1373</v>
      </c>
      <c r="H8" s="12" t="n">
        <v>1378</v>
      </c>
      <c r="I8" s="13" t="n">
        <v>4000</v>
      </c>
      <c r="J8" s="14" t="n">
        <f aca="false">IF(OR(E8="",G8=""),"",G8-E8)</f>
        <v>5</v>
      </c>
      <c r="K8" s="15" t="n">
        <f aca="false">IF(OR(I8="",J8="",J8&lt;=0),"",I8/J8)</f>
        <v>800</v>
      </c>
      <c r="L8" s="16" t="n">
        <f aca="false">IF(H8="",G8,H8)</f>
        <v>1378</v>
      </c>
      <c r="M8" s="17" t="s">
        <v>92</v>
      </c>
      <c r="N8" s="10" t="str">
        <f aca="false">IF(OR(F8="",G8=""),"ENTER MIN AND MAX",IF(G8&lt;=F8,"MAX must be above MIN",IF(AND(E8&lt;&gt;"",F8&lt;E8),"MIN below floor",IF(AND(H8&lt;&gt;"",H8&lt;G8),"inlet below MAX – MAX used","OK"))))</f>
        <v>OK</v>
      </c>
    </row>
    <row r="9" customFormat="false" ht="15" hidden="false" customHeight="false" outlineLevel="0" collapsed="false">
      <c r="A9" s="9" t="s">
        <v>99</v>
      </c>
      <c r="B9" s="10" t="s">
        <v>100</v>
      </c>
      <c r="C9" s="11" t="s">
        <v>101</v>
      </c>
      <c r="D9" s="12" t="n">
        <v>1663</v>
      </c>
      <c r="E9" s="12" t="n">
        <v>1663</v>
      </c>
      <c r="F9" s="12" t="n">
        <v>1663.3</v>
      </c>
      <c r="G9" s="12" t="n">
        <v>1668</v>
      </c>
      <c r="H9" s="12"/>
      <c r="I9" s="13" t="n">
        <v>3000</v>
      </c>
      <c r="J9" s="14" t="n">
        <f aca="false">IF(OR(E9="",G9=""),"",G9-E9)</f>
        <v>5</v>
      </c>
      <c r="K9" s="15" t="n">
        <f aca="false">IF(OR(I9="",J9="",J9&lt;=0),"",I9/J9)</f>
        <v>600</v>
      </c>
      <c r="L9" s="16" t="n">
        <f aca="false">IF(H9="",G9,MAX(H9,G9))</f>
        <v>1668</v>
      </c>
      <c r="M9" s="17" t="s">
        <v>92</v>
      </c>
      <c r="N9" s="10" t="str">
        <f aca="false">IF(OR(F9="",G9=""),"ENTER MIN AND MAX",IF(G9&lt;=F9,"MAX must be above MIN",IF(AND(E9&lt;&gt;"",F9&lt;E9),"MIN below floor",IF(AND(H9&lt;&gt;"",H9&lt;G9),"inlet below MAX – MAX used","OK"))))</f>
        <v>OK</v>
      </c>
    </row>
    <row r="10" customFormat="false" ht="15" hidden="false" customHeight="false" outlineLevel="0" collapsed="false">
      <c r="A10" s="9" t="s">
        <v>102</v>
      </c>
      <c r="B10" s="10" t="s">
        <v>103</v>
      </c>
      <c r="C10" s="11" t="s">
        <v>104</v>
      </c>
      <c r="D10" s="12" t="n">
        <v>1555.5</v>
      </c>
      <c r="E10" s="12" t="n">
        <v>1552.5</v>
      </c>
      <c r="F10" s="12" t="n">
        <v>1553</v>
      </c>
      <c r="G10" s="12" t="n">
        <v>1557</v>
      </c>
      <c r="H10" s="12" t="n">
        <v>1557.5</v>
      </c>
      <c r="I10" s="13" t="n">
        <v>2000</v>
      </c>
      <c r="J10" s="14" t="n">
        <f aca="false">IF(OR(E10="",G10=""),"",G10-E10)</f>
        <v>4.5</v>
      </c>
      <c r="K10" s="15" t="n">
        <f aca="false">IF(OR(I10="",J10="",J10&lt;=0),"",I10/J10)</f>
        <v>444.444444444444</v>
      </c>
      <c r="L10" s="16" t="n">
        <f aca="false">IF(H10="",G10,MAX(H10,G10))</f>
        <v>1557.5</v>
      </c>
      <c r="M10" s="17" t="s">
        <v>92</v>
      </c>
      <c r="N10" s="10" t="str">
        <f aca="false">IF(OR(F10="",G10=""),"ENTER MIN AND MAX",IF(G10&lt;=F10,"MAX must be above MIN",IF(AND(E10&lt;&gt;"",F10&lt;E10),"MIN below floor",IF(AND(H10&lt;&gt;"",H10&lt;G10),"inlet below MAX – MAX used","OK"))))</f>
        <v>OK</v>
      </c>
    </row>
    <row r="11" customFormat="false" ht="15" hidden="false" customHeight="false" outlineLevel="0" collapsed="false">
      <c r="A11" s="9" t="s">
        <v>105</v>
      </c>
      <c r="B11" s="10" t="s">
        <v>106</v>
      </c>
      <c r="C11" s="11" t="s">
        <v>107</v>
      </c>
      <c r="D11" s="12" t="n">
        <v>1697.3</v>
      </c>
      <c r="E11" s="12" t="n">
        <v>1697.3</v>
      </c>
      <c r="F11" s="12" t="n">
        <v>1697.6</v>
      </c>
      <c r="G11" s="12" t="n">
        <v>1702.3</v>
      </c>
      <c r="H11" s="12"/>
      <c r="I11" s="13" t="n">
        <v>5000</v>
      </c>
      <c r="J11" s="14" t="n">
        <f aca="false">IF(OR(E11="",G11=""),"",G11-E11)</f>
        <v>5</v>
      </c>
      <c r="K11" s="15" t="n">
        <f aca="false">IF(OR(I11="",J11="",J11&lt;=0),"",I11/J11)</f>
        <v>1000</v>
      </c>
      <c r="L11" s="16" t="n">
        <f aca="false">IF(H11="",G11,MAX(H11,G11))</f>
        <v>1702.3</v>
      </c>
      <c r="M11" s="17" t="s">
        <v>92</v>
      </c>
      <c r="N11" s="10" t="str">
        <f aca="false">IF(OR(F11="",G11=""),"ENTER MIN AND MAX",IF(G11&lt;=F11,"MAX must be above MIN",IF(AND(E11&lt;&gt;"",F11&lt;E11),"MIN below floor",IF(AND(H11&lt;&gt;"",H11&lt;G11),"inlet below MAX – MAX used","OK"))))</f>
        <v>OK</v>
      </c>
    </row>
    <row r="12" customFormat="false" ht="15" hidden="false" customHeight="false" outlineLevel="0" collapsed="false">
      <c r="A12" s="9" t="s">
        <v>108</v>
      </c>
      <c r="B12" s="10" t="s">
        <v>109</v>
      </c>
      <c r="C12" s="11" t="s">
        <v>110</v>
      </c>
      <c r="D12" s="12" t="n">
        <v>1700</v>
      </c>
      <c r="E12" s="12" t="n">
        <v>1703.5</v>
      </c>
      <c r="F12" s="12" t="n">
        <v>1703.5</v>
      </c>
      <c r="G12" s="12" t="n">
        <v>1706.5</v>
      </c>
      <c r="H12" s="12"/>
      <c r="I12" s="13" t="n">
        <v>120</v>
      </c>
      <c r="J12" s="14" t="n">
        <f aca="false">IF(OR(E12="",G12=""),"",G12-E12)</f>
        <v>3</v>
      </c>
      <c r="K12" s="15" t="n">
        <f aca="false">IF(OR(I12="",J12="",J12&lt;=0),"",I12/J12)</f>
        <v>40</v>
      </c>
      <c r="L12" s="16" t="n">
        <f aca="false">IF(H12="",G12,MAX(H12,G12))</f>
        <v>1706.5</v>
      </c>
      <c r="M12" s="17" t="s">
        <v>92</v>
      </c>
      <c r="N12" s="10" t="str">
        <f aca="false">IF(OR(F12="",G12=""),"ENTER MIN AND MAX",IF(G12&lt;=F12,"MAX must be above MIN",IF(AND(E12&lt;&gt;"",F12&lt;E12),"MIN below floor",IF(AND(H12&lt;&gt;"",H12&lt;G12),"inlet below MAX – MAX used","OK"))))</f>
        <v>OK</v>
      </c>
    </row>
    <row r="13" customFormat="false" ht="15" hidden="false" customHeight="false" outlineLevel="0" collapsed="false">
      <c r="A13" s="9" t="s">
        <v>111</v>
      </c>
      <c r="B13" s="10" t="s">
        <v>112</v>
      </c>
      <c r="C13" s="11" t="s">
        <v>113</v>
      </c>
      <c r="D13" s="12" t="n">
        <v>1698.4</v>
      </c>
      <c r="E13" s="12" t="n">
        <v>1698.4</v>
      </c>
      <c r="F13" s="12" t="n">
        <v>1698.4</v>
      </c>
      <c r="G13" s="12" t="n">
        <v>1701.4</v>
      </c>
      <c r="H13" s="12"/>
      <c r="I13" s="13" t="n">
        <v>500</v>
      </c>
      <c r="J13" s="14" t="n">
        <f aca="false">IF(OR(E13="",G13=""),"",G13-E13)</f>
        <v>3</v>
      </c>
      <c r="K13" s="15" t="n">
        <f aca="false">IF(OR(I13="",J13="",J13&lt;=0),"",I13/J13)</f>
        <v>166.666666666667</v>
      </c>
      <c r="L13" s="16" t="n">
        <f aca="false">IF(H13="",G13,MAX(H13,G13))</f>
        <v>1701.4</v>
      </c>
      <c r="M13" s="17" t="s">
        <v>92</v>
      </c>
      <c r="N13" s="10" t="str">
        <f aca="false">IF(OR(F13="",G13=""),"ENTER MIN AND MAX",IF(G13&lt;=F13,"MAX must be above MIN",IF(AND(E13&lt;&gt;"",F13&lt;E13),"MIN below floor",IF(AND(H13&lt;&gt;"",H13&lt;G13),"inlet below MAX – MAX used","OK"))))</f>
        <v>OK</v>
      </c>
    </row>
    <row r="14" customFormat="false" ht="15" hidden="false" customHeight="false" outlineLevel="0" collapsed="false">
      <c r="A14" s="9" t="s">
        <v>114</v>
      </c>
      <c r="B14" s="10" t="s">
        <v>115</v>
      </c>
      <c r="C14" s="11" t="s">
        <v>116</v>
      </c>
      <c r="D14" s="12" t="n">
        <v>1681.2</v>
      </c>
      <c r="E14" s="12" t="n">
        <v>1681.2</v>
      </c>
      <c r="F14" s="12" t="n">
        <v>1681.2</v>
      </c>
      <c r="G14" s="12" t="n">
        <v>1684.2</v>
      </c>
      <c r="H14" s="12"/>
      <c r="I14" s="13" t="n">
        <v>200</v>
      </c>
      <c r="J14" s="14" t="n">
        <f aca="false">IF(OR(E14="",G14=""),"",G14-E14)</f>
        <v>3</v>
      </c>
      <c r="K14" s="15" t="n">
        <f aca="false">IF(OR(I14="",J14="",J14&lt;=0),"",I14/J14)</f>
        <v>66.6666666666667</v>
      </c>
      <c r="L14" s="16" t="n">
        <f aca="false">IF(H14="",G14,MAX(H14,G14))</f>
        <v>1684.2</v>
      </c>
      <c r="M14" s="17" t="s">
        <v>92</v>
      </c>
      <c r="N14" s="10" t="str">
        <f aca="false">IF(OR(F14="",G14=""),"ENTER MIN AND MAX",IF(G14&lt;=F14,"MAX must be above MIN",IF(AND(E14&lt;&gt;"",F14&lt;E14),"MIN below floor",IF(AND(H14&lt;&gt;"",H14&lt;G14),"inlet below MAX – MAX used","OK"))))</f>
        <v>OK</v>
      </c>
    </row>
    <row r="15" customFormat="false" ht="15" hidden="false" customHeight="false" outlineLevel="0" collapsed="false">
      <c r="A15" s="9" t="s">
        <v>117</v>
      </c>
      <c r="B15" s="10" t="s">
        <v>118</v>
      </c>
      <c r="C15" s="11" t="s">
        <v>119</v>
      </c>
      <c r="D15" s="12" t="n">
        <v>1655.7</v>
      </c>
      <c r="E15" s="12" t="n">
        <v>1655.7</v>
      </c>
      <c r="F15" s="12" t="n">
        <v>1655.7</v>
      </c>
      <c r="G15" s="12" t="n">
        <v>1658.7</v>
      </c>
      <c r="H15" s="12"/>
      <c r="I15" s="13" t="n">
        <v>200</v>
      </c>
      <c r="J15" s="14" t="n">
        <f aca="false">IF(OR(E15="",G15=""),"",G15-E15)</f>
        <v>3</v>
      </c>
      <c r="K15" s="15" t="n">
        <f aca="false">IF(OR(I15="",J15="",J15&lt;=0),"",I15/J15)</f>
        <v>66.6666666666667</v>
      </c>
      <c r="L15" s="16" t="n">
        <f aca="false">IF(H15="",G15,MAX(H15,G15))</f>
        <v>1658.7</v>
      </c>
      <c r="M15" s="17" t="s">
        <v>120</v>
      </c>
      <c r="N15" s="10" t="str">
        <f aca="false">IF(OR(F15="",G15=""),"ENTER MIN AND MAX",IF(G15&lt;=F15,"MAX must be above MIN",IF(AND(E15&lt;&gt;"",F15&lt;E15),"MIN below floor",IF(AND(H15&lt;&gt;"",H15&lt;G15),"inlet below MAX – MAX used","OK"))))</f>
        <v>OK</v>
      </c>
    </row>
    <row r="16" customFormat="false" ht="15" hidden="false" customHeight="false" outlineLevel="0" collapsed="false">
      <c r="A16" s="9" t="s">
        <v>121</v>
      </c>
      <c r="B16" s="10" t="s">
        <v>122</v>
      </c>
      <c r="C16" s="11" t="s">
        <v>119</v>
      </c>
      <c r="D16" s="12" t="n">
        <v>1521.4</v>
      </c>
      <c r="E16" s="12" t="n">
        <v>1521.4</v>
      </c>
      <c r="F16" s="12" t="n">
        <v>1521.4</v>
      </c>
      <c r="G16" s="12" t="n">
        <v>1524.4</v>
      </c>
      <c r="H16" s="12"/>
      <c r="I16" s="13" t="n">
        <v>200</v>
      </c>
      <c r="J16" s="14" t="n">
        <f aca="false">IF(OR(E16="",G16=""),"",G16-E16)</f>
        <v>3</v>
      </c>
      <c r="K16" s="15" t="n">
        <f aca="false">IF(OR(I16="",J16="",J16&lt;=0),"",I16/J16)</f>
        <v>66.6666666666667</v>
      </c>
      <c r="L16" s="16" t="n">
        <f aca="false">IF(H16="",G16,MAX(H16,G16))</f>
        <v>1524.4</v>
      </c>
      <c r="M16" s="17" t="s">
        <v>120</v>
      </c>
      <c r="N16" s="10" t="str">
        <f aca="false">IF(OR(F16="",G16=""),"ENTER MIN AND MAX",IF(G16&lt;=F16,"MAX must be above MIN",IF(AND(E16&lt;&gt;"",F16&lt;E16),"MIN below floor",IF(AND(H16&lt;&gt;"",H16&lt;G16),"inlet below MAX – MAX used","OK"))))</f>
        <v>OK</v>
      </c>
    </row>
    <row r="18" customFormat="false" ht="15" hidden="false" customHeight="false" outlineLevel="0" collapsed="false">
      <c r="A18" s="3" t="s">
        <v>123</v>
      </c>
    </row>
    <row r="19" customFormat="false" ht="15" hidden="false" customHeight="false" outlineLevel="0" collapsed="false">
      <c r="A19" s="2" t="s">
        <v>124</v>
      </c>
    </row>
    <row r="20" customFormat="false" ht="15" hidden="false" customHeight="false" outlineLevel="0" collapsed="false">
      <c r="A20" s="2" t="s">
        <v>125</v>
      </c>
    </row>
    <row r="21" customFormat="false" ht="15" hidden="false" customHeight="false" outlineLevel="0" collapsed="false">
      <c r="A21" s="2" t="s">
        <v>126</v>
      </c>
    </row>
    <row r="22" customFormat="false" ht="15" hidden="false" customHeight="false" outlineLevel="0" collapsed="false">
      <c r="A22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8" min="7" style="0" width="13"/>
    <col collapsed="false" customWidth="true" hidden="false" outlineLevel="0" max="9" min="9" style="0" width="40"/>
    <col collapsed="false" customWidth="true" hidden="false" outlineLevel="0" max="11" min="10" style="0" width="11"/>
    <col collapsed="false" customWidth="true" hidden="false" outlineLevel="0" max="13" min="12" style="0" width="13"/>
    <col collapsed="false" customWidth="true" hidden="false" outlineLevel="0" max="17" min="14" style="0" width="12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18" t="s">
        <v>130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customFormat="false" ht="42" hidden="false" customHeight="true" outlineLevel="0" collapsed="false">
      <c r="A5" s="8" t="s">
        <v>131</v>
      </c>
      <c r="B5" s="8" t="s">
        <v>132</v>
      </c>
      <c r="C5" s="8" t="s">
        <v>133</v>
      </c>
      <c r="D5" s="8" t="s">
        <v>134</v>
      </c>
      <c r="E5" s="8" t="s">
        <v>135</v>
      </c>
      <c r="F5" s="8" t="s">
        <v>136</v>
      </c>
      <c r="G5" s="8" t="s">
        <v>137</v>
      </c>
      <c r="H5" s="8" t="s">
        <v>138</v>
      </c>
      <c r="I5" s="8" t="s">
        <v>139</v>
      </c>
      <c r="J5" s="8" t="s">
        <v>140</v>
      </c>
      <c r="K5" s="8" t="s">
        <v>141</v>
      </c>
      <c r="L5" s="8" t="s">
        <v>142</v>
      </c>
      <c r="M5" s="8" t="s">
        <v>143</v>
      </c>
      <c r="N5" s="8" t="s">
        <v>144</v>
      </c>
      <c r="O5" s="8" t="s">
        <v>145</v>
      </c>
      <c r="P5" s="8" t="s">
        <v>146</v>
      </c>
      <c r="Q5" s="8" t="s">
        <v>147</v>
      </c>
    </row>
    <row r="6" customFormat="false" ht="15" hidden="false" customHeight="false" outlineLevel="0" collapsed="false">
      <c r="A6" s="9" t="s">
        <v>34</v>
      </c>
      <c r="B6" s="10" t="s">
        <v>148</v>
      </c>
      <c r="C6" s="19" t="n">
        <f aca="false">'Z1 River-Intake'!K12</f>
        <v>271.532529597046</v>
      </c>
      <c r="D6" s="20" t="n">
        <f aca="false">'Z1 River-Intake'!M12</f>
        <v>0.960349873235916</v>
      </c>
      <c r="E6" s="21" t="n">
        <f aca="false">'Z1 River-Intake'!P12</f>
        <v>0.178173734141425</v>
      </c>
      <c r="F6" s="21" t="n">
        <f aca="false">'Z1 River-Intake'!$B$25</f>
        <v>1360.17817373414</v>
      </c>
      <c r="G6" s="22" t="str">
        <f aca="false">'Z1 River-Intake'!$B$26</f>
        <v>MOMBA_INTAKE</v>
      </c>
      <c r="H6" s="23" t="n">
        <f aca="false">'Z1 River-Intake'!$B$27</f>
        <v>0.82182626585859</v>
      </c>
      <c r="I6" s="19" t="n">
        <f aca="false">'Z1 River-Intake'!$B$28</f>
        <v>4.32182626585859</v>
      </c>
      <c r="J6" s="10" t="s">
        <v>149</v>
      </c>
      <c r="K6" s="10" t="s">
        <v>149</v>
      </c>
      <c r="L6" s="10" t="s">
        <v>149</v>
      </c>
      <c r="M6" s="10" t="s">
        <v>149</v>
      </c>
      <c r="N6" s="10" t="s">
        <v>149</v>
      </c>
      <c r="O6" s="19" t="str">
        <f aca="false">'Z1 River-Intake'!$B$30</f>
        <v>no points between tanks</v>
      </c>
      <c r="P6" s="24" t="n">
        <v>0.82</v>
      </c>
      <c r="Q6" s="25" t="n">
        <f aca="false">H6-P6</f>
        <v>0.00182626585859003</v>
      </c>
    </row>
    <row r="7" customFormat="false" ht="15" hidden="false" customHeight="false" outlineLevel="0" collapsed="false">
      <c r="A7" s="9" t="s">
        <v>36</v>
      </c>
      <c r="B7" s="10" t="s">
        <v>150</v>
      </c>
      <c r="C7" s="19" t="n">
        <f aca="false">'Z2 Intake-Grit'!K18</f>
        <v>271.532529597046</v>
      </c>
      <c r="D7" s="20" t="n">
        <f aca="false">'Z2 Intake-Grit'!M18</f>
        <v>0.960349873235916</v>
      </c>
      <c r="E7" s="21" t="n">
        <f aca="false">'Z2 Intake-Grit'!P18</f>
        <v>0.0534521202424276</v>
      </c>
      <c r="F7" s="21" t="n">
        <f aca="false">'Z2 Intake-Grit'!$B$31</f>
        <v>1369.05345212024</v>
      </c>
      <c r="G7" s="22" t="str">
        <f aca="false">'Z2 Intake-Grit'!$B$32</f>
        <v>GRIT_TANK</v>
      </c>
      <c r="H7" s="23" t="n">
        <f aca="false">'Z2 Intake-Grit'!$B$34</f>
        <v>12.0534521202424</v>
      </c>
      <c r="I7" s="19" t="n">
        <f aca="false">'Z2 Intake-Grit'!$B$35</f>
        <v>8.05345212024236</v>
      </c>
      <c r="J7" s="19" t="n">
        <f aca="false">'Z2 Intake-Grit'!$B$14</f>
        <v>10</v>
      </c>
      <c r="K7" s="26" t="n">
        <f aca="false">'Z2 Intake-Grit'!$B$46</f>
        <v>2.05345212024236</v>
      </c>
      <c r="L7" s="19" t="n">
        <f aca="false">'Z2 Intake-Grit'!$B$40</f>
        <v>42.8095888271886</v>
      </c>
      <c r="M7" s="19" t="n">
        <f aca="false">'Z2 Intake-Grit'!$B$42</f>
        <v>55</v>
      </c>
      <c r="N7" s="27" t="n">
        <f aca="false">'Z2 Intake-Grit'!$B$43</f>
        <v>1001.92654701931</v>
      </c>
      <c r="O7" s="19" t="str">
        <f aca="false">'Z2 Intake-Grit'!$B$47</f>
        <v>no points between tanks</v>
      </c>
      <c r="P7" s="24" t="n">
        <v>12.05</v>
      </c>
      <c r="Q7" s="25" t="n">
        <f aca="false">H7-P7</f>
        <v>0.00345212024235408</v>
      </c>
    </row>
    <row r="8" customFormat="false" ht="15" hidden="false" customHeight="false" outlineLevel="0" collapsed="false">
      <c r="A8" s="9" t="s">
        <v>38</v>
      </c>
      <c r="B8" s="10" t="s">
        <v>150</v>
      </c>
      <c r="C8" s="19" t="n">
        <f aca="false">'Z3 Grit-WTP'!K18</f>
        <v>271.532529597046</v>
      </c>
      <c r="D8" s="20" t="n">
        <f aca="false">'Z3 Grit-WTP'!M18</f>
        <v>0.960349873235916</v>
      </c>
      <c r="E8" s="21" t="n">
        <f aca="false">'Z3 Grit-WTP'!P18</f>
        <v>1.92160372271527</v>
      </c>
      <c r="F8" s="21" t="n">
        <f aca="false">'Z3 Grit-WTP'!$B$33</f>
        <v>1380.92160372272</v>
      </c>
      <c r="G8" s="22" t="str">
        <f aca="false">'Z3 Grit-WTP'!$B$34</f>
        <v>MOMBA_WTP</v>
      </c>
      <c r="H8" s="23" t="n">
        <f aca="false">'Z3 Grit-WTP'!$B$36</f>
        <v>17.4216037227152</v>
      </c>
      <c r="I8" s="19" t="n">
        <f aca="false">'Z3 Grit-WTP'!$B$37</f>
        <v>15.9216037227152</v>
      </c>
      <c r="J8" s="19" t="n">
        <f aca="false">'Z3 Grit-WTP'!$B$14</f>
        <v>25</v>
      </c>
      <c r="K8" s="26" t="n">
        <f aca="false">'Z3 Grit-WTP'!$B$48</f>
        <v>-7.57839627728481</v>
      </c>
      <c r="L8" s="19" t="n">
        <f aca="false">'Z3 Grit-WTP'!$B$42</f>
        <v>61.8753602403374</v>
      </c>
      <c r="M8" s="19" t="n">
        <f aca="false">'Z3 Grit-WTP'!$B$44</f>
        <v>75</v>
      </c>
      <c r="N8" s="27" t="n">
        <f aca="false">'Z3 Grit-WTP'!$B$45</f>
        <v>1448.14672902917</v>
      </c>
      <c r="O8" s="19" t="n">
        <f aca="false">'Z3 Grit-WTP'!$B$49</f>
        <v>8.3046102892913</v>
      </c>
      <c r="P8" s="24" t="n">
        <v>17.42</v>
      </c>
      <c r="Q8" s="25" t="n">
        <f aca="false">H8-P8</f>
        <v>0.00160372271518838</v>
      </c>
    </row>
    <row r="9" customFormat="false" ht="15" hidden="false" customHeight="false" outlineLevel="0" collapsed="false">
      <c r="A9" s="9" t="s">
        <v>40</v>
      </c>
      <c r="B9" s="10" t="s">
        <v>150</v>
      </c>
      <c r="C9" s="19" t="n">
        <f aca="false">'Z4 WTP-Ikana'!K18</f>
        <v>252.525252525253</v>
      </c>
      <c r="D9" s="20" t="n">
        <f aca="false">'Z4 WTP-Ikana'!M18</f>
        <v>0.893125382109402</v>
      </c>
      <c r="E9" s="21" t="n">
        <f aca="false">'Z4 WTP-Ikana'!P18</f>
        <v>30.6324197215559</v>
      </c>
      <c r="F9" s="21" t="n">
        <f aca="false">'Z4 WTP-Ikana'!$B$33</f>
        <v>1699.63241972156</v>
      </c>
      <c r="G9" s="22" t="str">
        <f aca="false">'Z4 WTP-Ikana'!$B$34</f>
        <v>IKANA_GBR</v>
      </c>
      <c r="H9" s="23" t="n">
        <f aca="false">'Z4 WTP-Ikana'!$B$36</f>
        <v>334.132419721556</v>
      </c>
      <c r="I9" s="19" t="n">
        <f aca="false">'Z4 WTP-Ikana'!$B$37</f>
        <v>329.632419721556</v>
      </c>
      <c r="J9" s="19" t="n">
        <f aca="false">'Z4 WTP-Ikana'!$B$14</f>
        <v>330</v>
      </c>
      <c r="K9" s="26" t="n">
        <f aca="false">'Z4 WTP-Ikana'!$B$48</f>
        <v>4.13241972155583</v>
      </c>
      <c r="L9" s="19" t="n">
        <f aca="false">'Z4 WTP-Ikana'!$B$42</f>
        <v>353.733816527288</v>
      </c>
      <c r="M9" s="19" t="n">
        <f aca="false">'Z4 WTP-Ikana'!$B$44</f>
        <v>450</v>
      </c>
      <c r="N9" s="27" t="n">
        <f aca="false">'Z4 WTP-Ikana'!$B$45</f>
        <v>24575.1914640011</v>
      </c>
      <c r="O9" s="19" t="n">
        <f aca="false">'Z4 WTP-Ikana'!$B$49</f>
        <v>8.8711377262955</v>
      </c>
      <c r="P9" s="24" t="n">
        <v>334.13</v>
      </c>
      <c r="Q9" s="25" t="n">
        <f aca="false">H9-P9</f>
        <v>0.00241972155583881</v>
      </c>
    </row>
    <row r="10" customFormat="false" ht="15" hidden="false" customHeight="false" outlineLevel="0" collapsed="false">
      <c r="A10" s="9" t="s">
        <v>42</v>
      </c>
      <c r="B10" s="10" t="s">
        <v>148</v>
      </c>
      <c r="C10" s="19" t="n">
        <f aca="false">'Z5 Ikana-Nkangamo'!K12</f>
        <v>231.481481481482</v>
      </c>
      <c r="D10" s="20" t="n">
        <f aca="false">'Z5 Ikana-Nkangamo'!M12</f>
        <v>0.818698266933618</v>
      </c>
      <c r="E10" s="21" t="n">
        <f aca="false">'Z5 Ikana-Nkangamo'!P12</f>
        <v>51.6150464843491</v>
      </c>
      <c r="F10" s="21" t="n">
        <f aca="false">'Z5 Ikana-Nkangamo'!$B$27</f>
        <v>1610.11504648435</v>
      </c>
      <c r="G10" s="22" t="str">
        <f aca="false">'Z5 Ikana-Nkangamo'!$B$28</f>
        <v>NKANGAMO_BPS</v>
      </c>
      <c r="H10" s="23" t="n">
        <f aca="false">'Z5 Ikana-Nkangamo'!$B$29</f>
        <v>53.1849535156509</v>
      </c>
      <c r="I10" s="19" t="n">
        <f aca="false">'Z5 Ikana-Nkangamo'!$B$30</f>
        <v>57.884953515651</v>
      </c>
      <c r="J10" s="10" t="s">
        <v>149</v>
      </c>
      <c r="K10" s="10" t="s">
        <v>149</v>
      </c>
      <c r="L10" s="10" t="s">
        <v>149</v>
      </c>
      <c r="M10" s="10" t="s">
        <v>149</v>
      </c>
      <c r="N10" s="10" t="s">
        <v>149</v>
      </c>
      <c r="O10" s="19" t="n">
        <f aca="false">'Z5 Ikana-Nkangamo'!$B$32</f>
        <v>65.6117258262989</v>
      </c>
      <c r="P10" s="24" t="n">
        <v>53.18</v>
      </c>
      <c r="Q10" s="25" t="n">
        <f aca="false">H10-P10</f>
        <v>0.00495351565093216</v>
      </c>
    </row>
    <row r="11" customFormat="false" ht="15" hidden="false" customHeight="false" outlineLevel="0" collapsed="false">
      <c r="A11" s="9" t="s">
        <v>44</v>
      </c>
      <c r="B11" s="10" t="s">
        <v>150</v>
      </c>
      <c r="C11" s="19" t="n">
        <f aca="false">'Z6 Nkangamo-Uhuru'!K18</f>
        <v>252.525252525253</v>
      </c>
      <c r="D11" s="20" t="n">
        <f aca="false">'Z6 Nkangamo-Uhuru'!M18</f>
        <v>0.893125382109402</v>
      </c>
      <c r="E11" s="21" t="n">
        <f aca="false">'Z6 Nkangamo-Uhuru'!P18</f>
        <v>30.5012643161497</v>
      </c>
      <c r="F11" s="21" t="n">
        <f aca="false">'Z6 Nkangamo-Uhuru'!$B$50</f>
        <v>1738.22838936202</v>
      </c>
      <c r="G11" s="22" t="str">
        <f aca="false">'Z6 Nkangamo-Uhuru'!$B$51</f>
        <v>TUNDUMA_ESR</v>
      </c>
      <c r="H11" s="23" t="n">
        <f aca="false">'Z6 Nkangamo-Uhuru'!$B$53</f>
        <v>188.228389362017</v>
      </c>
      <c r="I11" s="19" t="n">
        <f aca="false">'Z6 Nkangamo-Uhuru'!$B$54</f>
        <v>184.228389362017</v>
      </c>
      <c r="J11" s="19" t="n">
        <f aca="false">'Z6 Nkangamo-Uhuru'!$B$14</f>
        <v>221</v>
      </c>
      <c r="K11" s="26" t="n">
        <f aca="false">'Z6 Nkangamo-Uhuru'!$B$65</f>
        <v>-32.7716106379835</v>
      </c>
      <c r="L11" s="19" t="n">
        <f aca="false">'Z6 Nkangamo-Uhuru'!$B$59</f>
        <v>298.905804785254</v>
      </c>
      <c r="M11" s="19" t="n">
        <f aca="false">'Z6 Nkangamo-Uhuru'!$B$61</f>
        <v>355</v>
      </c>
      <c r="N11" s="27" t="n">
        <f aca="false">'Z6 Nkangamo-Uhuru'!$B$62</f>
        <v>13844.058326896</v>
      </c>
      <c r="O11" s="19" t="n">
        <f aca="false">'Z6 Nkangamo-Uhuru'!$B$66</f>
        <v>6.67274044521719</v>
      </c>
      <c r="P11" s="24" t="n">
        <v>188.23</v>
      </c>
      <c r="Q11" s="25" t="n">
        <f aca="false">H11-P11</f>
        <v>-0.00161063798347527</v>
      </c>
    </row>
    <row r="12" customFormat="false" ht="15" hidden="false" customHeight="false" outlineLevel="0" collapsed="false">
      <c r="A12" s="9" t="s">
        <v>46</v>
      </c>
      <c r="B12" s="10" t="s">
        <v>148</v>
      </c>
      <c r="C12" s="19" t="n">
        <f aca="false">'Z7 Uhuru-Chapwa'!K12</f>
        <v>14.400462962963</v>
      </c>
      <c r="D12" s="20" t="n">
        <f aca="false">'Z7 Uhuru-Chapwa'!M12</f>
        <v>0.814899506975046</v>
      </c>
      <c r="E12" s="21" t="n">
        <f aca="false">'Z7 Uhuru-Chapwa'!P12</f>
        <v>10.3535586539094</v>
      </c>
      <c r="F12" s="21" t="n">
        <f aca="false">'Z7 Uhuru-Chapwa'!$B$37</f>
        <v>1701.50733167038</v>
      </c>
      <c r="G12" s="22" t="str">
        <f aca="false">'Z7 Uhuru-Chapwa'!$B$38</f>
        <v>point on UHURU_J004N</v>
      </c>
      <c r="H12" s="23" t="n">
        <f aca="false">'Z7 Uhuru-Chapwa'!$B$39</f>
        <v>-3.90733167038434</v>
      </c>
      <c r="I12" s="19" t="n">
        <f aca="false">'Z7 Uhuru-Chapwa'!$B$40</f>
        <v>0.792668329615708</v>
      </c>
      <c r="J12" s="10" t="s">
        <v>149</v>
      </c>
      <c r="K12" s="10" t="s">
        <v>149</v>
      </c>
      <c r="L12" s="10" t="s">
        <v>149</v>
      </c>
      <c r="M12" s="10" t="s">
        <v>149</v>
      </c>
      <c r="N12" s="10" t="s">
        <v>149</v>
      </c>
      <c r="O12" s="19" t="n">
        <f aca="false">'Z7 Uhuru-Chapwa'!$B$42</f>
        <v>-1.90759655196166</v>
      </c>
      <c r="P12" s="24" t="n">
        <v>-3.91</v>
      </c>
      <c r="Q12" s="25" t="n">
        <f aca="false">H12-P12</f>
        <v>0.00266832961566266</v>
      </c>
    </row>
    <row r="13" customFormat="false" ht="15" hidden="false" customHeight="false" outlineLevel="0" collapsed="false">
      <c r="A13" s="9" t="s">
        <v>151</v>
      </c>
      <c r="N13" s="28" t="n">
        <f aca="false">SUM(N6:N12)</f>
        <v>40869.3230669455</v>
      </c>
    </row>
    <row r="14" customFormat="false" ht="15" hidden="false" customHeight="false" outlineLevel="0" collapsed="false">
      <c r="A14" s="2" t="s">
        <v>152</v>
      </c>
    </row>
    <row r="16" customFormat="false" ht="15" hidden="false" customHeight="false" outlineLevel="0" collapsed="false">
      <c r="A16" s="18" t="s">
        <v>153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customFormat="false" ht="42" hidden="false" customHeight="true" outlineLevel="0" collapsed="false">
      <c r="A17" s="8" t="s">
        <v>154</v>
      </c>
      <c r="B17" s="8" t="s">
        <v>155</v>
      </c>
      <c r="C17" s="8" t="s">
        <v>156</v>
      </c>
      <c r="D17" s="8" t="s">
        <v>157</v>
      </c>
      <c r="E17" s="8" t="s">
        <v>158</v>
      </c>
      <c r="F17" s="8" t="s">
        <v>159</v>
      </c>
      <c r="G17" s="8" t="s">
        <v>160</v>
      </c>
      <c r="H17" s="8" t="s">
        <v>161</v>
      </c>
      <c r="I17" s="8" t="s">
        <v>162</v>
      </c>
      <c r="J17" s="8" t="s">
        <v>80</v>
      </c>
      <c r="K17" s="8" t="s">
        <v>163</v>
      </c>
      <c r="L17" s="8" t="s">
        <v>164</v>
      </c>
    </row>
    <row r="18" customFormat="false" ht="15" hidden="false" customHeight="false" outlineLevel="0" collapsed="false">
      <c r="A18" s="9" t="s">
        <v>89</v>
      </c>
      <c r="B18" s="21" t="n">
        <f aca="false">Levels!$F$6</f>
        <v>1360</v>
      </c>
      <c r="C18" s="21" t="n">
        <f aca="false">Levels!$G$6</f>
        <v>1364</v>
      </c>
      <c r="D18" s="21" t="n">
        <f aca="false">Levels!$L$6</f>
        <v>1360</v>
      </c>
      <c r="E18" s="10" t="s">
        <v>34</v>
      </c>
      <c r="F18" s="21" t="n">
        <f aca="false">'Z1 River-Intake'!I16</f>
        <v>1360.82182626586</v>
      </c>
      <c r="G18" s="21" t="n">
        <f aca="false">'Z1 River-Intake'!J16</f>
        <v>0.82182626585859</v>
      </c>
      <c r="H18" s="21" t="n">
        <f aca="false">'Z1 River-Intake'!K16</f>
        <v>4.32182626585859</v>
      </c>
      <c r="I18" s="22" t="str">
        <f aca="false">'Z1 River-Intake'!L16</f>
        <v>OK</v>
      </c>
      <c r="J18" s="27" t="str">
        <f aca="false">IF(Levels!$I$6="","",Levels!$I$6)</f>
        <v/>
      </c>
      <c r="K18" s="10" t="s">
        <v>149</v>
      </c>
      <c r="L18" s="10" t="s">
        <v>149</v>
      </c>
    </row>
    <row r="19" customFormat="false" ht="15" hidden="false" customHeight="false" outlineLevel="0" collapsed="false">
      <c r="A19" s="9" t="s">
        <v>93</v>
      </c>
      <c r="B19" s="21" t="n">
        <f aca="false">Levels!$F$7</f>
        <v>1366.5</v>
      </c>
      <c r="C19" s="21" t="n">
        <f aca="false">Levels!$G$7</f>
        <v>1368</v>
      </c>
      <c r="D19" s="21" t="n">
        <f aca="false">Levels!$L$7</f>
        <v>1368</v>
      </c>
      <c r="E19" s="10" t="s">
        <v>36</v>
      </c>
      <c r="F19" s="21" t="n">
        <f aca="false">'Z2 Intake-Grit'!I22</f>
        <v>1369</v>
      </c>
      <c r="G19" s="21" t="n">
        <f aca="false">'Z2 Intake-Grit'!J22</f>
        <v>0</v>
      </c>
      <c r="H19" s="21" t="n">
        <f aca="false">'Z2 Intake-Grit'!K22</f>
        <v>4</v>
      </c>
      <c r="I19" s="22" t="str">
        <f aca="false">'Z2 Intake-Grit'!L22</f>
        <v>OK</v>
      </c>
      <c r="J19" s="27" t="str">
        <f aca="false">IF(Levels!$I$7="","",Levels!$I$7)</f>
        <v/>
      </c>
      <c r="K19" s="10" t="s">
        <v>149</v>
      </c>
      <c r="L19" s="10" t="s">
        <v>149</v>
      </c>
    </row>
    <row r="20" customFormat="false" ht="15" hidden="false" customHeight="false" outlineLevel="0" collapsed="false">
      <c r="A20" s="9" t="s">
        <v>96</v>
      </c>
      <c r="B20" s="21" t="n">
        <f aca="false">Levels!$F$8</f>
        <v>1368.5</v>
      </c>
      <c r="C20" s="21" t="n">
        <f aca="false">Levels!$G$8</f>
        <v>1373</v>
      </c>
      <c r="D20" s="21" t="n">
        <f aca="false">Levels!$L$8</f>
        <v>1378</v>
      </c>
      <c r="E20" s="10" t="s">
        <v>38</v>
      </c>
      <c r="F20" s="21" t="n">
        <f aca="false">'Z3 Grit-WTP'!I22</f>
        <v>1379</v>
      </c>
      <c r="G20" s="21" t="n">
        <f aca="false">'Z3 Grit-WTP'!J22</f>
        <v>0</v>
      </c>
      <c r="H20" s="21" t="n">
        <f aca="false">'Z3 Grit-WTP'!K22</f>
        <v>1.5</v>
      </c>
      <c r="I20" s="22" t="str">
        <f aca="false">'Z3 Grit-WTP'!L22</f>
        <v>OK</v>
      </c>
      <c r="J20" s="27" t="n">
        <f aca="false">IF(Levels!$I$8="","",Levels!$I$8)</f>
        <v>4000</v>
      </c>
      <c r="K20" s="10" t="s">
        <v>149</v>
      </c>
      <c r="L20" s="10" t="s">
        <v>149</v>
      </c>
    </row>
    <row r="21" customFormat="false" ht="15" hidden="false" customHeight="false" outlineLevel="0" collapsed="false">
      <c r="A21" s="9" t="s">
        <v>99</v>
      </c>
      <c r="B21" s="21" t="n">
        <f aca="false">Levels!$F$9</f>
        <v>1663.3</v>
      </c>
      <c r="C21" s="21" t="n">
        <f aca="false">Levels!$G$9</f>
        <v>1668</v>
      </c>
      <c r="D21" s="21" t="n">
        <f aca="false">Levels!$L$9</f>
        <v>1668</v>
      </c>
      <c r="E21" s="10" t="s">
        <v>40</v>
      </c>
      <c r="F21" s="21" t="n">
        <f aca="false">'Z4 WTP-Ikana'!I22</f>
        <v>1669</v>
      </c>
      <c r="G21" s="21" t="n">
        <f aca="false">'Z4 WTP-Ikana'!J22</f>
        <v>0</v>
      </c>
      <c r="H21" s="21" t="n">
        <f aca="false">'Z4 WTP-Ikana'!K22</f>
        <v>4.5</v>
      </c>
      <c r="I21" s="22" t="str">
        <f aca="false">'Z4 WTP-Ikana'!L22</f>
        <v>OK</v>
      </c>
      <c r="J21" s="27" t="n">
        <f aca="false">IF(Levels!$I$9="","",Levels!$I$9)</f>
        <v>3000</v>
      </c>
      <c r="K21" s="27" t="n">
        <f aca="false">Storage!I5</f>
        <v>1666.66666666667</v>
      </c>
      <c r="L21" s="22" t="str">
        <f aca="false">Storage!L5</f>
        <v>OK</v>
      </c>
    </row>
    <row r="22" customFormat="false" ht="15" hidden="false" customHeight="false" outlineLevel="0" collapsed="false">
      <c r="A22" s="9" t="s">
        <v>102</v>
      </c>
      <c r="B22" s="21" t="n">
        <f aca="false">Levels!$F$10</f>
        <v>1553</v>
      </c>
      <c r="C22" s="21" t="n">
        <f aca="false">Levels!$G$10</f>
        <v>1557</v>
      </c>
      <c r="D22" s="21" t="n">
        <f aca="false">Levels!$L$10</f>
        <v>1557.5</v>
      </c>
      <c r="E22" s="10" t="s">
        <v>42</v>
      </c>
      <c r="F22" s="21" t="n">
        <f aca="false">'Z5 Ikana-Nkangamo'!I16</f>
        <v>1611.68495351565</v>
      </c>
      <c r="G22" s="21" t="n">
        <f aca="false">'Z5 Ikana-Nkangamo'!J16</f>
        <v>53.1849535156507</v>
      </c>
      <c r="H22" s="21" t="n">
        <f aca="false">'Z5 Ikana-Nkangamo'!K16</f>
        <v>57.8849535156508</v>
      </c>
      <c r="I22" s="22" t="str">
        <f aca="false">'Z5 Ikana-Nkangamo'!L16</f>
        <v>fit flow control valve / PRV (burns 53.2–57.9 m)</v>
      </c>
      <c r="J22" s="27" t="n">
        <f aca="false">IF(Levels!$I$10="","",Levels!$I$10)</f>
        <v>2000</v>
      </c>
      <c r="K22" s="27" t="n">
        <f aca="false">Storage!I6</f>
        <v>1666.66666666667</v>
      </c>
      <c r="L22" s="22" t="str">
        <f aca="false">Storage!L6</f>
        <v>OK</v>
      </c>
    </row>
    <row r="23" customFormat="false" ht="15" hidden="false" customHeight="false" outlineLevel="0" collapsed="false">
      <c r="A23" s="9" t="s">
        <v>108</v>
      </c>
      <c r="B23" s="21" t="n">
        <f aca="false">Levels!$F$12</f>
        <v>1703.5</v>
      </c>
      <c r="C23" s="21" t="n">
        <f aca="false">Levels!$G$12</f>
        <v>1706.5</v>
      </c>
      <c r="D23" s="21" t="n">
        <f aca="false">Levels!$L$12</f>
        <v>1706.5</v>
      </c>
      <c r="E23" s="10" t="s">
        <v>44</v>
      </c>
      <c r="F23" s="21" t="n">
        <f aca="false">'Z6 Nkangamo-Uhuru'!I28</f>
        <v>1707.5</v>
      </c>
      <c r="G23" s="21" t="n">
        <f aca="false">'Z6 Nkangamo-Uhuru'!J28</f>
        <v>0</v>
      </c>
      <c r="H23" s="21" t="n">
        <f aca="false">'Z6 Nkangamo-Uhuru'!K28</f>
        <v>4</v>
      </c>
      <c r="I23" s="22" t="str">
        <f aca="false">'Z6 Nkangamo-Uhuru'!L28</f>
        <v>OK</v>
      </c>
      <c r="J23" s="27" t="n">
        <f aca="false">IF(Levels!$I$12="","",Levels!$I$12)</f>
        <v>120</v>
      </c>
      <c r="K23" s="27" t="n">
        <f aca="false">Storage!I8</f>
        <v>30.96</v>
      </c>
      <c r="L23" s="22" t="str">
        <f aca="false">Storage!L8</f>
        <v>OK</v>
      </c>
    </row>
    <row r="24" customFormat="false" ht="15" hidden="false" customHeight="false" outlineLevel="0" collapsed="false">
      <c r="A24" s="9" t="s">
        <v>111</v>
      </c>
      <c r="B24" s="21" t="n">
        <f aca="false">Levels!$F$13</f>
        <v>1698.4</v>
      </c>
      <c r="C24" s="21" t="n">
        <f aca="false">Levels!$G$13</f>
        <v>1701.4</v>
      </c>
      <c r="D24" s="21" t="n">
        <f aca="false">Levels!$L$13</f>
        <v>1701.4</v>
      </c>
      <c r="E24" s="10" t="s">
        <v>44</v>
      </c>
      <c r="F24" s="21" t="n">
        <f aca="false">'Z6 Nkangamo-Uhuru'!I29</f>
        <v>1707.20135160963</v>
      </c>
      <c r="G24" s="21" t="n">
        <f aca="false">'Z6 Nkangamo-Uhuru'!J29</f>
        <v>4.80135160963278</v>
      </c>
      <c r="H24" s="21" t="n">
        <f aca="false">'Z6 Nkangamo-Uhuru'!K29</f>
        <v>8.80135160963278</v>
      </c>
      <c r="I24" s="22" t="str">
        <f aca="false">'Z6 Nkangamo-Uhuru'!L29</f>
        <v>fit flow control valve / PRV (burns 4.8–8.8 m)</v>
      </c>
      <c r="J24" s="27" t="n">
        <f aca="false">IF(Levels!$I$13="","",Levels!$I$13)</f>
        <v>500</v>
      </c>
      <c r="K24" s="27" t="n">
        <f aca="false">Storage!I9</f>
        <v>128.88</v>
      </c>
      <c r="L24" s="22" t="str">
        <f aca="false">Storage!L9</f>
        <v>OK</v>
      </c>
    </row>
    <row r="25" customFormat="false" ht="15" hidden="false" customHeight="false" outlineLevel="0" collapsed="false">
      <c r="A25" s="9" t="s">
        <v>114</v>
      </c>
      <c r="B25" s="21" t="n">
        <f aca="false">Levels!$F$14</f>
        <v>1681.2</v>
      </c>
      <c r="C25" s="21" t="n">
        <f aca="false">Levels!$G$14</f>
        <v>1684.2</v>
      </c>
      <c r="D25" s="21" t="n">
        <f aca="false">Levels!$L$14</f>
        <v>1684.2</v>
      </c>
      <c r="E25" s="10" t="s">
        <v>44</v>
      </c>
      <c r="F25" s="21" t="n">
        <f aca="false">'Z6 Nkangamo-Uhuru'!I30</f>
        <v>1698.44117934525</v>
      </c>
      <c r="G25" s="21" t="n">
        <f aca="false">'Z6 Nkangamo-Uhuru'!J30</f>
        <v>13.2411793452468</v>
      </c>
      <c r="H25" s="21" t="n">
        <f aca="false">'Z6 Nkangamo-Uhuru'!K30</f>
        <v>17.2411793452468</v>
      </c>
      <c r="I25" s="22" t="str">
        <f aca="false">'Z6 Nkangamo-Uhuru'!L30</f>
        <v>fit flow control valve / PRV (burns 13.2–17.2 m)</v>
      </c>
      <c r="J25" s="27" t="n">
        <f aca="false">IF(Levels!$I$14="","",Levels!$I$14)</f>
        <v>200</v>
      </c>
      <c r="K25" s="27" t="n">
        <f aca="false">Storage!I10</f>
        <v>51.8416666666668</v>
      </c>
      <c r="L25" s="22" t="str">
        <f aca="false">Storage!L10</f>
        <v>OK</v>
      </c>
    </row>
    <row r="26" customFormat="false" ht="15" hidden="false" customHeight="false" outlineLevel="0" collapsed="false">
      <c r="A26" s="9" t="s">
        <v>105</v>
      </c>
      <c r="B26" s="21" t="n">
        <f aca="false">Levels!$F$11</f>
        <v>1697.6</v>
      </c>
      <c r="C26" s="21" t="n">
        <f aca="false">Levels!$G$11</f>
        <v>1702.3</v>
      </c>
      <c r="D26" s="21" t="n">
        <f aca="false">Levels!$L$11</f>
        <v>1702.3</v>
      </c>
      <c r="E26" s="10" t="s">
        <v>44</v>
      </c>
      <c r="F26" s="21" t="n">
        <f aca="false">'Z6 Nkangamo-Uhuru'!I31</f>
        <v>1707.4768893659</v>
      </c>
      <c r="G26" s="21" t="n">
        <f aca="false">'Z6 Nkangamo-Uhuru'!J31</f>
        <v>4.17688936590298</v>
      </c>
      <c r="H26" s="21" t="n">
        <f aca="false">'Z6 Nkangamo-Uhuru'!K31</f>
        <v>8.17688936590298</v>
      </c>
      <c r="I26" s="22" t="str">
        <f aca="false">'Z6 Nkangamo-Uhuru'!L31</f>
        <v>fit flow control valve / PRV (burns 4.2–8.2 m)</v>
      </c>
      <c r="J26" s="27" t="n">
        <f aca="false">IF(Levels!$I$11="","",Levels!$I$11)</f>
        <v>5000</v>
      </c>
      <c r="K26" s="27" t="n">
        <f aca="false">Storage!I7</f>
        <v>1454.985</v>
      </c>
      <c r="L26" s="22" t="str">
        <f aca="false">Storage!L7</f>
        <v>OK</v>
      </c>
    </row>
    <row r="27" customFormat="false" ht="15" hidden="false" customHeight="false" outlineLevel="0" collapsed="false">
      <c r="A27" s="9" t="s">
        <v>117</v>
      </c>
      <c r="B27" s="21" t="n">
        <f aca="false">Levels!$F$15</f>
        <v>1655.7</v>
      </c>
      <c r="C27" s="21" t="n">
        <f aca="false">Levels!$G$15</f>
        <v>1658.7</v>
      </c>
      <c r="D27" s="21" t="n">
        <f aca="false">Levels!$L$15</f>
        <v>1658.7</v>
      </c>
      <c r="E27" s="10" t="s">
        <v>46</v>
      </c>
      <c r="F27" s="21" t="n">
        <f aca="false">'Z7 Uhuru-Chapwa'!I18</f>
        <v>1680.71745098204</v>
      </c>
      <c r="G27" s="21" t="n">
        <f aca="false">'Z7 Uhuru-Chapwa'!J18</f>
        <v>21.0174509820447</v>
      </c>
      <c r="H27" s="21" t="n">
        <f aca="false">'Z7 Uhuru-Chapwa'!K18</f>
        <v>25.7174509820447</v>
      </c>
      <c r="I27" s="22" t="str">
        <f aca="false">'Z7 Uhuru-Chapwa'!L18</f>
        <v>fit flow control valve / PRV (burns 21.0–25.7 m)</v>
      </c>
      <c r="J27" s="27" t="n">
        <f aca="false">IF(Levels!$I$15="","",Levels!$I$15)</f>
        <v>200</v>
      </c>
      <c r="K27" s="27" t="n">
        <f aca="false">Storage!I11</f>
        <v>0</v>
      </c>
      <c r="L27" s="22" t="str">
        <f aca="false">Storage!L11</f>
        <v>OK</v>
      </c>
    </row>
    <row r="28" customFormat="false" ht="15" hidden="false" customHeight="false" outlineLevel="0" collapsed="false">
      <c r="A28" s="9" t="s">
        <v>121</v>
      </c>
      <c r="B28" s="21" t="n">
        <f aca="false">Levels!$F$16</f>
        <v>1521.4</v>
      </c>
      <c r="C28" s="21" t="n">
        <f aca="false">Levels!$G$16</f>
        <v>1524.4</v>
      </c>
      <c r="D28" s="21" t="n">
        <f aca="false">Levels!$L$16</f>
        <v>1524.4</v>
      </c>
      <c r="E28" s="10" t="s">
        <v>46</v>
      </c>
      <c r="F28" s="21" t="n">
        <f aca="false">'Z7 Uhuru-Chapwa'!I19</f>
        <v>1650.36557573704</v>
      </c>
      <c r="G28" s="21" t="n">
        <f aca="false">'Z7 Uhuru-Chapwa'!J19</f>
        <v>124.965575737043</v>
      </c>
      <c r="H28" s="21" t="n">
        <f aca="false">'Z7 Uhuru-Chapwa'!K19</f>
        <v>129.665575737043</v>
      </c>
      <c r="I28" s="22" t="str">
        <f aca="false">'Z7 Uhuru-Chapwa'!L19</f>
        <v>fit flow control valve / PRV (burns 125.0–129.7 m)</v>
      </c>
      <c r="J28" s="27" t="n">
        <f aca="false">IF(Levels!$I$16="","",Levels!$I$16)</f>
        <v>200</v>
      </c>
      <c r="K28" s="27" t="n">
        <f aca="false">Storage!I12</f>
        <v>0</v>
      </c>
      <c r="L28" s="22" t="str">
        <f aca="false">Storage!L12</f>
        <v>OK</v>
      </c>
    </row>
    <row r="30" customFormat="false" ht="15" hidden="false" customHeight="false" outlineLevel="0" collapsed="false">
      <c r="A30" s="3" t="s">
        <v>165</v>
      </c>
    </row>
    <row r="31" customFormat="false" ht="15" hidden="false" customHeight="false" outlineLevel="0" collapsed="false">
      <c r="A31" s="29" t="str">
        <f aca="false">IF(COUNTIF(Levels!$N$5:$N$16,"OK")=12,"All levels entered and consistent","CHECK sheet Levels – "&amp;(12-COUNTIF(Levels!$N$5:$N$16,"OK"))&amp;" row(s) need attention")</f>
        <v>All levels entered and consistent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18" t="s">
        <v>168</v>
      </c>
      <c r="B4" s="18"/>
      <c r="C4" s="18"/>
      <c r="D4" s="18"/>
    </row>
    <row r="5" customFormat="false" ht="15" hidden="false" customHeight="false" outlineLevel="0" collapsed="false">
      <c r="A5" s="10" t="s">
        <v>169</v>
      </c>
      <c r="B5" s="12" t="n">
        <v>16215.62</v>
      </c>
      <c r="C5" s="10" t="s">
        <v>170</v>
      </c>
      <c r="D5" s="30" t="s">
        <v>171</v>
      </c>
    </row>
    <row r="6" customFormat="false" ht="15" hidden="false" customHeight="false" outlineLevel="0" collapsed="false">
      <c r="A6" s="10" t="s">
        <v>172</v>
      </c>
      <c r="B6" s="12" t="n">
        <v>1546.56</v>
      </c>
      <c r="C6" s="10" t="s">
        <v>170</v>
      </c>
      <c r="D6" s="30" t="s">
        <v>171</v>
      </c>
    </row>
    <row r="7" customFormat="false" ht="15" hidden="false" customHeight="false" outlineLevel="0" collapsed="false">
      <c r="A7" s="10" t="s">
        <v>173</v>
      </c>
      <c r="B7" s="12" t="n">
        <v>371.52</v>
      </c>
      <c r="C7" s="10" t="s">
        <v>170</v>
      </c>
      <c r="D7" s="30" t="s">
        <v>171</v>
      </c>
    </row>
    <row r="8" customFormat="false" ht="15" hidden="false" customHeight="false" outlineLevel="0" collapsed="false">
      <c r="A8" s="10" t="s">
        <v>174</v>
      </c>
      <c r="B8" s="12" t="n">
        <v>622.1</v>
      </c>
      <c r="C8" s="10" t="s">
        <v>170</v>
      </c>
      <c r="D8" s="30" t="s">
        <v>171</v>
      </c>
    </row>
    <row r="9" customFormat="false" ht="15" hidden="false" customHeight="false" outlineLevel="0" collapsed="false">
      <c r="A9" s="10" t="s">
        <v>175</v>
      </c>
      <c r="B9" s="12" t="n">
        <v>622.1</v>
      </c>
      <c r="C9" s="10" t="s">
        <v>170</v>
      </c>
      <c r="D9" s="30" t="s">
        <v>171</v>
      </c>
    </row>
    <row r="10" customFormat="false" ht="15" hidden="false" customHeight="false" outlineLevel="0" collapsed="false">
      <c r="A10" s="10" t="s">
        <v>176</v>
      </c>
      <c r="B10" s="12" t="n">
        <v>622.1</v>
      </c>
      <c r="C10" s="10" t="s">
        <v>170</v>
      </c>
      <c r="D10" s="30" t="s">
        <v>171</v>
      </c>
    </row>
    <row r="11" customFormat="false" ht="15" hidden="false" customHeight="false" outlineLevel="0" collapsed="false">
      <c r="A11" s="10" t="s">
        <v>177</v>
      </c>
      <c r="B11" s="31" t="n">
        <v>0.07</v>
      </c>
      <c r="C11" s="10" t="s">
        <v>149</v>
      </c>
      <c r="D11" s="30" t="s">
        <v>178</v>
      </c>
    </row>
    <row r="13" customFormat="false" ht="15" hidden="false" customHeight="false" outlineLevel="0" collapsed="false">
      <c r="A13" s="18" t="s">
        <v>179</v>
      </c>
      <c r="B13" s="18"/>
      <c r="C13" s="18"/>
      <c r="D13" s="18"/>
    </row>
    <row r="14" customFormat="false" ht="15" hidden="false" customHeight="false" outlineLevel="0" collapsed="false">
      <c r="A14" s="10" t="s">
        <v>180</v>
      </c>
      <c r="B14" s="16" t="n">
        <f aca="false">$B$9</f>
        <v>622.1</v>
      </c>
      <c r="C14" s="10" t="s">
        <v>170</v>
      </c>
      <c r="D14" s="30"/>
    </row>
    <row r="15" customFormat="false" ht="15" hidden="false" customHeight="false" outlineLevel="0" collapsed="false">
      <c r="A15" s="10" t="s">
        <v>181</v>
      </c>
      <c r="B15" s="16" t="n">
        <f aca="false">$B$10</f>
        <v>622.1</v>
      </c>
      <c r="C15" s="10" t="s">
        <v>170</v>
      </c>
      <c r="D15" s="30"/>
    </row>
    <row r="16" customFormat="false" ht="15" hidden="false" customHeight="false" outlineLevel="0" collapsed="false">
      <c r="A16" s="10" t="s">
        <v>182</v>
      </c>
      <c r="B16" s="16" t="n">
        <f aca="false">$B$14+$B$15</f>
        <v>1244.2</v>
      </c>
      <c r="C16" s="10" t="s">
        <v>170</v>
      </c>
      <c r="D16" s="30"/>
    </row>
    <row r="17" customFormat="false" ht="15" hidden="false" customHeight="false" outlineLevel="0" collapsed="false">
      <c r="A17" s="10" t="s">
        <v>183</v>
      </c>
      <c r="B17" s="16" t="n">
        <f aca="false">$B$5+$B$16</f>
        <v>17459.82</v>
      </c>
      <c r="C17" s="10" t="s">
        <v>170</v>
      </c>
      <c r="D17" s="30"/>
    </row>
    <row r="18" customFormat="false" ht="15" hidden="false" customHeight="false" outlineLevel="0" collapsed="false">
      <c r="A18" s="10" t="s">
        <v>184</v>
      </c>
      <c r="B18" s="16" t="n">
        <f aca="false">$B$8</f>
        <v>622.1</v>
      </c>
      <c r="C18" s="10" t="s">
        <v>170</v>
      </c>
      <c r="D18" s="30"/>
    </row>
    <row r="19" customFormat="false" ht="15" hidden="false" customHeight="false" outlineLevel="0" collapsed="false">
      <c r="A19" s="10" t="s">
        <v>185</v>
      </c>
      <c r="B19" s="16" t="n">
        <f aca="false">$B$6</f>
        <v>1546.56</v>
      </c>
      <c r="C19" s="10" t="s">
        <v>170</v>
      </c>
      <c r="D19" s="30"/>
    </row>
    <row r="20" customFormat="false" ht="15" hidden="false" customHeight="false" outlineLevel="0" collapsed="false">
      <c r="A20" s="10" t="s">
        <v>186</v>
      </c>
      <c r="B20" s="16" t="n">
        <f aca="false">$B$7</f>
        <v>371.52</v>
      </c>
      <c r="C20" s="10" t="s">
        <v>170</v>
      </c>
      <c r="D20" s="30"/>
    </row>
    <row r="21" customFormat="false" ht="15" hidden="false" customHeight="false" outlineLevel="0" collapsed="false">
      <c r="A21" s="10" t="s">
        <v>187</v>
      </c>
      <c r="B21" s="16" t="n">
        <f aca="false">$B$17+$B$18</f>
        <v>18081.92</v>
      </c>
      <c r="C21" s="10" t="s">
        <v>170</v>
      </c>
      <c r="D21" s="30"/>
    </row>
    <row r="22" customFormat="false" ht="15" hidden="false" customHeight="false" outlineLevel="0" collapsed="false">
      <c r="A22" s="10" t="s">
        <v>188</v>
      </c>
      <c r="B22" s="16" t="n">
        <f aca="false">$B$21+$B$19</f>
        <v>19628.48</v>
      </c>
      <c r="C22" s="10" t="s">
        <v>170</v>
      </c>
      <c r="D22" s="30"/>
    </row>
    <row r="23" customFormat="false" ht="15" hidden="false" customHeight="false" outlineLevel="0" collapsed="false">
      <c r="A23" s="10" t="s">
        <v>189</v>
      </c>
      <c r="B23" s="16" t="n">
        <f aca="false">$B$22+$B$20</f>
        <v>20000</v>
      </c>
      <c r="C23" s="10" t="s">
        <v>170</v>
      </c>
      <c r="D23" s="30"/>
    </row>
    <row r="24" customFormat="false" ht="15" hidden="false" customHeight="false" outlineLevel="0" collapsed="false">
      <c r="A24" s="10" t="s">
        <v>190</v>
      </c>
      <c r="B24" s="16" t="n">
        <f aca="false">$B$23</f>
        <v>20000</v>
      </c>
      <c r="C24" s="10" t="s">
        <v>170</v>
      </c>
      <c r="D24" s="30"/>
    </row>
    <row r="25" customFormat="false" ht="15" hidden="false" customHeight="false" outlineLevel="0" collapsed="false">
      <c r="A25" s="10" t="s">
        <v>191</v>
      </c>
      <c r="B25" s="32" t="n">
        <f aca="false">$B$24</f>
        <v>20000</v>
      </c>
      <c r="C25" s="10" t="s">
        <v>170</v>
      </c>
      <c r="D25" s="30"/>
    </row>
    <row r="26" customFormat="false" ht="15" hidden="false" customHeight="false" outlineLevel="0" collapsed="false">
      <c r="A26" s="10" t="s">
        <v>192</v>
      </c>
      <c r="B26" s="32" t="n">
        <f aca="false">$B$25/(1-$B$11)</f>
        <v>21505.376344086</v>
      </c>
      <c r="C26" s="10" t="s">
        <v>170</v>
      </c>
      <c r="D26" s="30" t="s">
        <v>193</v>
      </c>
    </row>
    <row r="27" customFormat="false" ht="15" hidden="false" customHeight="false" outlineLevel="0" collapsed="false">
      <c r="A27" s="10" t="s">
        <v>194</v>
      </c>
      <c r="B27" s="16" t="n">
        <f aca="false">$B$26</f>
        <v>21505.376344086</v>
      </c>
      <c r="C27" s="10" t="s">
        <v>170</v>
      </c>
      <c r="D27" s="30"/>
    </row>
    <row r="28" customFormat="false" ht="15" hidden="false" customHeight="false" outlineLevel="0" collapsed="false">
      <c r="A28" s="10" t="s">
        <v>195</v>
      </c>
      <c r="B28" s="16" t="n">
        <f aca="false">$B$26</f>
        <v>21505.376344086</v>
      </c>
      <c r="C28" s="10" t="s">
        <v>170</v>
      </c>
      <c r="D28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15" hidden="false" customHeight="false" outlineLevel="0" collapsed="false">
      <c r="A4" s="18" t="s">
        <v>198</v>
      </c>
      <c r="B4" s="18"/>
      <c r="C4" s="18"/>
      <c r="D4" s="18"/>
    </row>
    <row r="5" customFormat="false" ht="15" hidden="false" customHeight="false" outlineLevel="0" collapsed="false">
      <c r="A5" s="10" t="s">
        <v>199</v>
      </c>
      <c r="B5" s="33" t="n">
        <v>9.81</v>
      </c>
      <c r="C5" s="10" t="s">
        <v>200</v>
      </c>
      <c r="D5" s="30" t="s">
        <v>201</v>
      </c>
    </row>
    <row r="6" customFormat="false" ht="15" hidden="false" customHeight="false" outlineLevel="0" collapsed="false">
      <c r="A6" s="10" t="s">
        <v>202</v>
      </c>
      <c r="B6" s="33" t="n">
        <v>0.1</v>
      </c>
      <c r="C6" s="10" t="s">
        <v>149</v>
      </c>
      <c r="D6" s="30" t="s">
        <v>203</v>
      </c>
    </row>
    <row r="7" customFormat="false" ht="15" hidden="false" customHeight="false" outlineLevel="0" collapsed="false">
      <c r="A7" s="10" t="s">
        <v>204</v>
      </c>
      <c r="B7" s="33" t="n">
        <v>3</v>
      </c>
      <c r="C7" s="10" t="s">
        <v>205</v>
      </c>
      <c r="D7" s="30" t="s">
        <v>206</v>
      </c>
    </row>
    <row r="8" customFormat="false" ht="15" hidden="false" customHeight="false" outlineLevel="0" collapsed="false">
      <c r="A8" s="10" t="s">
        <v>207</v>
      </c>
      <c r="B8" s="33" t="n">
        <v>1</v>
      </c>
      <c r="C8" s="10" t="s">
        <v>205</v>
      </c>
      <c r="D8" s="30" t="s">
        <v>208</v>
      </c>
    </row>
    <row r="9" customFormat="false" ht="15" hidden="false" customHeight="false" outlineLevel="0" collapsed="false">
      <c r="A9" s="10" t="s">
        <v>209</v>
      </c>
      <c r="B9" s="33" t="n">
        <v>1.2</v>
      </c>
      <c r="C9" s="10" t="s">
        <v>205</v>
      </c>
      <c r="D9" s="30" t="s">
        <v>210</v>
      </c>
    </row>
    <row r="10" customFormat="false" ht="15" hidden="false" customHeight="false" outlineLevel="0" collapsed="false">
      <c r="A10" s="10" t="s">
        <v>211</v>
      </c>
      <c r="B10" s="33" t="n">
        <v>2</v>
      </c>
      <c r="C10" s="10" t="s">
        <v>205</v>
      </c>
      <c r="D10" s="30" t="s">
        <v>210</v>
      </c>
    </row>
    <row r="11" customFormat="false" ht="15" hidden="false" customHeight="false" outlineLevel="0" collapsed="false">
      <c r="A11" s="10" t="s">
        <v>212</v>
      </c>
      <c r="B11" s="33" t="n">
        <v>5</v>
      </c>
      <c r="C11" s="10" t="s">
        <v>205</v>
      </c>
      <c r="D11" s="30" t="s">
        <v>213</v>
      </c>
    </row>
    <row r="12" customFormat="false" ht="15" hidden="false" customHeight="false" outlineLevel="0" collapsed="false">
      <c r="A12" s="10" t="s">
        <v>214</v>
      </c>
      <c r="B12" s="33" t="n">
        <v>1000</v>
      </c>
      <c r="C12" s="10" t="s">
        <v>215</v>
      </c>
      <c r="D12" s="30" t="s">
        <v>216</v>
      </c>
    </row>
    <row r="13" customFormat="false" ht="15" hidden="false" customHeight="false" outlineLevel="0" collapsed="false">
      <c r="A13" s="10" t="s">
        <v>217</v>
      </c>
      <c r="B13" s="33" t="n">
        <v>1.15</v>
      </c>
      <c r="C13" s="10" t="s">
        <v>149</v>
      </c>
      <c r="D13" s="30" t="s">
        <v>218</v>
      </c>
    </row>
    <row r="14" customFormat="false" ht="15" hidden="false" customHeight="false" outlineLevel="0" collapsed="false">
      <c r="A14" s="10" t="s">
        <v>219</v>
      </c>
      <c r="B14" s="33" t="n">
        <v>0</v>
      </c>
      <c r="C14" s="10" t="s">
        <v>220</v>
      </c>
      <c r="D14" s="30" t="s">
        <v>221</v>
      </c>
    </row>
    <row r="15" customFormat="false" ht="15" hidden="false" customHeight="false" outlineLevel="0" collapsed="false">
      <c r="A15" s="10" t="s">
        <v>222</v>
      </c>
      <c r="B15" s="33" t="n">
        <v>0.0981</v>
      </c>
      <c r="C15" s="10" t="s">
        <v>223</v>
      </c>
      <c r="D15" s="30" t="s">
        <v>224</v>
      </c>
    </row>
    <row r="16" customFormat="false" ht="15" hidden="false" customHeight="false" outlineLevel="0" collapsed="false">
      <c r="A16" s="10" t="s">
        <v>225</v>
      </c>
      <c r="B16" s="33" t="n">
        <v>120</v>
      </c>
      <c r="C16" s="10" t="s">
        <v>149</v>
      </c>
      <c r="D16" s="30" t="s">
        <v>226</v>
      </c>
    </row>
    <row r="17" customFormat="false" ht="15" hidden="false" customHeight="false" outlineLevel="0" collapsed="false">
      <c r="A17" s="10" t="s">
        <v>227</v>
      </c>
      <c r="B17" s="33" t="n">
        <v>5</v>
      </c>
      <c r="C17" s="10" t="s">
        <v>205</v>
      </c>
      <c r="D17" s="30" t="s">
        <v>228</v>
      </c>
    </row>
    <row r="19" customFormat="false" ht="15" hidden="false" customHeight="false" outlineLevel="0" collapsed="false">
      <c r="A19" s="18" t="s">
        <v>229</v>
      </c>
      <c r="B19" s="18"/>
      <c r="C19" s="18"/>
      <c r="D19" s="18"/>
    </row>
    <row r="20" customFormat="false" ht="15" hidden="false" customHeight="false" outlineLevel="0" collapsed="false">
      <c r="A20" s="10" t="s">
        <v>230</v>
      </c>
      <c r="B20" s="34" t="n">
        <v>10</v>
      </c>
    </row>
    <row r="21" customFormat="false" ht="15" hidden="false" customHeight="false" outlineLevel="0" collapsed="false">
      <c r="A21" s="10" t="s">
        <v>231</v>
      </c>
      <c r="B21" s="34" t="n">
        <v>16</v>
      </c>
    </row>
    <row r="22" customFormat="false" ht="15" hidden="false" customHeight="false" outlineLevel="0" collapsed="false">
      <c r="A22" s="10" t="s">
        <v>232</v>
      </c>
      <c r="B22" s="34" t="n">
        <v>25</v>
      </c>
    </row>
    <row r="23" customFormat="false" ht="15" hidden="false" customHeight="false" outlineLevel="0" collapsed="false">
      <c r="A23" s="10" t="s">
        <v>233</v>
      </c>
      <c r="B23" s="34" t="n">
        <v>30</v>
      </c>
    </row>
    <row r="24" customFormat="false" ht="15" hidden="false" customHeight="false" outlineLevel="0" collapsed="false">
      <c r="A24" s="10" t="s">
        <v>234</v>
      </c>
      <c r="B24" s="34" t="n">
        <v>40</v>
      </c>
    </row>
    <row r="25" customFormat="false" ht="15" hidden="false" customHeight="false" outlineLevel="0" collapsed="false">
      <c r="A25" s="10" t="s">
        <v>235</v>
      </c>
      <c r="B25" s="34" t="n">
        <v>64</v>
      </c>
    </row>
    <row r="27" customFormat="false" ht="15" hidden="false" customHeight="false" outlineLevel="0" collapsed="false">
      <c r="A27" s="18" t="s">
        <v>236</v>
      </c>
      <c r="B27" s="18"/>
      <c r="C27" s="18"/>
      <c r="D27" s="18"/>
    </row>
    <row r="28" customFormat="false" ht="15" hidden="false" customHeight="false" outlineLevel="0" collapsed="false">
      <c r="B28" s="35" t="n">
        <v>0.75</v>
      </c>
    </row>
    <row r="29" customFormat="false" ht="15" hidden="false" customHeight="false" outlineLevel="0" collapsed="false">
      <c r="B29" s="35" t="n">
        <v>1.1</v>
      </c>
    </row>
    <row r="30" customFormat="false" ht="15" hidden="false" customHeight="false" outlineLevel="0" collapsed="false">
      <c r="B30" s="35" t="n">
        <v>1.5</v>
      </c>
    </row>
    <row r="31" customFormat="false" ht="15" hidden="false" customHeight="false" outlineLevel="0" collapsed="false">
      <c r="B31" s="35" t="n">
        <v>2.2</v>
      </c>
    </row>
    <row r="32" customFormat="false" ht="15" hidden="false" customHeight="false" outlineLevel="0" collapsed="false">
      <c r="B32" s="35" t="n">
        <v>3</v>
      </c>
    </row>
    <row r="33" customFormat="false" ht="15" hidden="false" customHeight="false" outlineLevel="0" collapsed="false">
      <c r="B33" s="35" t="n">
        <v>4</v>
      </c>
    </row>
    <row r="34" customFormat="false" ht="15" hidden="false" customHeight="false" outlineLevel="0" collapsed="false">
      <c r="B34" s="35" t="n">
        <v>5.5</v>
      </c>
    </row>
    <row r="35" customFormat="false" ht="15" hidden="false" customHeight="false" outlineLevel="0" collapsed="false">
      <c r="B35" s="35" t="n">
        <v>7.5</v>
      </c>
    </row>
    <row r="36" customFormat="false" ht="15" hidden="false" customHeight="false" outlineLevel="0" collapsed="false">
      <c r="B36" s="35" t="n">
        <v>11</v>
      </c>
    </row>
    <row r="37" customFormat="false" ht="15" hidden="false" customHeight="false" outlineLevel="0" collapsed="false">
      <c r="B37" s="35" t="n">
        <v>15</v>
      </c>
    </row>
    <row r="38" customFormat="false" ht="15" hidden="false" customHeight="false" outlineLevel="0" collapsed="false">
      <c r="B38" s="35" t="n">
        <v>18.5</v>
      </c>
    </row>
    <row r="39" customFormat="false" ht="15" hidden="false" customHeight="false" outlineLevel="0" collapsed="false">
      <c r="B39" s="35" t="n">
        <v>22</v>
      </c>
    </row>
    <row r="40" customFormat="false" ht="15" hidden="false" customHeight="false" outlineLevel="0" collapsed="false">
      <c r="B40" s="35" t="n">
        <v>30</v>
      </c>
    </row>
    <row r="41" customFormat="false" ht="15" hidden="false" customHeight="false" outlineLevel="0" collapsed="false">
      <c r="B41" s="35" t="n">
        <v>37</v>
      </c>
    </row>
    <row r="42" customFormat="false" ht="15" hidden="false" customHeight="false" outlineLevel="0" collapsed="false">
      <c r="B42" s="35" t="n">
        <v>45</v>
      </c>
    </row>
    <row r="43" customFormat="false" ht="15" hidden="false" customHeight="false" outlineLevel="0" collapsed="false">
      <c r="B43" s="35" t="n">
        <v>55</v>
      </c>
    </row>
    <row r="44" customFormat="false" ht="15" hidden="false" customHeight="false" outlineLevel="0" collapsed="false">
      <c r="B44" s="35" t="n">
        <v>75</v>
      </c>
    </row>
    <row r="45" customFormat="false" ht="15" hidden="false" customHeight="false" outlineLevel="0" collapsed="false">
      <c r="B45" s="35" t="n">
        <v>90</v>
      </c>
    </row>
    <row r="46" customFormat="false" ht="15" hidden="false" customHeight="false" outlineLevel="0" collapsed="false">
      <c r="B46" s="35" t="n">
        <v>110</v>
      </c>
    </row>
    <row r="47" customFormat="false" ht="15" hidden="false" customHeight="false" outlineLevel="0" collapsed="false">
      <c r="B47" s="35" t="n">
        <v>132</v>
      </c>
    </row>
    <row r="48" customFormat="false" ht="15" hidden="false" customHeight="false" outlineLevel="0" collapsed="false">
      <c r="B48" s="35" t="n">
        <v>160</v>
      </c>
    </row>
    <row r="49" customFormat="false" ht="15" hidden="false" customHeight="false" outlineLevel="0" collapsed="false">
      <c r="B49" s="35" t="n">
        <v>200</v>
      </c>
    </row>
    <row r="50" customFormat="false" ht="15" hidden="false" customHeight="false" outlineLevel="0" collapsed="false">
      <c r="B50" s="35" t="n">
        <v>250</v>
      </c>
    </row>
    <row r="51" customFormat="false" ht="15" hidden="false" customHeight="false" outlineLevel="0" collapsed="false">
      <c r="B51" s="35" t="n">
        <v>315</v>
      </c>
    </row>
    <row r="52" customFormat="false" ht="15" hidden="false" customHeight="false" outlineLevel="0" collapsed="false">
      <c r="B52" s="35" t="n">
        <v>355</v>
      </c>
    </row>
    <row r="53" customFormat="false" ht="15" hidden="false" customHeight="false" outlineLevel="0" collapsed="false">
      <c r="B53" s="35" t="n">
        <v>400</v>
      </c>
    </row>
    <row r="54" customFormat="false" ht="15" hidden="false" customHeight="false" outlineLevel="0" collapsed="false">
      <c r="B54" s="35" t="n">
        <v>450</v>
      </c>
    </row>
    <row r="55" customFormat="false" ht="15" hidden="false" customHeight="false" outlineLevel="0" collapsed="false">
      <c r="B55" s="35" t="n">
        <v>500</v>
      </c>
    </row>
    <row r="56" customFormat="false" ht="15" hidden="false" customHeight="false" outlineLevel="0" collapsed="false">
      <c r="B56" s="35" t="n">
        <v>560</v>
      </c>
    </row>
    <row r="57" customFormat="false" ht="15" hidden="false" customHeight="false" outlineLevel="0" collapsed="false">
      <c r="B57" s="35" t="n">
        <v>630</v>
      </c>
    </row>
    <row r="58" customFormat="false" ht="15" hidden="false" customHeight="false" outlineLevel="0" collapsed="false">
      <c r="B58" s="35" t="n">
        <v>710</v>
      </c>
    </row>
    <row r="59" customFormat="false" ht="15" hidden="false" customHeight="false" outlineLevel="0" collapsed="false">
      <c r="B59" s="35" t="n">
        <v>800</v>
      </c>
    </row>
    <row r="60" customFormat="false" ht="15" hidden="false" customHeight="false" outlineLevel="0" collapsed="false">
      <c r="B60" s="35" t="n">
        <v>900</v>
      </c>
    </row>
    <row r="61" customFormat="false" ht="15" hidden="false" customHeight="false" outlineLevel="0" collapsed="false">
      <c r="B61" s="35" t="n">
        <v>1000</v>
      </c>
    </row>
    <row r="62" customFormat="false" ht="15" hidden="false" customHeight="false" outlineLevel="0" collapsed="false">
      <c r="B62" s="35" t="n">
        <v>1120</v>
      </c>
    </row>
    <row r="63" customFormat="false" ht="15" hidden="false" customHeight="false" outlineLevel="0" collapsed="false">
      <c r="B63" s="35" t="n">
        <v>1250</v>
      </c>
    </row>
    <row r="64" customFormat="false" ht="15" hidden="false" customHeight="false" outlineLevel="0" collapsed="false">
      <c r="B64" s="35" t="n">
        <v>1400</v>
      </c>
    </row>
    <row r="65" customFormat="false" ht="15" hidden="false" customHeight="false" outlineLevel="0" collapsed="false">
      <c r="B65" s="35" t="n">
        <v>1600</v>
      </c>
    </row>
    <row r="66" customFormat="false" ht="15" hidden="false" customHeight="false" outlineLevel="0" collapsed="false">
      <c r="B66" s="35" t="n">
        <v>1800</v>
      </c>
    </row>
    <row r="67" customFormat="false" ht="15" hidden="false" customHeight="false" outlineLevel="0" collapsed="false">
      <c r="B67" s="35" t="n">
        <v>2000</v>
      </c>
    </row>
    <row r="68" customFormat="false" ht="15" hidden="false" customHeight="false" outlineLevel="0" collapsed="false">
      <c r="B68" s="35" t="n">
        <v>2240</v>
      </c>
    </row>
    <row r="69" customFormat="false" ht="15" hidden="false" customHeight="false" outlineLevel="0" collapsed="false">
      <c r="B69" s="35" t="n">
        <v>2500</v>
      </c>
    </row>
    <row r="70" customFormat="false" ht="15" hidden="false" customHeight="false" outlineLevel="0" collapsed="false">
      <c r="B70" s="35" t="n">
        <v>2800</v>
      </c>
    </row>
    <row r="71" customFormat="false" ht="15" hidden="false" customHeight="false" outlineLevel="0" collapsed="false">
      <c r="B71" s="35" t="n">
        <v>3150</v>
      </c>
    </row>
    <row r="72" customFormat="false" ht="15" hidden="false" customHeight="false" outlineLevel="0" collapsed="false">
      <c r="B72" s="35" t="n">
        <v>3550</v>
      </c>
    </row>
    <row r="73" customFormat="false" ht="15" hidden="false" customHeight="false" outlineLevel="0" collapsed="false">
      <c r="B73" s="35" t="n">
        <v>4000</v>
      </c>
    </row>
    <row r="74" customFormat="false" ht="15" hidden="false" customHeight="false" outlineLevel="0" collapsed="false">
      <c r="B74" s="35" t="n">
        <v>4500</v>
      </c>
    </row>
    <row r="75" customFormat="false" ht="15" hidden="false" customHeight="false" outlineLevel="0" collapsed="false">
      <c r="B75" s="35" t="n">
        <v>5000</v>
      </c>
    </row>
    <row r="76" customFormat="false" ht="15" hidden="false" customHeight="false" outlineLevel="0" collapsed="false">
      <c r="B76" s="35" t="n">
        <v>5600</v>
      </c>
    </row>
    <row r="77" customFormat="false" ht="15" hidden="false" customHeight="false" outlineLevel="0" collapsed="false">
      <c r="B77" s="35" t="n">
        <v>6300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21" min="18" style="0" width="12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36" t="s">
        <v>238</v>
      </c>
    </row>
    <row r="4" customFormat="false" ht="15" hidden="false" customHeight="false" outlineLevel="0" collapsed="false">
      <c r="A4" s="18" t="s">
        <v>239</v>
      </c>
      <c r="B4" s="18"/>
      <c r="C4" s="18"/>
      <c r="D4" s="18"/>
    </row>
    <row r="5" customFormat="false" ht="15" hidden="false" customHeight="false" outlineLevel="0" collapsed="false">
      <c r="A5" s="10" t="s">
        <v>240</v>
      </c>
      <c r="B5" s="21" t="n">
        <f aca="false">Levels!$F$5</f>
        <v>1361</v>
      </c>
      <c r="C5" s="10" t="s">
        <v>241</v>
      </c>
      <c r="D5" s="30" t="s">
        <v>242</v>
      </c>
    </row>
    <row r="6" customFormat="false" ht="15" hidden="false" customHeight="false" outlineLevel="0" collapsed="false">
      <c r="A6" s="10" t="s">
        <v>243</v>
      </c>
      <c r="B6" s="21" t="n">
        <f aca="false">Levels!$G$5</f>
        <v>1364.5</v>
      </c>
      <c r="C6" s="10" t="s">
        <v>241</v>
      </c>
      <c r="D6" s="30" t="s">
        <v>244</v>
      </c>
    </row>
    <row r="7" customFormat="false" ht="15" hidden="false" customHeight="false" outlineLevel="0" collapsed="false">
      <c r="A7" s="10" t="s">
        <v>245</v>
      </c>
      <c r="B7" s="37" t="n">
        <v>22</v>
      </c>
      <c r="C7" s="10" t="s">
        <v>246</v>
      </c>
      <c r="D7" s="30" t="s">
        <v>247</v>
      </c>
    </row>
    <row r="8" customFormat="false" ht="15" hidden="false" customHeight="false" outlineLevel="0" collapsed="false">
      <c r="A8" s="10" t="s">
        <v>248</v>
      </c>
      <c r="B8" s="16" t="n">
        <f aca="false">$B$6</f>
        <v>1364.5</v>
      </c>
      <c r="C8" s="10" t="s">
        <v>241</v>
      </c>
      <c r="D8" s="30" t="s">
        <v>249</v>
      </c>
    </row>
    <row r="10" customFormat="false" ht="15" hidden="false" customHeight="false" outlineLevel="0" collapsed="false">
      <c r="A10" s="18" t="s">
        <v>250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customFormat="false" ht="42" hidden="false" customHeight="true" outlineLevel="0" collapsed="false">
      <c r="A11" s="8" t="s">
        <v>251</v>
      </c>
      <c r="B11" s="8" t="s">
        <v>252</v>
      </c>
      <c r="C11" s="8" t="s">
        <v>253</v>
      </c>
      <c r="D11" s="8" t="s">
        <v>254</v>
      </c>
      <c r="E11" s="8" t="s">
        <v>255</v>
      </c>
      <c r="F11" s="8" t="s">
        <v>256</v>
      </c>
      <c r="G11" s="8" t="s">
        <v>257</v>
      </c>
      <c r="H11" s="8" t="s">
        <v>258</v>
      </c>
      <c r="I11" s="8" t="s">
        <v>259</v>
      </c>
      <c r="J11" s="8" t="s">
        <v>260</v>
      </c>
      <c r="K11" s="8" t="s">
        <v>261</v>
      </c>
      <c r="L11" s="8" t="s">
        <v>262</v>
      </c>
      <c r="M11" s="8" t="s">
        <v>263</v>
      </c>
      <c r="N11" s="8" t="s">
        <v>264</v>
      </c>
      <c r="O11" s="8" t="s">
        <v>265</v>
      </c>
      <c r="P11" s="8" t="s">
        <v>266</v>
      </c>
      <c r="Q11" s="8" t="s">
        <v>267</v>
      </c>
      <c r="R11" s="8" t="s">
        <v>268</v>
      </c>
      <c r="S11" s="8" t="s">
        <v>269</v>
      </c>
      <c r="T11" s="8" t="s">
        <v>270</v>
      </c>
      <c r="U11" s="8" t="s">
        <v>271</v>
      </c>
    </row>
    <row r="12" customFormat="false" ht="15" hidden="false" customHeight="false" outlineLevel="0" collapsed="false">
      <c r="A12" s="9" t="s">
        <v>272</v>
      </c>
      <c r="B12" s="10" t="s">
        <v>85</v>
      </c>
      <c r="C12" s="10" t="s">
        <v>89</v>
      </c>
      <c r="D12" s="10" t="s">
        <v>149</v>
      </c>
      <c r="E12" s="34" t="n">
        <v>600</v>
      </c>
      <c r="F12" s="38" t="n">
        <f aca="false">E12</f>
        <v>600</v>
      </c>
      <c r="G12" s="39" t="n">
        <v>100</v>
      </c>
      <c r="H12" s="34" t="n">
        <f aca="false">C_default</f>
        <v>120</v>
      </c>
      <c r="I12" s="19" t="n">
        <f aca="false">Demands!$B$28</f>
        <v>21505.376344086</v>
      </c>
      <c r="J12" s="40" t="n">
        <f aca="false">I12/($B$7*3600)</f>
        <v>0.271532529597046</v>
      </c>
      <c r="K12" s="38" t="n">
        <f aca="false">J12*1000</f>
        <v>271.532529597046</v>
      </c>
      <c r="L12" s="40" t="n">
        <f aca="false">PI()*(F12/1000)^2/4</f>
        <v>0.282743338823081</v>
      </c>
      <c r="M12" s="41" t="n">
        <f aca="false">J12/L12</f>
        <v>0.960349873235916</v>
      </c>
      <c r="N12" s="14" t="n">
        <f aca="false">10.67*G12*J12^1.852/(H12^1.852*(F12/1000)^4.8704)</f>
        <v>0.16197612194675</v>
      </c>
      <c r="O12" s="14" t="n">
        <f aca="false">k_minor*N12</f>
        <v>0.016197612194675</v>
      </c>
      <c r="P12" s="14" t="n">
        <f aca="false">N12+O12</f>
        <v>0.178173734141425</v>
      </c>
      <c r="Q12" s="14" t="n">
        <f aca="false">P12/G12*1000</f>
        <v>1.78173734141425</v>
      </c>
      <c r="R12" s="14" t="n">
        <v>0</v>
      </c>
      <c r="S12" s="16" t="n">
        <f aca="false">$B$5-R12</f>
        <v>1361</v>
      </c>
      <c r="T12" s="16" t="n">
        <f aca="false">S12-P12</f>
        <v>1360.82182626586</v>
      </c>
      <c r="U12" s="38" t="n">
        <f aca="false">wave*M12/g</f>
        <v>97.894992174915</v>
      </c>
    </row>
    <row r="14" customFormat="false" ht="15" hidden="false" customHeight="false" outlineLevel="0" collapsed="false">
      <c r="A14" s="18" t="s">
        <v>273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customFormat="false" ht="42" hidden="false" customHeight="true" outlineLevel="0" collapsed="false">
      <c r="A15" s="8" t="s">
        <v>274</v>
      </c>
      <c r="B15" s="8" t="s">
        <v>275</v>
      </c>
      <c r="C15" s="8" t="s">
        <v>155</v>
      </c>
      <c r="D15" s="8" t="s">
        <v>156</v>
      </c>
      <c r="E15" s="8" t="s">
        <v>157</v>
      </c>
      <c r="F15" s="8" t="s">
        <v>276</v>
      </c>
      <c r="G15" s="8" t="s">
        <v>277</v>
      </c>
      <c r="H15" s="8" t="s">
        <v>278</v>
      </c>
      <c r="I15" s="8" t="s">
        <v>279</v>
      </c>
      <c r="J15" s="8" t="s">
        <v>280</v>
      </c>
      <c r="K15" s="8" t="s">
        <v>281</v>
      </c>
      <c r="L15" s="8" t="s">
        <v>282</v>
      </c>
    </row>
    <row r="16" customFormat="false" ht="15" hidden="false" customHeight="false" outlineLevel="0" collapsed="false">
      <c r="A16" s="9" t="s">
        <v>89</v>
      </c>
      <c r="B16" s="10" t="s">
        <v>272</v>
      </c>
      <c r="C16" s="21" t="n">
        <f aca="false">Levels!$F$6</f>
        <v>1360</v>
      </c>
      <c r="D16" s="21" t="n">
        <f aca="false">Levels!$G$6</f>
        <v>1364</v>
      </c>
      <c r="E16" s="21" t="n">
        <f aca="false">Levels!$L$6</f>
        <v>1360</v>
      </c>
      <c r="F16" s="33" t="n">
        <v>0</v>
      </c>
      <c r="G16" s="16" t="n">
        <f aca="false">E16+F16</f>
        <v>1360</v>
      </c>
      <c r="H16" s="16" t="n">
        <f aca="false">G16+R12+P12</f>
        <v>1360.17817373414</v>
      </c>
      <c r="I16" s="16" t="n">
        <f aca="false">T12</f>
        <v>1360.82182626586</v>
      </c>
      <c r="J16" s="16" t="n">
        <f aca="false">I16-G16</f>
        <v>0.82182626585859</v>
      </c>
      <c r="K16" s="16" t="n">
        <f aca="false">J16+($B$6-$B$5)</f>
        <v>4.32182626585859</v>
      </c>
      <c r="L16" s="10" t="str">
        <f aca="false">IF(J16&lt;-0.005,"NOT REACHED – more head needed",IF(K16&gt;fcv_limit,"fit flow control valve / PRV (burns "&amp;TEXT(J16,"0.0")&amp;"–"&amp;TEXT(K16,"0.0")&amp;" m)","OK"))</f>
        <v>OK</v>
      </c>
    </row>
    <row r="18" customFormat="false" ht="15" hidden="false" customHeight="false" outlineLevel="0" collapsed="false">
      <c r="A18" s="18" t="s">
        <v>283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customFormat="false" ht="42" hidden="false" customHeight="true" outlineLevel="0" collapsed="false">
      <c r="A19" s="8" t="s">
        <v>251</v>
      </c>
      <c r="B19" s="8" t="s">
        <v>284</v>
      </c>
      <c r="C19" s="8" t="s">
        <v>75</v>
      </c>
      <c r="D19" s="8" t="s">
        <v>285</v>
      </c>
      <c r="E19" s="8" t="s">
        <v>286</v>
      </c>
      <c r="F19" s="8" t="s">
        <v>287</v>
      </c>
      <c r="G19" s="8" t="s">
        <v>288</v>
      </c>
      <c r="H19" s="8" t="s">
        <v>289</v>
      </c>
      <c r="I19" s="8" t="s">
        <v>290</v>
      </c>
      <c r="J19" s="8" t="s">
        <v>291</v>
      </c>
      <c r="K19" s="8" t="s">
        <v>292</v>
      </c>
      <c r="L19" s="8" t="s">
        <v>293</v>
      </c>
      <c r="M19" s="8" t="s">
        <v>294</v>
      </c>
      <c r="N19" s="8" t="s">
        <v>295</v>
      </c>
    </row>
    <row r="20" customFormat="false" ht="15" hidden="false" customHeight="false" outlineLevel="0" collapsed="false">
      <c r="A20" s="17"/>
      <c r="B20" s="17"/>
      <c r="C20" s="17"/>
      <c r="D20" s="16" t="str">
        <f aca="false">IF($A20="","",C20-cover)</f>
        <v/>
      </c>
      <c r="E20" s="16" t="str">
        <f aca="false">IF($A20="","",D20+p_min+INDEX($R$12:$R$12,MATCH($A20,$A$12:$A$12,0))+INDEX($P$12:$P$12,MATCH($A20,$A$12:$A$12,0))*B20/INDEX($G$12:$G$12,MATCH($A20,$A$12:$A$12,0)))</f>
        <v/>
      </c>
      <c r="F20" s="16" t="str">
        <f aca="false">IF($A20="","",INDEX($S$12:$S$12,MATCH($A20,$A$12:$A$12,0))-INDEX($P$12:$P$12,MATCH($A20,$A$12:$A$12,0))*B20/INDEX($G$12:$G$12,MATCH($A20,$A$12:$A$12,0)))</f>
        <v/>
      </c>
      <c r="G20" s="42" t="str">
        <f aca="false">IF($A20="","",F20-D20)</f>
        <v/>
      </c>
      <c r="H20" s="42" t="str">
        <f aca="false">IF($A20="","",$B$8-D20)</f>
        <v/>
      </c>
      <c r="I20" s="42" t="str">
        <f aca="false">IF($A20="","",MAX(G20,H20))</f>
        <v/>
      </c>
      <c r="J20" s="38" t="str">
        <f aca="false">IF($A20="","",I20*bar_per_m)</f>
        <v/>
      </c>
      <c r="K20" s="10" t="str">
        <f aca="false">IF($A20="","",IFERROR("PN"&amp;SMALL(PN_list,COUNTIF(PN_list,"&lt;"&amp;J20)+1),"&gt; max PN"))</f>
        <v/>
      </c>
      <c r="L20" s="42" t="str">
        <f aca="false">IF($A20="","",G20-INDEX($U$12:$U$12,MATCH($A20,$A$12:$A$12,0)))</f>
        <v/>
      </c>
      <c r="M20" s="11" t="s">
        <v>296</v>
      </c>
      <c r="N20" s="10" t="str">
        <f aca="false">IF($A20="","",IF(G20&lt;0,"NEGATIVE PRESSURE",IF(G20&lt;p_min-0.005,"below minimum","OK")))</f>
        <v/>
      </c>
    </row>
    <row r="21" customFormat="false" ht="15" hidden="false" customHeight="false" outlineLevel="0" collapsed="false">
      <c r="A21" s="17"/>
      <c r="B21" s="17"/>
      <c r="C21" s="17"/>
      <c r="D21" s="16" t="str">
        <f aca="false">IF($A21="","",C21-cover)</f>
        <v/>
      </c>
      <c r="E21" s="16" t="str">
        <f aca="false">IF($A21="","",D21+p_min+INDEX($R$12:$R$12,MATCH($A21,$A$12:$A$12,0))+INDEX($P$12:$P$12,MATCH($A21,$A$12:$A$12,0))*B21/INDEX($G$12:$G$12,MATCH($A21,$A$12:$A$12,0)))</f>
        <v/>
      </c>
      <c r="F21" s="16" t="str">
        <f aca="false">IF($A21="","",INDEX($S$12:$S$12,MATCH($A21,$A$12:$A$12,0))-INDEX($P$12:$P$12,MATCH($A21,$A$12:$A$12,0))*B21/INDEX($G$12:$G$12,MATCH($A21,$A$12:$A$12,0)))</f>
        <v/>
      </c>
      <c r="G21" s="42" t="str">
        <f aca="false">IF($A21="","",F21-D21)</f>
        <v/>
      </c>
      <c r="H21" s="42" t="str">
        <f aca="false">IF($A21="","",$B$8-D21)</f>
        <v/>
      </c>
      <c r="I21" s="42" t="str">
        <f aca="false">IF($A21="","",MAX(G21,H21))</f>
        <v/>
      </c>
      <c r="J21" s="38" t="str">
        <f aca="false">IF($A21="","",I21*bar_per_m)</f>
        <v/>
      </c>
      <c r="K21" s="10" t="str">
        <f aca="false">IF($A21="","",IFERROR("PN"&amp;SMALL(PN_list,COUNTIF(PN_list,"&lt;"&amp;J21)+1),"&gt; max PN"))</f>
        <v/>
      </c>
      <c r="L21" s="42" t="str">
        <f aca="false">IF($A21="","",G21-INDEX($U$12:$U$12,MATCH($A21,$A$12:$A$12,0)))</f>
        <v/>
      </c>
      <c r="M21" s="11" t="s">
        <v>296</v>
      </c>
      <c r="N21" s="10" t="str">
        <f aca="false">IF($A21="","",IF(G21&lt;0,"NEGATIVE PRESSURE",IF(G21&lt;p_min-0.005,"below minimum","OK")))</f>
        <v/>
      </c>
    </row>
    <row r="22" customFormat="false" ht="15" hidden="false" customHeight="false" outlineLevel="0" collapsed="false">
      <c r="A22" s="17"/>
      <c r="B22" s="17"/>
      <c r="C22" s="17"/>
      <c r="D22" s="16" t="str">
        <f aca="false">IF($A22="","",C22-cover)</f>
        <v/>
      </c>
      <c r="E22" s="16" t="str">
        <f aca="false">IF($A22="","",D22+p_min+INDEX($R$12:$R$12,MATCH($A22,$A$12:$A$12,0))+INDEX($P$12:$P$12,MATCH($A22,$A$12:$A$12,0))*B22/INDEX($G$12:$G$12,MATCH($A22,$A$12:$A$12,0)))</f>
        <v/>
      </c>
      <c r="F22" s="16" t="str">
        <f aca="false">IF($A22="","",INDEX($S$12:$S$12,MATCH($A22,$A$12:$A$12,0))-INDEX($P$12:$P$12,MATCH($A22,$A$12:$A$12,0))*B22/INDEX($G$12:$G$12,MATCH($A22,$A$12:$A$12,0)))</f>
        <v/>
      </c>
      <c r="G22" s="42" t="str">
        <f aca="false">IF($A22="","",F22-D22)</f>
        <v/>
      </c>
      <c r="H22" s="42" t="str">
        <f aca="false">IF($A22="","",$B$8-D22)</f>
        <v/>
      </c>
      <c r="I22" s="42" t="str">
        <f aca="false">IF($A22="","",MAX(G22,H22))</f>
        <v/>
      </c>
      <c r="J22" s="38" t="str">
        <f aca="false">IF($A22="","",I22*bar_per_m)</f>
        <v/>
      </c>
      <c r="K22" s="10" t="str">
        <f aca="false">IF($A22="","",IFERROR("PN"&amp;SMALL(PN_list,COUNTIF(PN_list,"&lt;"&amp;J22)+1),"&gt; max PN"))</f>
        <v/>
      </c>
      <c r="L22" s="42" t="str">
        <f aca="false">IF($A22="","",G22-INDEX($U$12:$U$12,MATCH($A22,$A$12:$A$12,0)))</f>
        <v/>
      </c>
      <c r="M22" s="11" t="s">
        <v>296</v>
      </c>
      <c r="N22" s="10" t="str">
        <f aca="false">IF($A22="","",IF(G22&lt;0,"NEGATIVE PRESSURE",IF(G22&lt;p_min-0.005,"below minimum","OK")))</f>
        <v/>
      </c>
    </row>
    <row r="24" customFormat="false" ht="15" hidden="false" customHeight="false" outlineLevel="0" collapsed="false">
      <c r="A24" s="18" t="s">
        <v>297</v>
      </c>
      <c r="B24" s="18"/>
      <c r="C24" s="18"/>
      <c r="D24" s="18"/>
    </row>
    <row r="25" customFormat="false" ht="15" hidden="false" customHeight="false" outlineLevel="0" collapsed="false">
      <c r="A25" s="10" t="s">
        <v>298</v>
      </c>
      <c r="B25" s="32" t="n">
        <f aca="false">MAX($H$16:$H$16,$E$20:$E$22)</f>
        <v>1360.17817373414</v>
      </c>
      <c r="C25" s="10" t="s">
        <v>241</v>
      </c>
      <c r="D25" s="30" t="s">
        <v>299</v>
      </c>
    </row>
    <row r="26" customFormat="false" ht="15" hidden="false" customHeight="false" outlineLevel="0" collapsed="false">
      <c r="A26" s="10" t="s">
        <v>137</v>
      </c>
      <c r="B26" s="43" t="str">
        <f aca="false">IF(MAX($E$20:$E$22)&gt;=MAX($H$16:$H$16),"point on "&amp;INDEX($A$20:$A$22,MATCH(MAX($E$20:$E$22),$E$20:$E$22,0)),INDEX($A$16:$A$16,MATCH(MAX($H$16:$H$16),$H$16:$H$16,0)))</f>
        <v>MOMBA_INTAKE</v>
      </c>
      <c r="C26" s="10"/>
      <c r="D26" s="30" t="s">
        <v>300</v>
      </c>
    </row>
    <row r="27" customFormat="false" ht="15" hidden="false" customHeight="false" outlineLevel="0" collapsed="false">
      <c r="A27" s="10" t="s">
        <v>301</v>
      </c>
      <c r="B27" s="32" t="n">
        <f aca="false">$B$5-$B$25</f>
        <v>0.82182626585859</v>
      </c>
      <c r="C27" s="10" t="s">
        <v>205</v>
      </c>
      <c r="D27" s="30" t="s">
        <v>302</v>
      </c>
    </row>
    <row r="28" customFormat="false" ht="15" hidden="false" customHeight="false" outlineLevel="0" collapsed="false">
      <c r="A28" s="10" t="s">
        <v>303</v>
      </c>
      <c r="B28" s="32" t="n">
        <f aca="false">$B$6-$B$25</f>
        <v>4.32182626585859</v>
      </c>
      <c r="C28" s="10" t="s">
        <v>205</v>
      </c>
      <c r="D28" s="30" t="s">
        <v>304</v>
      </c>
    </row>
    <row r="29" customFormat="false" ht="15" hidden="false" customHeight="false" outlineLevel="0" collapsed="false">
      <c r="A29" s="10" t="s">
        <v>295</v>
      </c>
      <c r="B29" s="43" t="str">
        <f aca="false">IF($B$27&lt;-0.005,"SHORT OF HEAD at minimum level – bigger pipe, lower outlet, higher tank or pump","OK – valve burns "&amp;TEXT($B$27,"0.0")&amp;" to "&amp;TEXT($B$28,"0.0")&amp;" m")</f>
        <v>OK – valve burns 0.8 to 4.3 m</v>
      </c>
      <c r="C29" s="10"/>
      <c r="D29" s="30"/>
    </row>
    <row r="30" customFormat="false" ht="15" hidden="false" customHeight="false" outlineLevel="0" collapsed="false">
      <c r="A30" s="10" t="s">
        <v>305</v>
      </c>
      <c r="B30" s="42" t="str">
        <f aca="false">IF(COUNTIFS(Profile!$A$5:$A$2360,"Z1 River-Intake",Profile!$L$5:$L$2360,"yes")=0,"no points between tanks",_xlfn.MINIFS(Profile!$H$5:$H$2360,Profile!$A$5:$A$2360,"Z1 River-Intake",Profile!$L$5:$L$2360,"yes"))</f>
        <v>no points between tanks</v>
      </c>
      <c r="C30" s="10" t="s">
        <v>205</v>
      </c>
      <c r="D30" s="30" t="s">
        <v>306</v>
      </c>
    </row>
    <row r="32" customFormat="false" ht="15" hidden="false" customHeight="false" outlineLevel="0" collapsed="false">
      <c r="A32" s="18" t="s">
        <v>307</v>
      </c>
      <c r="B32" s="18"/>
      <c r="C32" s="18"/>
      <c r="D32" s="18"/>
    </row>
    <row r="33" customFormat="false" ht="15" hidden="false" customHeight="false" outlineLevel="0" collapsed="false">
      <c r="A33" s="4" t="str">
        <f aca="false">"1. Flow: "&amp;TEXT(I12,"#,##0")&amp;" m³/d in "&amp;TEXT($B$7,"0")&amp;" h → Q = "&amp;TEXT(K12,"0.0")&amp;" l/s, V = "&amp;TEXT(M12,"0.00")&amp;" m/s in "&amp;A12&amp;"."</f>
        <v>1. Flow: 21,505 m³/d in 22 h → Q = 271.5 l/s, V = 0.96 m/s in ABSTRACTION.</v>
      </c>
    </row>
    <row r="34" customFormat="false" ht="15" hidden="false" customHeight="false" outlineLevel="0" collapsed="false">
      <c r="A34" s="4" t="str">
        <f aca="false">"2. Friction (Hazen-Williams): "&amp;A12&amp;" loses hL = "&amp;TEXT(P12,"0.00")&amp;" m over "&amp;TEXT(G12,"#,##0")&amp;" m ("&amp;TEXT(Q12,"0.00")&amp;" m/km)."</f>
        <v>2. Friction (Hazen-Williams): ABSTRACTION loses hL = 0.18 m over 100 m (1.78 m/km).</v>
      </c>
    </row>
    <row r="35" customFormat="false" ht="15" hidden="false" customHeight="false" outlineLevel="0" collapsed="false">
      <c r="A35" s="4" t="str">
        <f aca="false">"3. Point 1 = MOMBA_RIVER water surface at its MINIMUM level z1 = "&amp;TEXT($B$5,"0.00")&amp;" m (p = 0, V ≈ 0)."</f>
        <v>3. Point 1 = MOMBA_RIVER water surface at its MINIMUM level z1 = 1361.00 m (p = 0, V ≈ 0).</v>
      </c>
    </row>
    <row r="36" customFormat="false" ht="15" hidden="false" customHeight="false" outlineLevel="0" collapsed="false">
      <c r="A36" s="4" t="str">
        <f aca="false">"4. Point 2: the hardest place to reach is "&amp;$B$26&amp;"; it needs the HGL at the zone start to be H_req = "&amp;TEXT($B$25,"0.00")&amp;" m (its level + residual + losses on the way)."</f>
        <v>4. Point 2: the hardest place to reach is MOMBA_INTAKE; it needs the HGL at the zone start to be H_req = 1360.18 m (its level + residual + losses on the way).</v>
      </c>
    </row>
    <row r="37" customFormat="false" ht="15" hidden="false" customHeight="false" outlineLevel="0" collapsed="false">
      <c r="A37" s="4" t="str">
        <f aca="false">"5. Bernoulli without pump: z1 = H_req + surplus → surplus = "&amp;TEXT($B$5,"0.00")&amp;" − "&amp;TEXT($B$25,"0.00")&amp;" = "&amp;TEXT($B$27,"0.00")&amp;" m."</f>
        <v>5. Bernoulli without pump: z1 = H_req + surplus → surplus = 1361.00 − 1360.18 = 0.82 m.</v>
      </c>
    </row>
    <row r="38" customFormat="false" ht="15" hidden="false" customHeight="false" outlineLevel="0" collapsed="false">
      <c r="A38" s="4" t="str">
        <f aca="false">"6. With the supplying tank full (MAXIMUM level "&amp;TEXT($B$6,"0.00")&amp;" m) the surplus is "&amp;TEXT($B$28,"0.00")&amp;" m. "&amp;IF($B$27&lt;-0.005,"Negative at minimum level: the zone cannot deliver – change pipe or levels.","A flow control valve burns this so the flow stays at design.")</f>
        <v>6. With the supplying tank full (MAXIMUM level 1364.50 m) the surplus is 4.32 m. A flow control valve burns this so the flow stays at design.</v>
      </c>
    </row>
    <row r="39" customFormat="false" ht="15" hidden="false" customHeight="false" outlineLevel="0" collapsed="false">
      <c r="A39" s="4" t="str">
        <f aca="false">"8. Pressure: lowest pressure along the route = "&amp;TEXT($B$30,"0.0")&amp;" m (minimum allowed "&amp;TEXT(p_min,"0")&amp;" m); pipe class from section D and sheet Profile."</f>
        <v>8. Pressure: lowest pressure along the route = no points between tanks m (minimum allowed 2 m); pipe class from section D and sheet Profile.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21" min="18" style="0" width="12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36" t="s">
        <v>309</v>
      </c>
    </row>
    <row r="4" customFormat="false" ht="15" hidden="false" customHeight="false" outlineLevel="0" collapsed="false">
      <c r="A4" s="18" t="s">
        <v>239</v>
      </c>
      <c r="B4" s="18"/>
      <c r="C4" s="18"/>
      <c r="D4" s="18"/>
    </row>
    <row r="5" customFormat="false" ht="15" hidden="false" customHeight="false" outlineLevel="0" collapsed="false">
      <c r="A5" s="10" t="s">
        <v>310</v>
      </c>
      <c r="B5" s="21" t="n">
        <f aca="false">Levels!$F$6</f>
        <v>1360</v>
      </c>
      <c r="C5" s="10" t="s">
        <v>241</v>
      </c>
      <c r="D5" s="30" t="s">
        <v>242</v>
      </c>
    </row>
    <row r="6" customFormat="false" ht="15" hidden="false" customHeight="false" outlineLevel="0" collapsed="false">
      <c r="A6" s="10" t="s">
        <v>311</v>
      </c>
      <c r="B6" s="21" t="n">
        <f aca="false">Levels!$G$6</f>
        <v>1364</v>
      </c>
      <c r="C6" s="10" t="s">
        <v>241</v>
      </c>
      <c r="D6" s="30" t="s">
        <v>244</v>
      </c>
    </row>
    <row r="7" customFormat="false" ht="15" hidden="false" customHeight="false" outlineLevel="0" collapsed="false">
      <c r="A7" s="10" t="s">
        <v>245</v>
      </c>
      <c r="B7" s="37" t="n">
        <v>22</v>
      </c>
      <c r="C7" s="10" t="s">
        <v>246</v>
      </c>
      <c r="D7" s="30" t="s">
        <v>312</v>
      </c>
    </row>
    <row r="8" customFormat="false" ht="15" hidden="false" customHeight="false" outlineLevel="0" collapsed="false">
      <c r="A8" s="10" t="s">
        <v>248</v>
      </c>
      <c r="B8" s="16" t="n">
        <f aca="false">MAX(Levels!$L$7)</f>
        <v>1368</v>
      </c>
      <c r="C8" s="10" t="s">
        <v>241</v>
      </c>
      <c r="D8" s="30" t="s">
        <v>313</v>
      </c>
    </row>
    <row r="9" customFormat="false" ht="15" hidden="false" customHeight="false" outlineLevel="0" collapsed="false">
      <c r="A9" s="10" t="s">
        <v>314</v>
      </c>
      <c r="B9" s="34" t="n">
        <v>1</v>
      </c>
      <c r="C9" s="10" t="s">
        <v>315</v>
      </c>
      <c r="D9" s="30" t="s">
        <v>316</v>
      </c>
    </row>
    <row r="10" customFormat="false" ht="15" hidden="false" customHeight="false" outlineLevel="0" collapsed="false">
      <c r="A10" s="10" t="s">
        <v>317</v>
      </c>
      <c r="B10" s="34" t="n">
        <v>1</v>
      </c>
      <c r="C10" s="10" t="s">
        <v>315</v>
      </c>
      <c r="D10" s="30" t="s">
        <v>318</v>
      </c>
    </row>
    <row r="11" customFormat="false" ht="15" hidden="false" customHeight="false" outlineLevel="0" collapsed="false">
      <c r="A11" s="10" t="s">
        <v>319</v>
      </c>
      <c r="B11" s="33" t="n">
        <v>0.75</v>
      </c>
      <c r="C11" s="10" t="s">
        <v>149</v>
      </c>
      <c r="D11" s="30" t="s">
        <v>320</v>
      </c>
    </row>
    <row r="12" customFormat="false" ht="15" hidden="false" customHeight="false" outlineLevel="0" collapsed="false">
      <c r="A12" s="10" t="s">
        <v>321</v>
      </c>
      <c r="B12" s="33" t="n">
        <v>0.94</v>
      </c>
      <c r="C12" s="10" t="s">
        <v>149</v>
      </c>
      <c r="D12" s="30" t="s">
        <v>210</v>
      </c>
    </row>
    <row r="13" customFormat="false" ht="15" hidden="false" customHeight="false" outlineLevel="0" collapsed="false">
      <c r="A13" s="10" t="s">
        <v>322</v>
      </c>
      <c r="B13" s="13" t="n">
        <v>978</v>
      </c>
      <c r="C13" s="10" t="s">
        <v>323</v>
      </c>
      <c r="D13" s="30" t="s">
        <v>64</v>
      </c>
    </row>
    <row r="14" customFormat="false" ht="15" hidden="false" customHeight="false" outlineLevel="0" collapsed="false">
      <c r="A14" s="10" t="s">
        <v>324</v>
      </c>
      <c r="B14" s="39" t="n">
        <v>10</v>
      </c>
      <c r="C14" s="10" t="s">
        <v>205</v>
      </c>
      <c r="D14" s="30" t="s">
        <v>64</v>
      </c>
    </row>
    <row r="16" customFormat="false" ht="15" hidden="false" customHeight="false" outlineLevel="0" collapsed="false">
      <c r="A16" s="18" t="s">
        <v>250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customFormat="false" ht="42" hidden="false" customHeight="true" outlineLevel="0" collapsed="false">
      <c r="A17" s="8" t="s">
        <v>251</v>
      </c>
      <c r="B17" s="8" t="s">
        <v>252</v>
      </c>
      <c r="C17" s="8" t="s">
        <v>253</v>
      </c>
      <c r="D17" s="8" t="s">
        <v>254</v>
      </c>
      <c r="E17" s="8" t="s">
        <v>255</v>
      </c>
      <c r="F17" s="8" t="s">
        <v>256</v>
      </c>
      <c r="G17" s="8" t="s">
        <v>257</v>
      </c>
      <c r="H17" s="8" t="s">
        <v>258</v>
      </c>
      <c r="I17" s="8" t="s">
        <v>259</v>
      </c>
      <c r="J17" s="8" t="s">
        <v>260</v>
      </c>
      <c r="K17" s="8" t="s">
        <v>261</v>
      </c>
      <c r="L17" s="8" t="s">
        <v>262</v>
      </c>
      <c r="M17" s="8" t="s">
        <v>263</v>
      </c>
      <c r="N17" s="8" t="s">
        <v>264</v>
      </c>
      <c r="O17" s="8" t="s">
        <v>265</v>
      </c>
      <c r="P17" s="8" t="s">
        <v>266</v>
      </c>
      <c r="Q17" s="8" t="s">
        <v>267</v>
      </c>
      <c r="R17" s="8" t="s">
        <v>268</v>
      </c>
      <c r="S17" s="8" t="s">
        <v>269</v>
      </c>
      <c r="T17" s="8" t="s">
        <v>270</v>
      </c>
      <c r="U17" s="8" t="s">
        <v>271</v>
      </c>
    </row>
    <row r="18" customFormat="false" ht="15" hidden="false" customHeight="false" outlineLevel="0" collapsed="false">
      <c r="A18" s="9" t="s">
        <v>325</v>
      </c>
      <c r="B18" s="10" t="s">
        <v>89</v>
      </c>
      <c r="C18" s="10" t="s">
        <v>93</v>
      </c>
      <c r="D18" s="10" t="s">
        <v>149</v>
      </c>
      <c r="E18" s="34" t="n">
        <v>600</v>
      </c>
      <c r="F18" s="38" t="n">
        <f aca="false">E18</f>
        <v>600</v>
      </c>
      <c r="G18" s="39" t="n">
        <v>30</v>
      </c>
      <c r="H18" s="34" t="n">
        <f aca="false">C_default</f>
        <v>120</v>
      </c>
      <c r="I18" s="19" t="n">
        <f aca="false">Demands!$B$27</f>
        <v>21505.376344086</v>
      </c>
      <c r="J18" s="40" t="n">
        <f aca="false">I18/($B$7*3600)</f>
        <v>0.271532529597046</v>
      </c>
      <c r="K18" s="38" t="n">
        <f aca="false">J18*1000</f>
        <v>271.532529597046</v>
      </c>
      <c r="L18" s="40" t="n">
        <f aca="false">PI()*(F18/1000)^2/4</f>
        <v>0.282743338823081</v>
      </c>
      <c r="M18" s="41" t="n">
        <f aca="false">J18/L18</f>
        <v>0.960349873235916</v>
      </c>
      <c r="N18" s="14" t="n">
        <f aca="false">10.67*G18*J18^1.852/(H18^1.852*(F18/1000)^4.8704)</f>
        <v>0.0485928365840251</v>
      </c>
      <c r="O18" s="14" t="n">
        <f aca="false">k_minor*N18</f>
        <v>0.00485928365840251</v>
      </c>
      <c r="P18" s="14" t="n">
        <f aca="false">N18+O18</f>
        <v>0.0534521202424276</v>
      </c>
      <c r="Q18" s="14" t="n">
        <f aca="false">P18/G18*1000</f>
        <v>1.78173734141425</v>
      </c>
      <c r="R18" s="14" t="n">
        <v>0</v>
      </c>
      <c r="S18" s="16" t="n">
        <f aca="false">$B$31-R18</f>
        <v>1369.05345212024</v>
      </c>
      <c r="T18" s="16" t="n">
        <f aca="false">S18-P18</f>
        <v>1369</v>
      </c>
      <c r="U18" s="38" t="n">
        <f aca="false">wave*M18/g</f>
        <v>97.894992174915</v>
      </c>
    </row>
    <row r="20" customFormat="false" ht="15" hidden="false" customHeight="false" outlineLevel="0" collapsed="false">
      <c r="A20" s="18" t="s">
        <v>273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customFormat="false" ht="42" hidden="false" customHeight="true" outlineLevel="0" collapsed="false">
      <c r="A21" s="8" t="s">
        <v>274</v>
      </c>
      <c r="B21" s="8" t="s">
        <v>275</v>
      </c>
      <c r="C21" s="8" t="s">
        <v>155</v>
      </c>
      <c r="D21" s="8" t="s">
        <v>156</v>
      </c>
      <c r="E21" s="8" t="s">
        <v>157</v>
      </c>
      <c r="F21" s="8" t="s">
        <v>276</v>
      </c>
      <c r="G21" s="8" t="s">
        <v>277</v>
      </c>
      <c r="H21" s="8" t="s">
        <v>278</v>
      </c>
      <c r="I21" s="8" t="s">
        <v>279</v>
      </c>
      <c r="J21" s="8" t="s">
        <v>280</v>
      </c>
      <c r="K21" s="8" t="s">
        <v>281</v>
      </c>
      <c r="L21" s="8" t="s">
        <v>282</v>
      </c>
    </row>
    <row r="22" customFormat="false" ht="15" hidden="false" customHeight="false" outlineLevel="0" collapsed="false">
      <c r="A22" s="9" t="s">
        <v>93</v>
      </c>
      <c r="B22" s="10" t="s">
        <v>325</v>
      </c>
      <c r="C22" s="21" t="n">
        <f aca="false">Levels!$F$7</f>
        <v>1366.5</v>
      </c>
      <c r="D22" s="21" t="n">
        <f aca="false">Levels!$G$7</f>
        <v>1368</v>
      </c>
      <c r="E22" s="21" t="n">
        <f aca="false">Levels!$L$7</f>
        <v>1368</v>
      </c>
      <c r="F22" s="33" t="n">
        <f aca="false">h_res</f>
        <v>1</v>
      </c>
      <c r="G22" s="16" t="n">
        <f aca="false">E22+F22</f>
        <v>1369</v>
      </c>
      <c r="H22" s="16" t="n">
        <f aca="false">G22+R18+P18</f>
        <v>1369.05345212024</v>
      </c>
      <c r="I22" s="16" t="n">
        <f aca="false">T18</f>
        <v>1369</v>
      </c>
      <c r="J22" s="16" t="n">
        <f aca="false">I22-G22</f>
        <v>0</v>
      </c>
      <c r="K22" s="16" t="n">
        <f aca="false">J22+($B$6-$B$5)</f>
        <v>4</v>
      </c>
      <c r="L22" s="10" t="str">
        <f aca="false">IF(J22&lt;-0.005,"NOT REACHED – more head needed",IF(K22&gt;fcv_limit,"fit flow control valve / PRV (burns "&amp;TEXT(J22,"0.0")&amp;"–"&amp;TEXT(K22,"0.0")&amp;" m)","OK"))</f>
        <v>OK</v>
      </c>
    </row>
    <row r="24" customFormat="false" ht="15" hidden="false" customHeight="false" outlineLevel="0" collapsed="false">
      <c r="A24" s="18" t="s">
        <v>283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customFormat="false" ht="42" hidden="false" customHeight="true" outlineLevel="0" collapsed="false">
      <c r="A25" s="8" t="s">
        <v>251</v>
      </c>
      <c r="B25" s="8" t="s">
        <v>284</v>
      </c>
      <c r="C25" s="8" t="s">
        <v>75</v>
      </c>
      <c r="D25" s="8" t="s">
        <v>285</v>
      </c>
      <c r="E25" s="8" t="s">
        <v>286</v>
      </c>
      <c r="F25" s="8" t="s">
        <v>287</v>
      </c>
      <c r="G25" s="8" t="s">
        <v>288</v>
      </c>
      <c r="H25" s="8" t="s">
        <v>289</v>
      </c>
      <c r="I25" s="8" t="s">
        <v>290</v>
      </c>
      <c r="J25" s="8" t="s">
        <v>291</v>
      </c>
      <c r="K25" s="8" t="s">
        <v>292</v>
      </c>
      <c r="L25" s="8" t="s">
        <v>293</v>
      </c>
      <c r="M25" s="8" t="s">
        <v>294</v>
      </c>
      <c r="N25" s="8" t="s">
        <v>295</v>
      </c>
    </row>
    <row r="26" customFormat="false" ht="15" hidden="false" customHeight="false" outlineLevel="0" collapsed="false">
      <c r="A26" s="17"/>
      <c r="B26" s="17"/>
      <c r="C26" s="17"/>
      <c r="D26" s="16" t="str">
        <f aca="false">IF($A26="","",C26-cover)</f>
        <v/>
      </c>
      <c r="E26" s="16" t="str">
        <f aca="false">IF($A26="","",D26+p_min+INDEX($R$18:$R$18,MATCH($A26,$A$18:$A$18,0))+INDEX($P$18:$P$18,MATCH($A26,$A$18:$A$18,0))*B26/INDEX($G$18:$G$18,MATCH($A26,$A$18:$A$18,0)))</f>
        <v/>
      </c>
      <c r="F26" s="16" t="str">
        <f aca="false">IF($A26="","",INDEX($S$18:$S$18,MATCH($A26,$A$18:$A$18,0))-INDEX($P$18:$P$18,MATCH($A26,$A$18:$A$18,0))*B26/INDEX($G$18:$G$18,MATCH($A26,$A$18:$A$18,0)))</f>
        <v/>
      </c>
      <c r="G26" s="42" t="str">
        <f aca="false">IF($A26="","",F26-D26)</f>
        <v/>
      </c>
      <c r="H26" s="42" t="str">
        <f aca="false">IF($A26="","",$B$8-D26)</f>
        <v/>
      </c>
      <c r="I26" s="42" t="str">
        <f aca="false">IF($A26="","",MAX(G26,H26))</f>
        <v/>
      </c>
      <c r="J26" s="38" t="str">
        <f aca="false">IF($A26="","",I26*bar_per_m)</f>
        <v/>
      </c>
      <c r="K26" s="10" t="str">
        <f aca="false">IF($A26="","",IFERROR("PN"&amp;SMALL(PN_list,COUNTIF(PN_list,"&lt;"&amp;J26)+1),"&gt; max PN"))</f>
        <v/>
      </c>
      <c r="L26" s="42" t="str">
        <f aca="false">IF($A26="","",G26-INDEX($U$18:$U$18,MATCH($A26,$A$18:$A$18,0)))</f>
        <v/>
      </c>
      <c r="M26" s="11" t="s">
        <v>296</v>
      </c>
      <c r="N26" s="10" t="str">
        <f aca="false">IF($A26="","",IF(G26&lt;0,"NEGATIVE PRESSURE",IF(G26&lt;p_min-0.005,"below minimum","OK")))</f>
        <v/>
      </c>
    </row>
    <row r="27" customFormat="false" ht="15" hidden="false" customHeight="false" outlineLevel="0" collapsed="false">
      <c r="A27" s="17"/>
      <c r="B27" s="17"/>
      <c r="C27" s="17"/>
      <c r="D27" s="16" t="str">
        <f aca="false">IF($A27="","",C27-cover)</f>
        <v/>
      </c>
      <c r="E27" s="16" t="str">
        <f aca="false">IF($A27="","",D27+p_min+INDEX($R$18:$R$18,MATCH($A27,$A$18:$A$18,0))+INDEX($P$18:$P$18,MATCH($A27,$A$18:$A$18,0))*B27/INDEX($G$18:$G$18,MATCH($A27,$A$18:$A$18,0)))</f>
        <v/>
      </c>
      <c r="F27" s="16" t="str">
        <f aca="false">IF($A27="","",INDEX($S$18:$S$18,MATCH($A27,$A$18:$A$18,0))-INDEX($P$18:$P$18,MATCH($A27,$A$18:$A$18,0))*B27/INDEX($G$18:$G$18,MATCH($A27,$A$18:$A$18,0)))</f>
        <v/>
      </c>
      <c r="G27" s="42" t="str">
        <f aca="false">IF($A27="","",F27-D27)</f>
        <v/>
      </c>
      <c r="H27" s="42" t="str">
        <f aca="false">IF($A27="","",$B$8-D27)</f>
        <v/>
      </c>
      <c r="I27" s="42" t="str">
        <f aca="false">IF($A27="","",MAX(G27,H27))</f>
        <v/>
      </c>
      <c r="J27" s="38" t="str">
        <f aca="false">IF($A27="","",I27*bar_per_m)</f>
        <v/>
      </c>
      <c r="K27" s="10" t="str">
        <f aca="false">IF($A27="","",IFERROR("PN"&amp;SMALL(PN_list,COUNTIF(PN_list,"&lt;"&amp;J27)+1),"&gt; max PN"))</f>
        <v/>
      </c>
      <c r="L27" s="42" t="str">
        <f aca="false">IF($A27="","",G27-INDEX($U$18:$U$18,MATCH($A27,$A$18:$A$18,0)))</f>
        <v/>
      </c>
      <c r="M27" s="11" t="s">
        <v>296</v>
      </c>
      <c r="N27" s="10" t="str">
        <f aca="false">IF($A27="","",IF(G27&lt;0,"NEGATIVE PRESSURE",IF(G27&lt;p_min-0.005,"below minimum","OK")))</f>
        <v/>
      </c>
    </row>
    <row r="28" customFormat="false" ht="15" hidden="false" customHeight="false" outlineLevel="0" collapsed="false">
      <c r="A28" s="17"/>
      <c r="B28" s="17"/>
      <c r="C28" s="17"/>
      <c r="D28" s="16" t="str">
        <f aca="false">IF($A28="","",C28-cover)</f>
        <v/>
      </c>
      <c r="E28" s="16" t="str">
        <f aca="false">IF($A28="","",D28+p_min+INDEX($R$18:$R$18,MATCH($A28,$A$18:$A$18,0))+INDEX($P$18:$P$18,MATCH($A28,$A$18:$A$18,0))*B28/INDEX($G$18:$G$18,MATCH($A28,$A$18:$A$18,0)))</f>
        <v/>
      </c>
      <c r="F28" s="16" t="str">
        <f aca="false">IF($A28="","",INDEX($S$18:$S$18,MATCH($A28,$A$18:$A$18,0))-INDEX($P$18:$P$18,MATCH($A28,$A$18:$A$18,0))*B28/INDEX($G$18:$G$18,MATCH($A28,$A$18:$A$18,0)))</f>
        <v/>
      </c>
      <c r="G28" s="42" t="str">
        <f aca="false">IF($A28="","",F28-D28)</f>
        <v/>
      </c>
      <c r="H28" s="42" t="str">
        <f aca="false">IF($A28="","",$B$8-D28)</f>
        <v/>
      </c>
      <c r="I28" s="42" t="str">
        <f aca="false">IF($A28="","",MAX(G28,H28))</f>
        <v/>
      </c>
      <c r="J28" s="38" t="str">
        <f aca="false">IF($A28="","",I28*bar_per_m)</f>
        <v/>
      </c>
      <c r="K28" s="10" t="str">
        <f aca="false">IF($A28="","",IFERROR("PN"&amp;SMALL(PN_list,COUNTIF(PN_list,"&lt;"&amp;J28)+1),"&gt; max PN"))</f>
        <v/>
      </c>
      <c r="L28" s="42" t="str">
        <f aca="false">IF($A28="","",G28-INDEX($U$18:$U$18,MATCH($A28,$A$18:$A$18,0)))</f>
        <v/>
      </c>
      <c r="M28" s="11" t="s">
        <v>296</v>
      </c>
      <c r="N28" s="10" t="str">
        <f aca="false">IF($A28="","",IF(G28&lt;0,"NEGATIVE PRESSURE",IF(G28&lt;p_min-0.005,"below minimum","OK")))</f>
        <v/>
      </c>
    </row>
    <row r="30" customFormat="false" ht="15" hidden="false" customHeight="false" outlineLevel="0" collapsed="false">
      <c r="A30" s="18" t="s">
        <v>297</v>
      </c>
      <c r="B30" s="18"/>
      <c r="C30" s="18"/>
      <c r="D30" s="18"/>
    </row>
    <row r="31" customFormat="false" ht="15" hidden="false" customHeight="false" outlineLevel="0" collapsed="false">
      <c r="A31" s="10" t="s">
        <v>298</v>
      </c>
      <c r="B31" s="32" t="n">
        <f aca="false">MAX($H$22:$H$22,$E$26:$E$28)</f>
        <v>1369.05345212024</v>
      </c>
      <c r="C31" s="10" t="s">
        <v>241</v>
      </c>
      <c r="D31" s="30" t="s">
        <v>299</v>
      </c>
    </row>
    <row r="32" customFormat="false" ht="15" hidden="false" customHeight="false" outlineLevel="0" collapsed="false">
      <c r="A32" s="10" t="s">
        <v>137</v>
      </c>
      <c r="B32" s="43" t="str">
        <f aca="false">IF(MAX($E$26:$E$28)&gt;=MAX($H$22:$H$22),"point on "&amp;INDEX($A$26:$A$28,MATCH(MAX($E$26:$E$28),$E$26:$E$28,0)),INDEX($A$22:$A$22,MATCH(MAX($H$22:$H$22),$H$22:$H$22,0)))</f>
        <v>GRIT_TANK</v>
      </c>
      <c r="C32" s="10"/>
      <c r="D32" s="30" t="s">
        <v>300</v>
      </c>
    </row>
    <row r="33" customFormat="false" ht="15" hidden="false" customHeight="false" outlineLevel="0" collapsed="false">
      <c r="A33" s="10" t="s">
        <v>326</v>
      </c>
      <c r="B33" s="16" t="n">
        <f aca="false">$B$31-$B$5</f>
        <v>9.05345212024236</v>
      </c>
      <c r="C33" s="10" t="s">
        <v>205</v>
      </c>
      <c r="D33" s="30" t="s">
        <v>327</v>
      </c>
    </row>
    <row r="34" customFormat="false" ht="15" hidden="false" customHeight="false" outlineLevel="0" collapsed="false">
      <c r="A34" s="10" t="s">
        <v>328</v>
      </c>
      <c r="B34" s="32" t="n">
        <f aca="false">$B$33+h_station</f>
        <v>12.0534521202424</v>
      </c>
      <c r="C34" s="10" t="s">
        <v>205</v>
      </c>
      <c r="D34" s="30" t="s">
        <v>329</v>
      </c>
    </row>
    <row r="35" customFormat="false" ht="15" hidden="false" customHeight="false" outlineLevel="0" collapsed="false">
      <c r="A35" s="10" t="s">
        <v>330</v>
      </c>
      <c r="B35" s="32" t="n">
        <f aca="false">$B$31-$B$6+h_station</f>
        <v>8.05345212024236</v>
      </c>
      <c r="C35" s="10" t="s">
        <v>205</v>
      </c>
      <c r="D35" s="30" t="s">
        <v>331</v>
      </c>
    </row>
    <row r="36" customFormat="false" ht="15" hidden="false" customHeight="false" outlineLevel="0" collapsed="false">
      <c r="A36" s="10" t="s">
        <v>332</v>
      </c>
      <c r="B36" s="40" t="n">
        <f aca="false">J18</f>
        <v>0.271532529597046</v>
      </c>
      <c r="C36" s="10" t="s">
        <v>333</v>
      </c>
      <c r="D36" s="30" t="s">
        <v>334</v>
      </c>
    </row>
    <row r="37" customFormat="false" ht="15" hidden="false" customHeight="false" outlineLevel="0" collapsed="false">
      <c r="A37" s="10" t="s">
        <v>335</v>
      </c>
      <c r="B37" s="40" t="n">
        <f aca="false">$B$36/$B$9</f>
        <v>0.271532529597046</v>
      </c>
      <c r="C37" s="10" t="s">
        <v>333</v>
      </c>
      <c r="D37" s="30"/>
    </row>
    <row r="38" customFormat="false" ht="15" hidden="false" customHeight="false" outlineLevel="0" collapsed="false">
      <c r="A38" s="10" t="s">
        <v>335</v>
      </c>
      <c r="B38" s="15" t="n">
        <f aca="false">$B$37*3600</f>
        <v>977.517106549365</v>
      </c>
      <c r="C38" s="10" t="s">
        <v>323</v>
      </c>
      <c r="D38" s="30" t="s">
        <v>336</v>
      </c>
    </row>
    <row r="39" customFormat="false" ht="15" hidden="false" customHeight="false" outlineLevel="0" collapsed="false">
      <c r="A39" s="10" t="s">
        <v>337</v>
      </c>
      <c r="B39" s="42" t="n">
        <f aca="false">1000*g*$B$37*$B$34/1000</f>
        <v>32.1071916203914</v>
      </c>
      <c r="C39" s="10" t="s">
        <v>338</v>
      </c>
      <c r="D39" s="30"/>
    </row>
    <row r="40" customFormat="false" ht="15" hidden="false" customHeight="false" outlineLevel="0" collapsed="false">
      <c r="A40" s="10" t="s">
        <v>339</v>
      </c>
      <c r="B40" s="44" t="n">
        <f aca="false">$B$39/$B$11</f>
        <v>42.8095888271886</v>
      </c>
      <c r="C40" s="10" t="s">
        <v>338</v>
      </c>
      <c r="D40" s="30"/>
    </row>
    <row r="41" customFormat="false" ht="15" hidden="false" customHeight="false" outlineLevel="0" collapsed="false">
      <c r="A41" s="10" t="s">
        <v>340</v>
      </c>
      <c r="B41" s="42" t="n">
        <f aca="false">$B$40*motor_margin</f>
        <v>49.2310271512668</v>
      </c>
      <c r="C41" s="10" t="s">
        <v>338</v>
      </c>
      <c r="D41" s="30"/>
    </row>
    <row r="42" customFormat="false" ht="15" hidden="false" customHeight="false" outlineLevel="0" collapsed="false">
      <c r="A42" s="10" t="s">
        <v>341</v>
      </c>
      <c r="B42" s="44" t="n">
        <f aca="false">IFERROR(SMALL(Motor_list,COUNTIF(Motor_list,"&lt;"&amp;$B$41)+1),"&gt; list")</f>
        <v>55</v>
      </c>
      <c r="C42" s="10" t="s">
        <v>338</v>
      </c>
      <c r="D42" s="30" t="s">
        <v>342</v>
      </c>
    </row>
    <row r="43" customFormat="false" ht="15" hidden="false" customHeight="false" outlineLevel="0" collapsed="false">
      <c r="A43" s="10" t="s">
        <v>343</v>
      </c>
      <c r="B43" s="15" t="n">
        <f aca="false">$B$9*$B$40*$B$7/$B$12</f>
        <v>1001.92654701931</v>
      </c>
      <c r="C43" s="10" t="s">
        <v>344</v>
      </c>
      <c r="D43" s="30"/>
    </row>
    <row r="44" customFormat="false" ht="15" hidden="false" customHeight="false" outlineLevel="0" collapsed="false">
      <c r="A44" s="10" t="s">
        <v>345</v>
      </c>
      <c r="B44" s="41" t="n">
        <f aca="false">$B$43/I18</f>
        <v>0.0465895844363978</v>
      </c>
      <c r="C44" s="10" t="s">
        <v>346</v>
      </c>
      <c r="D44" s="30"/>
    </row>
    <row r="45" customFormat="false" ht="15" hidden="false" customHeight="false" outlineLevel="0" collapsed="false">
      <c r="A45" s="10" t="s">
        <v>347</v>
      </c>
      <c r="B45" s="15" t="n">
        <f aca="false">$B$43*365*tariff</f>
        <v>0</v>
      </c>
      <c r="C45" s="10" t="s">
        <v>348</v>
      </c>
      <c r="D45" s="30" t="s">
        <v>349</v>
      </c>
    </row>
    <row r="46" customFormat="false" ht="15" hidden="false" customHeight="false" outlineLevel="0" collapsed="false">
      <c r="A46" s="10" t="s">
        <v>350</v>
      </c>
      <c r="B46" s="45" t="n">
        <f aca="false">$B$34-$B$14</f>
        <v>2.05345212024236</v>
      </c>
      <c r="C46" s="10" t="s">
        <v>205</v>
      </c>
      <c r="D46" s="30" t="s">
        <v>351</v>
      </c>
    </row>
    <row r="47" customFormat="false" ht="15" hidden="false" customHeight="false" outlineLevel="0" collapsed="false">
      <c r="A47" s="10" t="s">
        <v>305</v>
      </c>
      <c r="B47" s="42" t="str">
        <f aca="false">IF(COUNTIFS(Profile!$A$5:$A$2360,"Z2 Intake-Grit",Profile!$L$5:$L$2360,"yes")=0,"no points between tanks",_xlfn.MINIFS(Profile!$H$5:$H$2360,Profile!$A$5:$A$2360,"Z2 Intake-Grit",Profile!$L$5:$L$2360,"yes"))</f>
        <v>no points between tanks</v>
      </c>
      <c r="C47" s="10" t="s">
        <v>205</v>
      </c>
      <c r="D47" s="30" t="s">
        <v>306</v>
      </c>
    </row>
    <row r="49" customFormat="false" ht="15" hidden="false" customHeight="false" outlineLevel="0" collapsed="false">
      <c r="A49" s="18" t="s">
        <v>307</v>
      </c>
      <c r="B49" s="18"/>
      <c r="C49" s="18"/>
      <c r="D49" s="18"/>
    </row>
    <row r="50" customFormat="false" ht="15" hidden="false" customHeight="false" outlineLevel="0" collapsed="false">
      <c r="A50" s="4" t="str">
        <f aca="false">"1. Flow: "&amp;TEXT(I18,"#,##0")&amp;" m³/d in "&amp;TEXT($B$7,"0")&amp;" h → Q = "&amp;TEXT(K18,"0.0")&amp;" l/s, V = "&amp;TEXT(M18,"0.00")&amp;" m/s in "&amp;A18&amp;"."</f>
        <v>1. Flow: 21,505 m³/d in 22 h → Q = 271.5 l/s, V = 0.96 m/s in LL_DELIVERY.</v>
      </c>
    </row>
    <row r="51" customFormat="false" ht="15" hidden="false" customHeight="false" outlineLevel="0" collapsed="false">
      <c r="A51" s="4" t="str">
        <f aca="false">"2. Friction (Hazen-Williams): "&amp;A18&amp;" loses hL = "&amp;TEXT(P18,"0.00")&amp;" m over "&amp;TEXT(G18,"#,##0")&amp;" m ("&amp;TEXT(Q18,"0.00")&amp;" m/km)."</f>
        <v>2. Friction (Hazen-Williams): LL_DELIVERY loses hL = 0.05 m over 30 m (1.78 m/km).</v>
      </c>
    </row>
    <row r="52" customFormat="false" ht="15" hidden="false" customHeight="false" outlineLevel="0" collapsed="false">
      <c r="A52" s="4" t="str">
        <f aca="false">"3. Point 1 = MOMBA_INTAKE water surface at its MINIMUM level z1 = "&amp;TEXT($B$5,"0.00")&amp;" m (p = 0, V ≈ 0)."</f>
        <v>3. Point 1 = MOMBA_INTAKE water surface at its MINIMUM level z1 = 1360.00 m (p = 0, V ≈ 0).</v>
      </c>
    </row>
    <row r="53" customFormat="false" ht="15" hidden="false" customHeight="false" outlineLevel="0" collapsed="false">
      <c r="A53" s="4" t="str">
        <f aca="false">"4. Point 2: the hardest place to reach is "&amp;$B$32&amp;"; it needs the HGL at the zone start to be H_req = "&amp;TEXT($B$31,"0.00")&amp;" m (its level + residual + losses on the way)."</f>
        <v>4. Point 2: the hardest place to reach is GRIT_TANK; it needs the HGL at the zone start to be H_req = 1369.05 m (its level + residual + losses on the way).</v>
      </c>
    </row>
    <row r="54" customFormat="false" ht="15" hidden="false" customHeight="false" outlineLevel="0" collapsed="false">
      <c r="A54" s="4" t="str">
        <f aca="false">"5. Bernoulli: z1 + Hp = H_req → Hp = "&amp;TEXT($B$31,"0.00")&amp;" − "&amp;TEXT($B$5,"0.00")&amp;" = "&amp;TEXT($B$33,"0.00")&amp;" m; + station losses "&amp;TEXT(h_station,"0.0")&amp;" m → TDH = "&amp;TEXT($B$34,"0.0")&amp;" m."</f>
        <v>5. Bernoulli: z1 + Hp = H_req → Hp = 1369.05 − 1360.00 = 9.05 m; + station losses 3.0 m → TDH = 12.1 m.</v>
      </c>
    </row>
    <row r="55" customFormat="false" ht="15" hidden="false" customHeight="false" outlineLevel="0" collapsed="false">
      <c r="A55" s="4" t="str">
        <f aca="false">"6. With the suction tank full (MAXIMUM level "&amp;TEXT($B$6,"0.00")&amp;" m) TDH falls to "&amp;TEXT($B$35,"0.0")&amp;" m: the pump must work between "&amp;TEXT($B$35,"0.0")&amp;" and "&amp;TEXT($B$34,"0.0")&amp;" m at "&amp;TEXT($B$38,"#,##0")&amp;" m³/h per pump."</f>
        <v>6. With the suction tank full (MAXIMUM level 1364.00 m) TDH falls to 8.1 m: the pump must work between 8.1 and 12.1 m at 978 m³/h per pump.</v>
      </c>
    </row>
    <row r="56" customFormat="false" ht="15" hidden="false" customHeight="false" outlineLevel="0" collapsed="false">
      <c r="A56" s="4" t="str">
        <f aca="false">"7. Power: P = ρgQH/η = "&amp;TEXT($B$40,"#,##0")&amp;" kW per pump → motor "&amp;TEXT($B$42,"#,##0")&amp;" kW; ER duty head "&amp;TEXT($B$14,"0")&amp;" m (difference "&amp;TEXT($B$46,"+0.0;-0.0")&amp;" m)."</f>
        <v>7. Power: P = ρgQH/η = 43 kW per pump → motor 55 kW; ER duty head 10 m (difference +2.1 m).</v>
      </c>
    </row>
    <row r="57" customFormat="false" ht="15" hidden="false" customHeight="false" outlineLevel="0" collapsed="false">
      <c r="A57" s="4" t="str">
        <f aca="false">"8. Pressure: lowest pressure along the route = "&amp;TEXT($B$47,"0.0")&amp;" m (minimum allowed "&amp;TEXT(p_min,"0")&amp;" m); pipe class from section D and sheet Profile."</f>
        <v>8. Pressure: lowest pressure along the route = no points between tanks m (minimum allowed 2 m); pipe class from section D and sheet Profile.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21" min="18" style="0" width="12"/>
  </cols>
  <sheetData>
    <row r="1" customFormat="false" ht="17.35" hidden="false" customHeight="false" outlineLevel="0" collapsed="false">
      <c r="A1" s="1" t="s">
        <v>352</v>
      </c>
    </row>
    <row r="2" customFormat="false" ht="15" hidden="false" customHeight="false" outlineLevel="0" collapsed="false">
      <c r="A2" s="36" t="s">
        <v>353</v>
      </c>
    </row>
    <row r="4" customFormat="false" ht="15" hidden="false" customHeight="false" outlineLevel="0" collapsed="false">
      <c r="A4" s="18" t="s">
        <v>239</v>
      </c>
      <c r="B4" s="18"/>
      <c r="C4" s="18"/>
      <c r="D4" s="18"/>
    </row>
    <row r="5" customFormat="false" ht="15" hidden="false" customHeight="false" outlineLevel="0" collapsed="false">
      <c r="A5" s="10" t="s">
        <v>354</v>
      </c>
      <c r="B5" s="21" t="n">
        <f aca="false">Levels!$F$7</f>
        <v>1366.5</v>
      </c>
      <c r="C5" s="10" t="s">
        <v>241</v>
      </c>
      <c r="D5" s="30" t="s">
        <v>242</v>
      </c>
    </row>
    <row r="6" customFormat="false" ht="15" hidden="false" customHeight="false" outlineLevel="0" collapsed="false">
      <c r="A6" s="10" t="s">
        <v>355</v>
      </c>
      <c r="B6" s="21" t="n">
        <f aca="false">Levels!$G$7</f>
        <v>1368</v>
      </c>
      <c r="C6" s="10" t="s">
        <v>241</v>
      </c>
      <c r="D6" s="30" t="s">
        <v>244</v>
      </c>
    </row>
    <row r="7" customFormat="false" ht="15" hidden="false" customHeight="false" outlineLevel="0" collapsed="false">
      <c r="A7" s="10" t="s">
        <v>245</v>
      </c>
      <c r="B7" s="37" t="n">
        <v>22</v>
      </c>
      <c r="C7" s="10" t="s">
        <v>246</v>
      </c>
      <c r="D7" s="30" t="s">
        <v>312</v>
      </c>
    </row>
    <row r="8" customFormat="false" ht="15" hidden="false" customHeight="false" outlineLevel="0" collapsed="false">
      <c r="A8" s="10" t="s">
        <v>248</v>
      </c>
      <c r="B8" s="16" t="n">
        <f aca="false">MAX(Levels!$L$8)</f>
        <v>1378</v>
      </c>
      <c r="C8" s="10" t="s">
        <v>241</v>
      </c>
      <c r="D8" s="30" t="s">
        <v>313</v>
      </c>
    </row>
    <row r="9" customFormat="false" ht="15" hidden="false" customHeight="false" outlineLevel="0" collapsed="false">
      <c r="A9" s="10" t="s">
        <v>314</v>
      </c>
      <c r="B9" s="34" t="n">
        <v>1</v>
      </c>
      <c r="C9" s="10" t="s">
        <v>315</v>
      </c>
      <c r="D9" s="30" t="s">
        <v>316</v>
      </c>
    </row>
    <row r="10" customFormat="false" ht="15" hidden="false" customHeight="false" outlineLevel="0" collapsed="false">
      <c r="A10" s="10" t="s">
        <v>317</v>
      </c>
      <c r="B10" s="34" t="n">
        <v>1</v>
      </c>
      <c r="C10" s="10" t="s">
        <v>315</v>
      </c>
      <c r="D10" s="30" t="s">
        <v>318</v>
      </c>
    </row>
    <row r="11" customFormat="false" ht="15" hidden="false" customHeight="false" outlineLevel="0" collapsed="false">
      <c r="A11" s="10" t="s">
        <v>319</v>
      </c>
      <c r="B11" s="33" t="n">
        <v>0.75</v>
      </c>
      <c r="C11" s="10" t="s">
        <v>149</v>
      </c>
      <c r="D11" s="30" t="s">
        <v>320</v>
      </c>
    </row>
    <row r="12" customFormat="false" ht="15" hidden="false" customHeight="false" outlineLevel="0" collapsed="false">
      <c r="A12" s="10" t="s">
        <v>321</v>
      </c>
      <c r="B12" s="33" t="n">
        <v>0.94</v>
      </c>
      <c r="C12" s="10" t="s">
        <v>149</v>
      </c>
      <c r="D12" s="30" t="s">
        <v>210</v>
      </c>
    </row>
    <row r="13" customFormat="false" ht="15" hidden="false" customHeight="false" outlineLevel="0" collapsed="false">
      <c r="A13" s="10" t="s">
        <v>322</v>
      </c>
      <c r="B13" s="13" t="n">
        <v>978</v>
      </c>
      <c r="C13" s="10" t="s">
        <v>323</v>
      </c>
      <c r="D13" s="30" t="s">
        <v>64</v>
      </c>
    </row>
    <row r="14" customFormat="false" ht="15" hidden="false" customHeight="false" outlineLevel="0" collapsed="false">
      <c r="A14" s="10" t="s">
        <v>324</v>
      </c>
      <c r="B14" s="39" t="n">
        <v>25</v>
      </c>
      <c r="C14" s="10" t="s">
        <v>205</v>
      </c>
      <c r="D14" s="30" t="s">
        <v>64</v>
      </c>
    </row>
    <row r="16" customFormat="false" ht="15" hidden="false" customHeight="false" outlineLevel="0" collapsed="false">
      <c r="A16" s="18" t="s">
        <v>250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customFormat="false" ht="42" hidden="false" customHeight="true" outlineLevel="0" collapsed="false">
      <c r="A17" s="8" t="s">
        <v>251</v>
      </c>
      <c r="B17" s="8" t="s">
        <v>252</v>
      </c>
      <c r="C17" s="8" t="s">
        <v>253</v>
      </c>
      <c r="D17" s="8" t="s">
        <v>254</v>
      </c>
      <c r="E17" s="8" t="s">
        <v>255</v>
      </c>
      <c r="F17" s="8" t="s">
        <v>256</v>
      </c>
      <c r="G17" s="8" t="s">
        <v>257</v>
      </c>
      <c r="H17" s="8" t="s">
        <v>258</v>
      </c>
      <c r="I17" s="8" t="s">
        <v>259</v>
      </c>
      <c r="J17" s="8" t="s">
        <v>260</v>
      </c>
      <c r="K17" s="8" t="s">
        <v>261</v>
      </c>
      <c r="L17" s="8" t="s">
        <v>262</v>
      </c>
      <c r="M17" s="8" t="s">
        <v>263</v>
      </c>
      <c r="N17" s="8" t="s">
        <v>264</v>
      </c>
      <c r="O17" s="8" t="s">
        <v>265</v>
      </c>
      <c r="P17" s="8" t="s">
        <v>266</v>
      </c>
      <c r="Q17" s="8" t="s">
        <v>267</v>
      </c>
      <c r="R17" s="8" t="s">
        <v>268</v>
      </c>
      <c r="S17" s="8" t="s">
        <v>269</v>
      </c>
      <c r="T17" s="8" t="s">
        <v>270</v>
      </c>
      <c r="U17" s="8" t="s">
        <v>271</v>
      </c>
    </row>
    <row r="18" customFormat="false" ht="15" hidden="false" customHeight="false" outlineLevel="0" collapsed="false">
      <c r="A18" s="9" t="s">
        <v>356</v>
      </c>
      <c r="B18" s="10" t="s">
        <v>93</v>
      </c>
      <c r="C18" s="10" t="s">
        <v>96</v>
      </c>
      <c r="D18" s="10" t="s">
        <v>149</v>
      </c>
      <c r="E18" s="34" t="n">
        <v>600</v>
      </c>
      <c r="F18" s="38" t="n">
        <f aca="false">E18</f>
        <v>600</v>
      </c>
      <c r="G18" s="39" t="n">
        <v>1078.5</v>
      </c>
      <c r="H18" s="34" t="n">
        <f aca="false">C_default</f>
        <v>120</v>
      </c>
      <c r="I18" s="19" t="n">
        <f aca="false">Demands!$B$26</f>
        <v>21505.376344086</v>
      </c>
      <c r="J18" s="40" t="n">
        <f aca="false">I18/($B$7*3600)</f>
        <v>0.271532529597046</v>
      </c>
      <c r="K18" s="38" t="n">
        <f aca="false">J18*1000</f>
        <v>271.532529597046</v>
      </c>
      <c r="L18" s="40" t="n">
        <f aca="false">PI()*(F18/1000)^2/4</f>
        <v>0.282743338823081</v>
      </c>
      <c r="M18" s="41" t="n">
        <f aca="false">J18/L18</f>
        <v>0.960349873235916</v>
      </c>
      <c r="N18" s="14" t="n">
        <f aca="false">10.67*G18*J18^1.852/(H18^1.852*(F18/1000)^4.8704)</f>
        <v>1.7469124751957</v>
      </c>
      <c r="O18" s="14" t="n">
        <f aca="false">k_minor*N18</f>
        <v>0.17469124751957</v>
      </c>
      <c r="P18" s="14" t="n">
        <f aca="false">N18+O18</f>
        <v>1.92160372271527</v>
      </c>
      <c r="Q18" s="14" t="n">
        <f aca="false">P18/G18*1000</f>
        <v>1.78173734141425</v>
      </c>
      <c r="R18" s="14" t="n">
        <v>0</v>
      </c>
      <c r="S18" s="16" t="n">
        <f aca="false">$B$33-R18</f>
        <v>1380.92160372272</v>
      </c>
      <c r="T18" s="16" t="n">
        <f aca="false">S18-P18</f>
        <v>1379</v>
      </c>
      <c r="U18" s="38" t="n">
        <f aca="false">wave*M18/g</f>
        <v>97.894992174915</v>
      </c>
    </row>
    <row r="20" customFormat="false" ht="15" hidden="false" customHeight="false" outlineLevel="0" collapsed="false">
      <c r="A20" s="18" t="s">
        <v>273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customFormat="false" ht="42" hidden="false" customHeight="true" outlineLevel="0" collapsed="false">
      <c r="A21" s="8" t="s">
        <v>274</v>
      </c>
      <c r="B21" s="8" t="s">
        <v>275</v>
      </c>
      <c r="C21" s="8" t="s">
        <v>155</v>
      </c>
      <c r="D21" s="8" t="s">
        <v>156</v>
      </c>
      <c r="E21" s="8" t="s">
        <v>157</v>
      </c>
      <c r="F21" s="8" t="s">
        <v>276</v>
      </c>
      <c r="G21" s="8" t="s">
        <v>277</v>
      </c>
      <c r="H21" s="8" t="s">
        <v>278</v>
      </c>
      <c r="I21" s="8" t="s">
        <v>279</v>
      </c>
      <c r="J21" s="8" t="s">
        <v>280</v>
      </c>
      <c r="K21" s="8" t="s">
        <v>281</v>
      </c>
      <c r="L21" s="8" t="s">
        <v>282</v>
      </c>
    </row>
    <row r="22" customFormat="false" ht="15" hidden="false" customHeight="false" outlineLevel="0" collapsed="false">
      <c r="A22" s="9" t="s">
        <v>96</v>
      </c>
      <c r="B22" s="10" t="s">
        <v>356</v>
      </c>
      <c r="C22" s="21" t="n">
        <f aca="false">Levels!$F$8</f>
        <v>1368.5</v>
      </c>
      <c r="D22" s="21" t="n">
        <f aca="false">Levels!$G$8</f>
        <v>1373</v>
      </c>
      <c r="E22" s="21" t="n">
        <f aca="false">Levels!$L$8</f>
        <v>1378</v>
      </c>
      <c r="F22" s="33" t="n">
        <f aca="false">h_res</f>
        <v>1</v>
      </c>
      <c r="G22" s="16" t="n">
        <f aca="false">E22+F22</f>
        <v>1379</v>
      </c>
      <c r="H22" s="16" t="n">
        <f aca="false">G22+R18+P18</f>
        <v>1380.92160372272</v>
      </c>
      <c r="I22" s="16" t="n">
        <f aca="false">T18</f>
        <v>1379</v>
      </c>
      <c r="J22" s="16" t="n">
        <f aca="false">I22-G22</f>
        <v>0</v>
      </c>
      <c r="K22" s="16" t="n">
        <f aca="false">J22+($B$6-$B$5)</f>
        <v>1.5</v>
      </c>
      <c r="L22" s="10" t="str">
        <f aca="false">IF(J22&lt;-0.005,"NOT REACHED – more head needed",IF(K22&gt;fcv_limit,"fit flow control valve / PRV (burns "&amp;TEXT(J22,"0.0")&amp;"–"&amp;TEXT(K22,"0.0")&amp;" m)","OK"))</f>
        <v>OK</v>
      </c>
    </row>
    <row r="24" customFormat="false" ht="15" hidden="false" customHeight="false" outlineLevel="0" collapsed="false">
      <c r="A24" s="18" t="s">
        <v>283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customFormat="false" ht="42" hidden="false" customHeight="true" outlineLevel="0" collapsed="false">
      <c r="A25" s="8" t="s">
        <v>251</v>
      </c>
      <c r="B25" s="8" t="s">
        <v>284</v>
      </c>
      <c r="C25" s="8" t="s">
        <v>75</v>
      </c>
      <c r="D25" s="8" t="s">
        <v>285</v>
      </c>
      <c r="E25" s="8" t="s">
        <v>286</v>
      </c>
      <c r="F25" s="8" t="s">
        <v>287</v>
      </c>
      <c r="G25" s="8" t="s">
        <v>288</v>
      </c>
      <c r="H25" s="8" t="s">
        <v>289</v>
      </c>
      <c r="I25" s="8" t="s">
        <v>290</v>
      </c>
      <c r="J25" s="8" t="s">
        <v>291</v>
      </c>
      <c r="K25" s="8" t="s">
        <v>292</v>
      </c>
      <c r="L25" s="8" t="s">
        <v>293</v>
      </c>
      <c r="M25" s="8" t="s">
        <v>294</v>
      </c>
      <c r="N25" s="8" t="s">
        <v>295</v>
      </c>
    </row>
    <row r="26" customFormat="false" ht="15" hidden="false" customHeight="false" outlineLevel="0" collapsed="false">
      <c r="A26" s="17" t="s">
        <v>356</v>
      </c>
      <c r="B26" s="39" t="n">
        <v>778.5</v>
      </c>
      <c r="C26" s="12" t="n">
        <v>1372.43</v>
      </c>
      <c r="D26" s="16" t="n">
        <f aca="false">IF($A26="","",C26-cover)</f>
        <v>1371.23</v>
      </c>
      <c r="E26" s="16" t="n">
        <f aca="false">IF($A26="","",D26+p_min+INDEX($R$18:$R$18,MATCH($A26,$A$18:$A$18,0))+INDEX($P$18:$P$18,MATCH($A26,$A$18:$A$18,0))*B26/INDEX($G$18:$G$18,MATCH($A26,$A$18:$A$18,0)))</f>
        <v>1374.61708252029</v>
      </c>
      <c r="F26" s="16" t="n">
        <f aca="false">IF($A26="","",INDEX($S$18:$S$18,MATCH($A26,$A$18:$A$18,0))-INDEX($P$18:$P$18,MATCH($A26,$A$18:$A$18,0))*B26/INDEX($G$18:$G$18,MATCH($A26,$A$18:$A$18,0)))</f>
        <v>1379.53452120242</v>
      </c>
      <c r="G26" s="42" t="n">
        <f aca="false">IF($A26="","",F26-D26)</f>
        <v>8.30452120242421</v>
      </c>
      <c r="H26" s="42" t="n">
        <f aca="false">IF($A26="","",$B$8-D26)</f>
        <v>6.76999999999998</v>
      </c>
      <c r="I26" s="42" t="n">
        <f aca="false">IF($A26="","",MAX(G26,H26))</f>
        <v>8.30452120242421</v>
      </c>
      <c r="J26" s="38" t="n">
        <f aca="false">IF($A26="","",I26*bar_per_m)</f>
        <v>0.814673529957815</v>
      </c>
      <c r="K26" s="10" t="str">
        <f aca="false">IF($A26="","",IFERROR("PN"&amp;SMALL(PN_list,COUNTIF(PN_list,"&lt;"&amp;J26)+1),"&gt; max PN"))</f>
        <v>PN10</v>
      </c>
      <c r="L26" s="42" t="n">
        <f aca="false">IF($A26="","",G26-INDEX($U$18:$U$18,MATCH($A26,$A$18:$A$18,0)))</f>
        <v>-89.5904709724907</v>
      </c>
      <c r="M26" s="11" t="s">
        <v>357</v>
      </c>
      <c r="N26" s="10" t="str">
        <f aca="false">IF($A26="","",IF(G26&lt;0,"NEGATIVE PRESSURE",IF(G26&lt;p_min-0.005,"below minimum","OK")))</f>
        <v>OK</v>
      </c>
    </row>
    <row r="27" customFormat="false" ht="15" hidden="false" customHeight="false" outlineLevel="0" collapsed="false">
      <c r="A27" s="17" t="s">
        <v>356</v>
      </c>
      <c r="B27" s="39" t="n">
        <v>129.8</v>
      </c>
      <c r="C27" s="12" t="n">
        <v>1365.87</v>
      </c>
      <c r="D27" s="16" t="n">
        <f aca="false">IF($A27="","",C27-cover)</f>
        <v>1364.67</v>
      </c>
      <c r="E27" s="16" t="n">
        <f aca="false">IF($A27="","",D27+p_min+INDEX($R$18:$R$18,MATCH($A27,$A$18:$A$18,0))+INDEX($P$18:$P$18,MATCH($A27,$A$18:$A$18,0))*B27/INDEX($G$18:$G$18,MATCH($A27,$A$18:$A$18,0)))</f>
        <v>1366.90126950692</v>
      </c>
      <c r="F27" s="16" t="n">
        <f aca="false">IF($A27="","",INDEX($S$18:$S$18,MATCH($A27,$A$18:$A$18,0))-INDEX($P$18:$P$18,MATCH($A27,$A$18:$A$18,0))*B27/INDEX($G$18:$G$18,MATCH($A27,$A$18:$A$18,0)))</f>
        <v>1380.6903342158</v>
      </c>
      <c r="G27" s="42" t="n">
        <f aca="false">IF($A27="","",F27-D27)</f>
        <v>16.0203342157997</v>
      </c>
      <c r="H27" s="42" t="n">
        <f aca="false">IF($A27="","",$B$8-D27)</f>
        <v>13.3300000000002</v>
      </c>
      <c r="I27" s="42" t="n">
        <f aca="false">IF($A27="","",MAX(G27,H27))</f>
        <v>16.0203342157997</v>
      </c>
      <c r="J27" s="38" t="n">
        <f aca="false">IF($A27="","",I27*bar_per_m)</f>
        <v>1.57159478656995</v>
      </c>
      <c r="K27" s="10" t="str">
        <f aca="false">IF($A27="","",IFERROR("PN"&amp;SMALL(PN_list,COUNTIF(PN_list,"&lt;"&amp;J27)+1),"&gt; max PN"))</f>
        <v>PN10</v>
      </c>
      <c r="L27" s="42" t="n">
        <f aca="false">IF($A27="","",G27-INDEX($U$18:$U$18,MATCH($A27,$A$18:$A$18,0)))</f>
        <v>-81.8746579591152</v>
      </c>
      <c r="M27" s="11" t="s">
        <v>358</v>
      </c>
      <c r="N27" s="10" t="str">
        <f aca="false">IF($A27="","",IF(G27&lt;0,"NEGATIVE PRESSURE",IF(G27&lt;p_min-0.005,"below minimum","OK")))</f>
        <v>OK</v>
      </c>
    </row>
    <row r="28" customFormat="false" ht="15" hidden="false" customHeight="false" outlineLevel="0" collapsed="false">
      <c r="A28" s="17"/>
      <c r="B28" s="17"/>
      <c r="C28" s="17"/>
      <c r="D28" s="16" t="str">
        <f aca="false">IF($A28="","",C28-cover)</f>
        <v/>
      </c>
      <c r="E28" s="16" t="str">
        <f aca="false">IF($A28="","",D28+p_min+INDEX($R$18:$R$18,MATCH($A28,$A$18:$A$18,0))+INDEX($P$18:$P$18,MATCH($A28,$A$18:$A$18,0))*B28/INDEX($G$18:$G$18,MATCH($A28,$A$18:$A$18,0)))</f>
        <v/>
      </c>
      <c r="F28" s="16" t="str">
        <f aca="false">IF($A28="","",INDEX($S$18:$S$18,MATCH($A28,$A$18:$A$18,0))-INDEX($P$18:$P$18,MATCH($A28,$A$18:$A$18,0))*B28/INDEX($G$18:$G$18,MATCH($A28,$A$18:$A$18,0)))</f>
        <v/>
      </c>
      <c r="G28" s="42" t="str">
        <f aca="false">IF($A28="","",F28-D28)</f>
        <v/>
      </c>
      <c r="H28" s="42" t="str">
        <f aca="false">IF($A28="","",$B$8-D28)</f>
        <v/>
      </c>
      <c r="I28" s="42" t="str">
        <f aca="false">IF($A28="","",MAX(G28,H28))</f>
        <v/>
      </c>
      <c r="J28" s="38" t="str">
        <f aca="false">IF($A28="","",I28*bar_per_m)</f>
        <v/>
      </c>
      <c r="K28" s="10" t="str">
        <f aca="false">IF($A28="","",IFERROR("PN"&amp;SMALL(PN_list,COUNTIF(PN_list,"&lt;"&amp;J28)+1),"&gt; max PN"))</f>
        <v/>
      </c>
      <c r="L28" s="42" t="str">
        <f aca="false">IF($A28="","",G28-INDEX($U$18:$U$18,MATCH($A28,$A$18:$A$18,0)))</f>
        <v/>
      </c>
      <c r="M28" s="11" t="s">
        <v>296</v>
      </c>
      <c r="N28" s="10" t="str">
        <f aca="false">IF($A28="","",IF(G28&lt;0,"NEGATIVE PRESSURE",IF(G28&lt;p_min-0.005,"below minimum","OK")))</f>
        <v/>
      </c>
    </row>
    <row r="29" customFormat="false" ht="15" hidden="false" customHeight="false" outlineLevel="0" collapsed="false">
      <c r="A29" s="17"/>
      <c r="B29" s="17"/>
      <c r="C29" s="17"/>
      <c r="D29" s="16" t="str">
        <f aca="false">IF($A29="","",C29-cover)</f>
        <v/>
      </c>
      <c r="E29" s="16" t="str">
        <f aca="false">IF($A29="","",D29+p_min+INDEX($R$18:$R$18,MATCH($A29,$A$18:$A$18,0))+INDEX($P$18:$P$18,MATCH($A29,$A$18:$A$18,0))*B29/INDEX($G$18:$G$18,MATCH($A29,$A$18:$A$18,0)))</f>
        <v/>
      </c>
      <c r="F29" s="16" t="str">
        <f aca="false">IF($A29="","",INDEX($S$18:$S$18,MATCH($A29,$A$18:$A$18,0))-INDEX($P$18:$P$18,MATCH($A29,$A$18:$A$18,0))*B29/INDEX($G$18:$G$18,MATCH($A29,$A$18:$A$18,0)))</f>
        <v/>
      </c>
      <c r="G29" s="42" t="str">
        <f aca="false">IF($A29="","",F29-D29)</f>
        <v/>
      </c>
      <c r="H29" s="42" t="str">
        <f aca="false">IF($A29="","",$B$8-D29)</f>
        <v/>
      </c>
      <c r="I29" s="42" t="str">
        <f aca="false">IF($A29="","",MAX(G29,H29))</f>
        <v/>
      </c>
      <c r="J29" s="38" t="str">
        <f aca="false">IF($A29="","",I29*bar_per_m)</f>
        <v/>
      </c>
      <c r="K29" s="10" t="str">
        <f aca="false">IF($A29="","",IFERROR("PN"&amp;SMALL(PN_list,COUNTIF(PN_list,"&lt;"&amp;J29)+1),"&gt; max PN"))</f>
        <v/>
      </c>
      <c r="L29" s="42" t="str">
        <f aca="false">IF($A29="","",G29-INDEX($U$18:$U$18,MATCH($A29,$A$18:$A$18,0)))</f>
        <v/>
      </c>
      <c r="M29" s="11" t="s">
        <v>296</v>
      </c>
      <c r="N29" s="10" t="str">
        <f aca="false">IF($A29="","",IF(G29&lt;0,"NEGATIVE PRESSURE",IF(G29&lt;p_min-0.005,"below minimum","OK")))</f>
        <v/>
      </c>
    </row>
    <row r="30" customFormat="false" ht="15" hidden="false" customHeight="false" outlineLevel="0" collapsed="false">
      <c r="A30" s="17"/>
      <c r="B30" s="17"/>
      <c r="C30" s="17"/>
      <c r="D30" s="16" t="str">
        <f aca="false">IF($A30="","",C30-cover)</f>
        <v/>
      </c>
      <c r="E30" s="16" t="str">
        <f aca="false">IF($A30="","",D30+p_min+INDEX($R$18:$R$18,MATCH($A30,$A$18:$A$18,0))+INDEX($P$18:$P$18,MATCH($A30,$A$18:$A$18,0))*B30/INDEX($G$18:$G$18,MATCH($A30,$A$18:$A$18,0)))</f>
        <v/>
      </c>
      <c r="F30" s="16" t="str">
        <f aca="false">IF($A30="","",INDEX($S$18:$S$18,MATCH($A30,$A$18:$A$18,0))-INDEX($P$18:$P$18,MATCH($A30,$A$18:$A$18,0))*B30/INDEX($G$18:$G$18,MATCH($A30,$A$18:$A$18,0)))</f>
        <v/>
      </c>
      <c r="G30" s="42" t="str">
        <f aca="false">IF($A30="","",F30-D30)</f>
        <v/>
      </c>
      <c r="H30" s="42" t="str">
        <f aca="false">IF($A30="","",$B$8-D30)</f>
        <v/>
      </c>
      <c r="I30" s="42" t="str">
        <f aca="false">IF($A30="","",MAX(G30,H30))</f>
        <v/>
      </c>
      <c r="J30" s="38" t="str">
        <f aca="false">IF($A30="","",I30*bar_per_m)</f>
        <v/>
      </c>
      <c r="K30" s="10" t="str">
        <f aca="false">IF($A30="","",IFERROR("PN"&amp;SMALL(PN_list,COUNTIF(PN_list,"&lt;"&amp;J30)+1),"&gt; max PN"))</f>
        <v/>
      </c>
      <c r="L30" s="42" t="str">
        <f aca="false">IF($A30="","",G30-INDEX($U$18:$U$18,MATCH($A30,$A$18:$A$18,0)))</f>
        <v/>
      </c>
      <c r="M30" s="11" t="s">
        <v>296</v>
      </c>
      <c r="N30" s="10" t="str">
        <f aca="false">IF($A30="","",IF(G30&lt;0,"NEGATIVE PRESSURE",IF(G30&lt;p_min-0.005,"below minimum","OK")))</f>
        <v/>
      </c>
    </row>
    <row r="32" customFormat="false" ht="15" hidden="false" customHeight="false" outlineLevel="0" collapsed="false">
      <c r="A32" s="18" t="s">
        <v>297</v>
      </c>
      <c r="B32" s="18"/>
      <c r="C32" s="18"/>
      <c r="D32" s="18"/>
    </row>
    <row r="33" customFormat="false" ht="15" hidden="false" customHeight="false" outlineLevel="0" collapsed="false">
      <c r="A33" s="10" t="s">
        <v>298</v>
      </c>
      <c r="B33" s="32" t="n">
        <f aca="false">MAX($H$22:$H$22,$E$26:$E$30)</f>
        <v>1380.92160372272</v>
      </c>
      <c r="C33" s="10" t="s">
        <v>241</v>
      </c>
      <c r="D33" s="30" t="s">
        <v>299</v>
      </c>
    </row>
    <row r="34" customFormat="false" ht="15" hidden="false" customHeight="false" outlineLevel="0" collapsed="false">
      <c r="A34" s="10" t="s">
        <v>137</v>
      </c>
      <c r="B34" s="43" t="str">
        <f aca="false">IF(MAX($E$26:$E$30)&gt;=MAX($H$22:$H$22),"point on "&amp;INDEX($A$26:$A$30,MATCH(MAX($E$26:$E$30),$E$26:$E$30,0)),INDEX($A$22:$A$22,MATCH(MAX($H$22:$H$22),$H$22:$H$22,0)))</f>
        <v>MOMBA_WTP</v>
      </c>
      <c r="C34" s="10"/>
      <c r="D34" s="30" t="s">
        <v>300</v>
      </c>
    </row>
    <row r="35" customFormat="false" ht="15" hidden="false" customHeight="false" outlineLevel="0" collapsed="false">
      <c r="A35" s="10" t="s">
        <v>326</v>
      </c>
      <c r="B35" s="16" t="n">
        <f aca="false">$B$33-$B$5</f>
        <v>14.4216037227152</v>
      </c>
      <c r="C35" s="10" t="s">
        <v>205</v>
      </c>
      <c r="D35" s="30" t="s">
        <v>327</v>
      </c>
    </row>
    <row r="36" customFormat="false" ht="15" hidden="false" customHeight="false" outlineLevel="0" collapsed="false">
      <c r="A36" s="10" t="s">
        <v>328</v>
      </c>
      <c r="B36" s="32" t="n">
        <f aca="false">$B$35+h_station</f>
        <v>17.4216037227152</v>
      </c>
      <c r="C36" s="10" t="s">
        <v>205</v>
      </c>
      <c r="D36" s="30" t="s">
        <v>329</v>
      </c>
    </row>
    <row r="37" customFormat="false" ht="15" hidden="false" customHeight="false" outlineLevel="0" collapsed="false">
      <c r="A37" s="10" t="s">
        <v>330</v>
      </c>
      <c r="B37" s="32" t="n">
        <f aca="false">$B$33-$B$6+h_station</f>
        <v>15.9216037227152</v>
      </c>
      <c r="C37" s="10" t="s">
        <v>205</v>
      </c>
      <c r="D37" s="30" t="s">
        <v>331</v>
      </c>
    </row>
    <row r="38" customFormat="false" ht="15" hidden="false" customHeight="false" outlineLevel="0" collapsed="false">
      <c r="A38" s="10" t="s">
        <v>332</v>
      </c>
      <c r="B38" s="40" t="n">
        <f aca="false">J18</f>
        <v>0.271532529597046</v>
      </c>
      <c r="C38" s="10" t="s">
        <v>333</v>
      </c>
      <c r="D38" s="30" t="s">
        <v>334</v>
      </c>
    </row>
    <row r="39" customFormat="false" ht="15" hidden="false" customHeight="false" outlineLevel="0" collapsed="false">
      <c r="A39" s="10" t="s">
        <v>335</v>
      </c>
      <c r="B39" s="40" t="n">
        <f aca="false">$B$38/$B$9</f>
        <v>0.271532529597046</v>
      </c>
      <c r="C39" s="10" t="s">
        <v>333</v>
      </c>
      <c r="D39" s="30"/>
    </row>
    <row r="40" customFormat="false" ht="15" hidden="false" customHeight="false" outlineLevel="0" collapsed="false">
      <c r="A40" s="10" t="s">
        <v>335</v>
      </c>
      <c r="B40" s="15" t="n">
        <f aca="false">$B$39*3600</f>
        <v>977.517106549365</v>
      </c>
      <c r="C40" s="10" t="s">
        <v>323</v>
      </c>
      <c r="D40" s="30" t="s">
        <v>336</v>
      </c>
    </row>
    <row r="41" customFormat="false" ht="15" hidden="false" customHeight="false" outlineLevel="0" collapsed="false">
      <c r="A41" s="10" t="s">
        <v>337</v>
      </c>
      <c r="B41" s="42" t="n">
        <f aca="false">1000*g*$B$39*$B$36/1000</f>
        <v>46.4065201802531</v>
      </c>
      <c r="C41" s="10" t="s">
        <v>338</v>
      </c>
      <c r="D41" s="30"/>
    </row>
    <row r="42" customFormat="false" ht="15" hidden="false" customHeight="false" outlineLevel="0" collapsed="false">
      <c r="A42" s="10" t="s">
        <v>339</v>
      </c>
      <c r="B42" s="44" t="n">
        <f aca="false">$B$41/$B$11</f>
        <v>61.8753602403374</v>
      </c>
      <c r="C42" s="10" t="s">
        <v>338</v>
      </c>
      <c r="D42" s="30"/>
    </row>
    <row r="43" customFormat="false" ht="15" hidden="false" customHeight="false" outlineLevel="0" collapsed="false">
      <c r="A43" s="10" t="s">
        <v>340</v>
      </c>
      <c r="B43" s="42" t="n">
        <f aca="false">$B$42*motor_margin</f>
        <v>71.1566642763881</v>
      </c>
      <c r="C43" s="10" t="s">
        <v>338</v>
      </c>
      <c r="D43" s="30"/>
    </row>
    <row r="44" customFormat="false" ht="15" hidden="false" customHeight="false" outlineLevel="0" collapsed="false">
      <c r="A44" s="10" t="s">
        <v>341</v>
      </c>
      <c r="B44" s="44" t="n">
        <f aca="false">IFERROR(SMALL(Motor_list,COUNTIF(Motor_list,"&lt;"&amp;$B$43)+1),"&gt; list")</f>
        <v>75</v>
      </c>
      <c r="C44" s="10" t="s">
        <v>338</v>
      </c>
      <c r="D44" s="30" t="s">
        <v>342</v>
      </c>
    </row>
    <row r="45" customFormat="false" ht="15" hidden="false" customHeight="false" outlineLevel="0" collapsed="false">
      <c r="A45" s="10" t="s">
        <v>343</v>
      </c>
      <c r="B45" s="15" t="n">
        <f aca="false">$B$9*$B$42*$B$7/$B$12</f>
        <v>1448.14672902917</v>
      </c>
      <c r="C45" s="10" t="s">
        <v>344</v>
      </c>
      <c r="D45" s="30"/>
    </row>
    <row r="46" customFormat="false" ht="15" hidden="false" customHeight="false" outlineLevel="0" collapsed="false">
      <c r="A46" s="10" t="s">
        <v>345</v>
      </c>
      <c r="B46" s="41" t="n">
        <f aca="false">$B$45/I18</f>
        <v>0.0673388228998566</v>
      </c>
      <c r="C46" s="10" t="s">
        <v>346</v>
      </c>
      <c r="D46" s="30"/>
    </row>
    <row r="47" customFormat="false" ht="15" hidden="false" customHeight="false" outlineLevel="0" collapsed="false">
      <c r="A47" s="10" t="s">
        <v>347</v>
      </c>
      <c r="B47" s="15" t="n">
        <f aca="false">$B$45*365*tariff</f>
        <v>0</v>
      </c>
      <c r="C47" s="10" t="s">
        <v>348</v>
      </c>
      <c r="D47" s="30" t="s">
        <v>349</v>
      </c>
    </row>
    <row r="48" customFormat="false" ht="15" hidden="false" customHeight="false" outlineLevel="0" collapsed="false">
      <c r="A48" s="10" t="s">
        <v>350</v>
      </c>
      <c r="B48" s="45" t="n">
        <f aca="false">$B$36-$B$14</f>
        <v>-7.57839627728481</v>
      </c>
      <c r="C48" s="10" t="s">
        <v>205</v>
      </c>
      <c r="D48" s="30" t="s">
        <v>351</v>
      </c>
    </row>
    <row r="49" customFormat="false" ht="15" hidden="false" customHeight="false" outlineLevel="0" collapsed="false">
      <c r="A49" s="10" t="s">
        <v>305</v>
      </c>
      <c r="B49" s="42" t="n">
        <f aca="false">IF(COUNTIFS(Profile!$A$5:$A$2360,"Z3 Grit-WTP",Profile!$L$5:$L$2360,"yes")=0,"no points between tanks",_xlfn.MINIFS(Profile!$H$5:$H$2360,Profile!$A$5:$A$2360,"Z3 Grit-WTP",Profile!$L$5:$L$2360,"yes"))</f>
        <v>8.3046102892913</v>
      </c>
      <c r="C49" s="10" t="s">
        <v>205</v>
      </c>
      <c r="D49" s="30" t="s">
        <v>306</v>
      </c>
    </row>
    <row r="51" customFormat="false" ht="15" hidden="false" customHeight="false" outlineLevel="0" collapsed="false">
      <c r="A51" s="18" t="s">
        <v>307</v>
      </c>
      <c r="B51" s="18"/>
      <c r="C51" s="18"/>
      <c r="D51" s="18"/>
    </row>
    <row r="52" customFormat="false" ht="15" hidden="false" customHeight="false" outlineLevel="0" collapsed="false">
      <c r="A52" s="4" t="str">
        <f aca="false">"1. Flow: "&amp;TEXT(I18,"#,##0")&amp;" m³/d in "&amp;TEXT($B$7,"0")&amp;" h → Q = "&amp;TEXT(K18,"0.0")&amp;" l/s, V = "&amp;TEXT(M18,"0.00")&amp;" m/s in "&amp;A18&amp;"."</f>
        <v>1. Flow: 21,505 m³/d in 22 h → Q = 271.5 l/s, V = 0.96 m/s in RAW_MAIN.</v>
      </c>
    </row>
    <row r="53" customFormat="false" ht="15" hidden="false" customHeight="false" outlineLevel="0" collapsed="false">
      <c r="A53" s="4" t="str">
        <f aca="false">"2. Friction (Hazen-Williams): "&amp;A18&amp;" loses hL = "&amp;TEXT(P18,"0.00")&amp;" m over "&amp;TEXT(G18,"#,##0")&amp;" m ("&amp;TEXT(Q18,"0.00")&amp;" m/km)."</f>
        <v>2. Friction (Hazen-Williams): RAW_MAIN loses hL = 1.92 m over 1,079 m (1.78 m/km).</v>
      </c>
    </row>
    <row r="54" customFormat="false" ht="15" hidden="false" customHeight="false" outlineLevel="0" collapsed="false">
      <c r="A54" s="4" t="str">
        <f aca="false">"3. Point 1 = GRIT_TANK water surface at its MINIMUM level z1 = "&amp;TEXT($B$5,"0.00")&amp;" m (p = 0, V ≈ 0)."</f>
        <v>3. Point 1 = GRIT_TANK water surface at its MINIMUM level z1 = 1366.50 m (p = 0, V ≈ 0).</v>
      </c>
    </row>
    <row r="55" customFormat="false" ht="15" hidden="false" customHeight="false" outlineLevel="0" collapsed="false">
      <c r="A55" s="4" t="str">
        <f aca="false">"4. Point 2: the hardest place to reach is "&amp;$B$34&amp;"; it needs the HGL at the zone start to be H_req = "&amp;TEXT($B$33,"0.00")&amp;" m (its level + residual + losses on the way)."</f>
        <v>4. Point 2: the hardest place to reach is MOMBA_WTP; it needs the HGL at the zone start to be H_req = 1380.92 m (its level + residual + losses on the way).</v>
      </c>
    </row>
    <row r="56" customFormat="false" ht="15" hidden="false" customHeight="false" outlineLevel="0" collapsed="false">
      <c r="A56" s="4" t="str">
        <f aca="false">"5. Bernoulli: z1 + Hp = H_req → Hp = "&amp;TEXT($B$33,"0.00")&amp;" − "&amp;TEXT($B$5,"0.00")&amp;" = "&amp;TEXT($B$35,"0.00")&amp;" m; + station losses "&amp;TEXT(h_station,"0.0")&amp;" m → TDH = "&amp;TEXT($B$36,"0.0")&amp;" m."</f>
        <v>5. Bernoulli: z1 + Hp = H_req → Hp = 1380.92 − 1366.50 = 14.42 m; + station losses 3.0 m → TDH = 17.4 m.</v>
      </c>
    </row>
    <row r="57" customFormat="false" ht="15" hidden="false" customHeight="false" outlineLevel="0" collapsed="false">
      <c r="A57" s="4" t="str">
        <f aca="false">"6. With the suction tank full (MAXIMUM level "&amp;TEXT($B$6,"0.00")&amp;" m) TDH falls to "&amp;TEXT($B$37,"0.0")&amp;" m: the pump must work between "&amp;TEXT($B$37,"0.0")&amp;" and "&amp;TEXT($B$36,"0.0")&amp;" m at "&amp;TEXT($B$40,"#,##0")&amp;" m³/h per pump."</f>
        <v>6. With the suction tank full (MAXIMUM level 1368.00 m) TDH falls to 15.9 m: the pump must work between 15.9 and 17.4 m at 978 m³/h per pump.</v>
      </c>
    </row>
    <row r="58" customFormat="false" ht="15" hidden="false" customHeight="false" outlineLevel="0" collapsed="false">
      <c r="A58" s="4" t="str">
        <f aca="false">"7. Power: P = ρgQH/η = "&amp;TEXT($B$42,"#,##0")&amp;" kW per pump → motor "&amp;TEXT($B$44,"#,##0")&amp;" kW; ER duty head "&amp;TEXT($B$14,"0")&amp;" m (difference "&amp;TEXT($B$48,"+0.0;-0.0")&amp;" m)."</f>
        <v>7. Power: P = ρgQH/η = 62 kW per pump → motor 75 kW; ER duty head 25 m (difference -7.6 m).</v>
      </c>
    </row>
    <row r="59" customFormat="false" ht="15" hidden="false" customHeight="false" outlineLevel="0" collapsed="false">
      <c r="A59" s="4" t="str">
        <f aca="false">"8. Pressure: lowest pressure along the route = "&amp;TEXT($B$49,"0.0")&amp;" m (minimum allowed "&amp;TEXT(p_min,"0")&amp;" m); pipe class from section D and sheet Profile."</f>
        <v>8. Pressure: lowest pressure along the route = 8.3 m (minimum allowed 2 m); pipe class from section D and sheet Profile.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21" min="18" style="0" width="12"/>
  </cols>
  <sheetData>
    <row r="1" customFormat="false" ht="17.35" hidden="false" customHeight="false" outlineLevel="0" collapsed="false">
      <c r="A1" s="1" t="s">
        <v>359</v>
      </c>
    </row>
    <row r="2" customFormat="false" ht="15" hidden="false" customHeight="false" outlineLevel="0" collapsed="false">
      <c r="A2" s="36" t="s">
        <v>360</v>
      </c>
    </row>
    <row r="4" customFormat="false" ht="15" hidden="false" customHeight="false" outlineLevel="0" collapsed="false">
      <c r="A4" s="18" t="s">
        <v>239</v>
      </c>
      <c r="B4" s="18"/>
      <c r="C4" s="18"/>
      <c r="D4" s="18"/>
    </row>
    <row r="5" customFormat="false" ht="15" hidden="false" customHeight="false" outlineLevel="0" collapsed="false">
      <c r="A5" s="10" t="s">
        <v>361</v>
      </c>
      <c r="B5" s="21" t="n">
        <f aca="false">Levels!$F$8</f>
        <v>1368.5</v>
      </c>
      <c r="C5" s="10" t="s">
        <v>241</v>
      </c>
      <c r="D5" s="30" t="s">
        <v>242</v>
      </c>
    </row>
    <row r="6" customFormat="false" ht="15" hidden="false" customHeight="false" outlineLevel="0" collapsed="false">
      <c r="A6" s="10" t="s">
        <v>362</v>
      </c>
      <c r="B6" s="21" t="n">
        <f aca="false">Levels!$G$8</f>
        <v>1373</v>
      </c>
      <c r="C6" s="10" t="s">
        <v>241</v>
      </c>
      <c r="D6" s="30" t="s">
        <v>244</v>
      </c>
    </row>
    <row r="7" customFormat="false" ht="15" hidden="false" customHeight="false" outlineLevel="0" collapsed="false">
      <c r="A7" s="10" t="s">
        <v>245</v>
      </c>
      <c r="B7" s="37" t="n">
        <v>22</v>
      </c>
      <c r="C7" s="10" t="s">
        <v>246</v>
      </c>
      <c r="D7" s="30" t="s">
        <v>312</v>
      </c>
    </row>
    <row r="8" customFormat="false" ht="15" hidden="false" customHeight="false" outlineLevel="0" collapsed="false">
      <c r="A8" s="10" t="s">
        <v>248</v>
      </c>
      <c r="B8" s="16" t="n">
        <f aca="false">MAX(Levels!$L$9)</f>
        <v>1668</v>
      </c>
      <c r="C8" s="10" t="s">
        <v>241</v>
      </c>
      <c r="D8" s="30" t="s">
        <v>313</v>
      </c>
    </row>
    <row r="9" customFormat="false" ht="15" hidden="false" customHeight="false" outlineLevel="0" collapsed="false">
      <c r="A9" s="10" t="s">
        <v>314</v>
      </c>
      <c r="B9" s="34" t="n">
        <v>3</v>
      </c>
      <c r="C9" s="10" t="s">
        <v>315</v>
      </c>
      <c r="D9" s="30" t="s">
        <v>316</v>
      </c>
    </row>
    <row r="10" customFormat="false" ht="15" hidden="false" customHeight="false" outlineLevel="0" collapsed="false">
      <c r="A10" s="10" t="s">
        <v>317</v>
      </c>
      <c r="B10" s="34" t="n">
        <v>1</v>
      </c>
      <c r="C10" s="10" t="s">
        <v>315</v>
      </c>
      <c r="D10" s="30" t="s">
        <v>318</v>
      </c>
    </row>
    <row r="11" customFormat="false" ht="15" hidden="false" customHeight="false" outlineLevel="0" collapsed="false">
      <c r="A11" s="10" t="s">
        <v>319</v>
      </c>
      <c r="B11" s="33" t="n">
        <v>0.78</v>
      </c>
      <c r="C11" s="10" t="s">
        <v>149</v>
      </c>
      <c r="D11" s="30" t="s">
        <v>320</v>
      </c>
    </row>
    <row r="12" customFormat="false" ht="15" hidden="false" customHeight="false" outlineLevel="0" collapsed="false">
      <c r="A12" s="10" t="s">
        <v>321</v>
      </c>
      <c r="B12" s="33" t="n">
        <v>0.95</v>
      </c>
      <c r="C12" s="10" t="s">
        <v>149</v>
      </c>
      <c r="D12" s="30" t="s">
        <v>210</v>
      </c>
    </row>
    <row r="13" customFormat="false" ht="15" hidden="false" customHeight="false" outlineLevel="0" collapsed="false">
      <c r="A13" s="10" t="s">
        <v>322</v>
      </c>
      <c r="B13" s="13" t="n">
        <v>304</v>
      </c>
      <c r="C13" s="10" t="s">
        <v>323</v>
      </c>
      <c r="D13" s="30" t="s">
        <v>64</v>
      </c>
    </row>
    <row r="14" customFormat="false" ht="15" hidden="false" customHeight="false" outlineLevel="0" collapsed="false">
      <c r="A14" s="10" t="s">
        <v>324</v>
      </c>
      <c r="B14" s="39" t="n">
        <v>330</v>
      </c>
      <c r="C14" s="10" t="s">
        <v>205</v>
      </c>
      <c r="D14" s="30" t="s">
        <v>64</v>
      </c>
    </row>
    <row r="16" customFormat="false" ht="15" hidden="false" customHeight="false" outlineLevel="0" collapsed="false">
      <c r="A16" s="18" t="s">
        <v>250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customFormat="false" ht="42" hidden="false" customHeight="true" outlineLevel="0" collapsed="false">
      <c r="A17" s="8" t="s">
        <v>251</v>
      </c>
      <c r="B17" s="8" t="s">
        <v>252</v>
      </c>
      <c r="C17" s="8" t="s">
        <v>253</v>
      </c>
      <c r="D17" s="8" t="s">
        <v>254</v>
      </c>
      <c r="E17" s="8" t="s">
        <v>255</v>
      </c>
      <c r="F17" s="8" t="s">
        <v>256</v>
      </c>
      <c r="G17" s="8" t="s">
        <v>257</v>
      </c>
      <c r="H17" s="8" t="s">
        <v>258</v>
      </c>
      <c r="I17" s="8" t="s">
        <v>259</v>
      </c>
      <c r="J17" s="8" t="s">
        <v>260</v>
      </c>
      <c r="K17" s="8" t="s">
        <v>261</v>
      </c>
      <c r="L17" s="8" t="s">
        <v>262</v>
      </c>
      <c r="M17" s="8" t="s">
        <v>263</v>
      </c>
      <c r="N17" s="8" t="s">
        <v>264</v>
      </c>
      <c r="O17" s="8" t="s">
        <v>265</v>
      </c>
      <c r="P17" s="8" t="s">
        <v>266</v>
      </c>
      <c r="Q17" s="8" t="s">
        <v>267</v>
      </c>
      <c r="R17" s="8" t="s">
        <v>268</v>
      </c>
      <c r="S17" s="8" t="s">
        <v>269</v>
      </c>
      <c r="T17" s="8" t="s">
        <v>270</v>
      </c>
      <c r="U17" s="8" t="s">
        <v>271</v>
      </c>
    </row>
    <row r="18" customFormat="false" ht="15" hidden="false" customHeight="false" outlineLevel="0" collapsed="false">
      <c r="A18" s="9" t="s">
        <v>363</v>
      </c>
      <c r="B18" s="10" t="s">
        <v>96</v>
      </c>
      <c r="C18" s="10" t="s">
        <v>99</v>
      </c>
      <c r="D18" s="10" t="s">
        <v>149</v>
      </c>
      <c r="E18" s="34" t="n">
        <v>600</v>
      </c>
      <c r="F18" s="38" t="n">
        <f aca="false">E18</f>
        <v>600</v>
      </c>
      <c r="G18" s="39" t="n">
        <v>19665.6</v>
      </c>
      <c r="H18" s="34" t="n">
        <f aca="false">C_default</f>
        <v>120</v>
      </c>
      <c r="I18" s="19" t="n">
        <f aca="false">Demands!$B$25</f>
        <v>20000</v>
      </c>
      <c r="J18" s="40" t="n">
        <f aca="false">I18/($B$7*3600)</f>
        <v>0.252525252525253</v>
      </c>
      <c r="K18" s="38" t="n">
        <f aca="false">J18*1000</f>
        <v>252.525252525253</v>
      </c>
      <c r="L18" s="40" t="n">
        <f aca="false">PI()*(F18/1000)^2/4</f>
        <v>0.282743338823081</v>
      </c>
      <c r="M18" s="41" t="n">
        <f aca="false">J18/L18</f>
        <v>0.893125382109402</v>
      </c>
      <c r="N18" s="14" t="n">
        <f aca="false">10.67*G18*J18^1.852/(H18^1.852*(F18/1000)^4.8704)</f>
        <v>27.8476542923235</v>
      </c>
      <c r="O18" s="14" t="n">
        <f aca="false">k_minor*N18</f>
        <v>2.78476542923235</v>
      </c>
      <c r="P18" s="14" t="n">
        <f aca="false">N18+O18</f>
        <v>30.6324197215559</v>
      </c>
      <c r="Q18" s="14" t="n">
        <f aca="false">P18/G18*1000</f>
        <v>1.55766514734134</v>
      </c>
      <c r="R18" s="14" t="n">
        <v>0</v>
      </c>
      <c r="S18" s="16" t="n">
        <f aca="false">$B$33-R18</f>
        <v>1699.63241972156</v>
      </c>
      <c r="T18" s="16" t="n">
        <f aca="false">S18-P18</f>
        <v>1669</v>
      </c>
      <c r="U18" s="38" t="n">
        <f aca="false">wave*M18/g</f>
        <v>91.0423427226709</v>
      </c>
    </row>
    <row r="20" customFormat="false" ht="15" hidden="false" customHeight="false" outlineLevel="0" collapsed="false">
      <c r="A20" s="18" t="s">
        <v>273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customFormat="false" ht="42" hidden="false" customHeight="true" outlineLevel="0" collapsed="false">
      <c r="A21" s="8" t="s">
        <v>274</v>
      </c>
      <c r="B21" s="8" t="s">
        <v>275</v>
      </c>
      <c r="C21" s="8" t="s">
        <v>155</v>
      </c>
      <c r="D21" s="8" t="s">
        <v>156</v>
      </c>
      <c r="E21" s="8" t="s">
        <v>157</v>
      </c>
      <c r="F21" s="8" t="s">
        <v>276</v>
      </c>
      <c r="G21" s="8" t="s">
        <v>277</v>
      </c>
      <c r="H21" s="8" t="s">
        <v>278</v>
      </c>
      <c r="I21" s="8" t="s">
        <v>279</v>
      </c>
      <c r="J21" s="8" t="s">
        <v>280</v>
      </c>
      <c r="K21" s="8" t="s">
        <v>281</v>
      </c>
      <c r="L21" s="8" t="s">
        <v>282</v>
      </c>
    </row>
    <row r="22" customFormat="false" ht="15" hidden="false" customHeight="false" outlineLevel="0" collapsed="false">
      <c r="A22" s="9" t="s">
        <v>99</v>
      </c>
      <c r="B22" s="10" t="s">
        <v>363</v>
      </c>
      <c r="C22" s="21" t="n">
        <f aca="false">Levels!$F$9</f>
        <v>1663.3</v>
      </c>
      <c r="D22" s="21" t="n">
        <f aca="false">Levels!$G$9</f>
        <v>1668</v>
      </c>
      <c r="E22" s="21" t="n">
        <f aca="false">Levels!$L$9</f>
        <v>1668</v>
      </c>
      <c r="F22" s="33" t="n">
        <f aca="false">h_res</f>
        <v>1</v>
      </c>
      <c r="G22" s="16" t="n">
        <f aca="false">E22+F22</f>
        <v>1669</v>
      </c>
      <c r="H22" s="16" t="n">
        <f aca="false">G22+R18+P18</f>
        <v>1699.63241972156</v>
      </c>
      <c r="I22" s="16" t="n">
        <f aca="false">T18</f>
        <v>1669</v>
      </c>
      <c r="J22" s="16" t="n">
        <f aca="false">I22-G22</f>
        <v>0</v>
      </c>
      <c r="K22" s="16" t="n">
        <f aca="false">J22+($B$6-$B$5)</f>
        <v>4.5</v>
      </c>
      <c r="L22" s="10" t="str">
        <f aca="false">IF(J22&lt;-0.005,"NOT REACHED – more head needed",IF(K22&gt;fcv_limit,"fit flow control valve / PRV (burns "&amp;TEXT(J22,"0.0")&amp;"–"&amp;TEXT(K22,"0.0")&amp;" m)","OK"))</f>
        <v>OK</v>
      </c>
    </row>
    <row r="24" customFormat="false" ht="15" hidden="false" customHeight="false" outlineLevel="0" collapsed="false">
      <c r="A24" s="18" t="s">
        <v>283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customFormat="false" ht="42" hidden="false" customHeight="true" outlineLevel="0" collapsed="false">
      <c r="A25" s="8" t="s">
        <v>251</v>
      </c>
      <c r="B25" s="8" t="s">
        <v>284</v>
      </c>
      <c r="C25" s="8" t="s">
        <v>75</v>
      </c>
      <c r="D25" s="8" t="s">
        <v>285</v>
      </c>
      <c r="E25" s="8" t="s">
        <v>286</v>
      </c>
      <c r="F25" s="8" t="s">
        <v>287</v>
      </c>
      <c r="G25" s="8" t="s">
        <v>288</v>
      </c>
      <c r="H25" s="8" t="s">
        <v>289</v>
      </c>
      <c r="I25" s="8" t="s">
        <v>290</v>
      </c>
      <c r="J25" s="8" t="s">
        <v>291</v>
      </c>
      <c r="K25" s="8" t="s">
        <v>292</v>
      </c>
      <c r="L25" s="8" t="s">
        <v>293</v>
      </c>
      <c r="M25" s="8" t="s">
        <v>294</v>
      </c>
      <c r="N25" s="8" t="s">
        <v>295</v>
      </c>
    </row>
    <row r="26" customFormat="false" ht="15" hidden="false" customHeight="false" outlineLevel="0" collapsed="false">
      <c r="A26" s="17" t="s">
        <v>363</v>
      </c>
      <c r="B26" s="39" t="n">
        <v>19645.6</v>
      </c>
      <c r="C26" s="12" t="n">
        <v>1661.36</v>
      </c>
      <c r="D26" s="16" t="n">
        <f aca="false">IF($A26="","",C26-cover)</f>
        <v>1660.16</v>
      </c>
      <c r="E26" s="16" t="n">
        <f aca="false">IF($A26="","",D26+p_min+INDEX($R$18:$R$18,MATCH($A26,$A$18:$A$18,0))+INDEX($P$18:$P$18,MATCH($A26,$A$18:$A$18,0))*B26/INDEX($G$18:$G$18,MATCH($A26,$A$18:$A$18,0)))</f>
        <v>1692.76126641861</v>
      </c>
      <c r="F26" s="16" t="n">
        <f aca="false">IF($A26="","",INDEX($S$18:$S$18,MATCH($A26,$A$18:$A$18,0))-INDEX($P$18:$P$18,MATCH($A26,$A$18:$A$18,0))*B26/INDEX($G$18:$G$18,MATCH($A26,$A$18:$A$18,0)))</f>
        <v>1669.03115330295</v>
      </c>
      <c r="G26" s="42" t="n">
        <f aca="false">IF($A26="","",F26-D26)</f>
        <v>8.87115330294705</v>
      </c>
      <c r="H26" s="42" t="n">
        <f aca="false">IF($A26="","",$B$8-D26)</f>
        <v>7.84000000000015</v>
      </c>
      <c r="I26" s="42" t="n">
        <f aca="false">IF($A26="","",MAX(G26,H26))</f>
        <v>8.87115330294705</v>
      </c>
      <c r="J26" s="38" t="n">
        <f aca="false">IF($A26="","",I26*bar_per_m)</f>
        <v>0.870260139019106</v>
      </c>
      <c r="K26" s="10" t="str">
        <f aca="false">IF($A26="","",IFERROR("PN"&amp;SMALL(PN_list,COUNTIF(PN_list,"&lt;"&amp;J26)+1),"&gt; max PN"))</f>
        <v>PN10</v>
      </c>
      <c r="L26" s="42" t="n">
        <f aca="false">IF($A26="","",G26-INDEX($U$18:$U$18,MATCH($A26,$A$18:$A$18,0)))</f>
        <v>-82.1711894197239</v>
      </c>
      <c r="M26" s="11" t="s">
        <v>357</v>
      </c>
      <c r="N26" s="10" t="str">
        <f aca="false">IF($A26="","",IF(G26&lt;0,"NEGATIVE PRESSURE",IF(G26&lt;p_min-0.005,"below minimum","OK")))</f>
        <v>OK</v>
      </c>
    </row>
    <row r="27" customFormat="false" ht="15" hidden="false" customHeight="false" outlineLevel="0" collapsed="false">
      <c r="A27" s="17" t="s">
        <v>363</v>
      </c>
      <c r="B27" s="39" t="n">
        <v>50</v>
      </c>
      <c r="C27" s="12" t="n">
        <v>1373.21</v>
      </c>
      <c r="D27" s="16" t="n">
        <f aca="false">IF($A27="","",C27-cover)</f>
        <v>1372.01</v>
      </c>
      <c r="E27" s="16" t="n">
        <f aca="false">IF($A27="","",D27+p_min+INDEX($R$18:$R$18,MATCH($A27,$A$18:$A$18,0))+INDEX($P$18:$P$18,MATCH($A27,$A$18:$A$18,0))*B27/INDEX($G$18:$G$18,MATCH($A27,$A$18:$A$18,0)))</f>
        <v>1374.08788325737</v>
      </c>
      <c r="F27" s="16" t="n">
        <f aca="false">IF($A27="","",INDEX($S$18:$S$18,MATCH($A27,$A$18:$A$18,0))-INDEX($P$18:$P$18,MATCH($A27,$A$18:$A$18,0))*B27/INDEX($G$18:$G$18,MATCH($A27,$A$18:$A$18,0)))</f>
        <v>1699.55453646419</v>
      </c>
      <c r="G27" s="42" t="n">
        <f aca="false">IF($A27="","",F27-D27)</f>
        <v>327.544536464189</v>
      </c>
      <c r="H27" s="42" t="n">
        <f aca="false">IF($A27="","",$B$8-D27)</f>
        <v>295.99</v>
      </c>
      <c r="I27" s="42" t="n">
        <f aca="false">IF($A27="","",MAX(G27,H27))</f>
        <v>327.544536464189</v>
      </c>
      <c r="J27" s="38" t="n">
        <f aca="false">IF($A27="","",I27*bar_per_m)</f>
        <v>32.1321190271369</v>
      </c>
      <c r="K27" s="10" t="str">
        <f aca="false">IF($A27="","",IFERROR("PN"&amp;SMALL(PN_list,COUNTIF(PN_list,"&lt;"&amp;J27)+1),"&gt; max PN"))</f>
        <v>PN40</v>
      </c>
      <c r="L27" s="42" t="n">
        <f aca="false">IF($A27="","",G27-INDEX($U$18:$U$18,MATCH($A27,$A$18:$A$18,0)))</f>
        <v>236.502193741518</v>
      </c>
      <c r="M27" s="11" t="s">
        <v>358</v>
      </c>
      <c r="N27" s="10" t="str">
        <f aca="false">IF($A27="","",IF(G27&lt;0,"NEGATIVE PRESSURE",IF(G27&lt;p_min-0.005,"below minimum","OK")))</f>
        <v>OK</v>
      </c>
    </row>
    <row r="28" customFormat="false" ht="15" hidden="false" customHeight="false" outlineLevel="0" collapsed="false">
      <c r="A28" s="17"/>
      <c r="B28" s="17"/>
      <c r="C28" s="17"/>
      <c r="D28" s="16" t="str">
        <f aca="false">IF($A28="","",C28-cover)</f>
        <v/>
      </c>
      <c r="E28" s="16" t="str">
        <f aca="false">IF($A28="","",D28+p_min+INDEX($R$18:$R$18,MATCH($A28,$A$18:$A$18,0))+INDEX($P$18:$P$18,MATCH($A28,$A$18:$A$18,0))*B28/INDEX($G$18:$G$18,MATCH($A28,$A$18:$A$18,0)))</f>
        <v/>
      </c>
      <c r="F28" s="16" t="str">
        <f aca="false">IF($A28="","",INDEX($S$18:$S$18,MATCH($A28,$A$18:$A$18,0))-INDEX($P$18:$P$18,MATCH($A28,$A$18:$A$18,0))*B28/INDEX($G$18:$G$18,MATCH($A28,$A$18:$A$18,0)))</f>
        <v/>
      </c>
      <c r="G28" s="42" t="str">
        <f aca="false">IF($A28="","",F28-D28)</f>
        <v/>
      </c>
      <c r="H28" s="42" t="str">
        <f aca="false">IF($A28="","",$B$8-D28)</f>
        <v/>
      </c>
      <c r="I28" s="42" t="str">
        <f aca="false">IF($A28="","",MAX(G28,H28))</f>
        <v/>
      </c>
      <c r="J28" s="38" t="str">
        <f aca="false">IF($A28="","",I28*bar_per_m)</f>
        <v/>
      </c>
      <c r="K28" s="10" t="str">
        <f aca="false">IF($A28="","",IFERROR("PN"&amp;SMALL(PN_list,COUNTIF(PN_list,"&lt;"&amp;J28)+1),"&gt; max PN"))</f>
        <v/>
      </c>
      <c r="L28" s="42" t="str">
        <f aca="false">IF($A28="","",G28-INDEX($U$18:$U$18,MATCH($A28,$A$18:$A$18,0)))</f>
        <v/>
      </c>
      <c r="M28" s="11" t="s">
        <v>296</v>
      </c>
      <c r="N28" s="10" t="str">
        <f aca="false">IF($A28="","",IF(G28&lt;0,"NEGATIVE PRESSURE",IF(G28&lt;p_min-0.005,"below minimum","OK")))</f>
        <v/>
      </c>
    </row>
    <row r="29" customFormat="false" ht="15" hidden="false" customHeight="false" outlineLevel="0" collapsed="false">
      <c r="A29" s="17"/>
      <c r="B29" s="17"/>
      <c r="C29" s="17"/>
      <c r="D29" s="16" t="str">
        <f aca="false">IF($A29="","",C29-cover)</f>
        <v/>
      </c>
      <c r="E29" s="16" t="str">
        <f aca="false">IF($A29="","",D29+p_min+INDEX($R$18:$R$18,MATCH($A29,$A$18:$A$18,0))+INDEX($P$18:$P$18,MATCH($A29,$A$18:$A$18,0))*B29/INDEX($G$18:$G$18,MATCH($A29,$A$18:$A$18,0)))</f>
        <v/>
      </c>
      <c r="F29" s="16" t="str">
        <f aca="false">IF($A29="","",INDEX($S$18:$S$18,MATCH($A29,$A$18:$A$18,0))-INDEX($P$18:$P$18,MATCH($A29,$A$18:$A$18,0))*B29/INDEX($G$18:$G$18,MATCH($A29,$A$18:$A$18,0)))</f>
        <v/>
      </c>
      <c r="G29" s="42" t="str">
        <f aca="false">IF($A29="","",F29-D29)</f>
        <v/>
      </c>
      <c r="H29" s="42" t="str">
        <f aca="false">IF($A29="","",$B$8-D29)</f>
        <v/>
      </c>
      <c r="I29" s="42" t="str">
        <f aca="false">IF($A29="","",MAX(G29,H29))</f>
        <v/>
      </c>
      <c r="J29" s="38" t="str">
        <f aca="false">IF($A29="","",I29*bar_per_m)</f>
        <v/>
      </c>
      <c r="K29" s="10" t="str">
        <f aca="false">IF($A29="","",IFERROR("PN"&amp;SMALL(PN_list,COUNTIF(PN_list,"&lt;"&amp;J29)+1),"&gt; max PN"))</f>
        <v/>
      </c>
      <c r="L29" s="42" t="str">
        <f aca="false">IF($A29="","",G29-INDEX($U$18:$U$18,MATCH($A29,$A$18:$A$18,0)))</f>
        <v/>
      </c>
      <c r="M29" s="11" t="s">
        <v>296</v>
      </c>
      <c r="N29" s="10" t="str">
        <f aca="false">IF($A29="","",IF(G29&lt;0,"NEGATIVE PRESSURE",IF(G29&lt;p_min-0.005,"below minimum","OK")))</f>
        <v/>
      </c>
    </row>
    <row r="30" customFormat="false" ht="15" hidden="false" customHeight="false" outlineLevel="0" collapsed="false">
      <c r="A30" s="17"/>
      <c r="B30" s="17"/>
      <c r="C30" s="17"/>
      <c r="D30" s="16" t="str">
        <f aca="false">IF($A30="","",C30-cover)</f>
        <v/>
      </c>
      <c r="E30" s="16" t="str">
        <f aca="false">IF($A30="","",D30+p_min+INDEX($R$18:$R$18,MATCH($A30,$A$18:$A$18,0))+INDEX($P$18:$P$18,MATCH($A30,$A$18:$A$18,0))*B30/INDEX($G$18:$G$18,MATCH($A30,$A$18:$A$18,0)))</f>
        <v/>
      </c>
      <c r="F30" s="16" t="str">
        <f aca="false">IF($A30="","",INDEX($S$18:$S$18,MATCH($A30,$A$18:$A$18,0))-INDEX($P$18:$P$18,MATCH($A30,$A$18:$A$18,0))*B30/INDEX($G$18:$G$18,MATCH($A30,$A$18:$A$18,0)))</f>
        <v/>
      </c>
      <c r="G30" s="42" t="str">
        <f aca="false">IF($A30="","",F30-D30)</f>
        <v/>
      </c>
      <c r="H30" s="42" t="str">
        <f aca="false">IF($A30="","",$B$8-D30)</f>
        <v/>
      </c>
      <c r="I30" s="42" t="str">
        <f aca="false">IF($A30="","",MAX(G30,H30))</f>
        <v/>
      </c>
      <c r="J30" s="38" t="str">
        <f aca="false">IF($A30="","",I30*bar_per_m)</f>
        <v/>
      </c>
      <c r="K30" s="10" t="str">
        <f aca="false">IF($A30="","",IFERROR("PN"&amp;SMALL(PN_list,COUNTIF(PN_list,"&lt;"&amp;J30)+1),"&gt; max PN"))</f>
        <v/>
      </c>
      <c r="L30" s="42" t="str">
        <f aca="false">IF($A30="","",G30-INDEX($U$18:$U$18,MATCH($A30,$A$18:$A$18,0)))</f>
        <v/>
      </c>
      <c r="M30" s="11" t="s">
        <v>296</v>
      </c>
      <c r="N30" s="10" t="str">
        <f aca="false">IF($A30="","",IF(G30&lt;0,"NEGATIVE PRESSURE",IF(G30&lt;p_min-0.005,"below minimum","OK")))</f>
        <v/>
      </c>
    </row>
    <row r="32" customFormat="false" ht="15" hidden="false" customHeight="false" outlineLevel="0" collapsed="false">
      <c r="A32" s="18" t="s">
        <v>297</v>
      </c>
      <c r="B32" s="18"/>
      <c r="C32" s="18"/>
      <c r="D32" s="18"/>
    </row>
    <row r="33" customFormat="false" ht="15" hidden="false" customHeight="false" outlineLevel="0" collapsed="false">
      <c r="A33" s="10" t="s">
        <v>298</v>
      </c>
      <c r="B33" s="32" t="n">
        <f aca="false">MAX($H$22:$H$22,$E$26:$E$30)</f>
        <v>1699.63241972156</v>
      </c>
      <c r="C33" s="10" t="s">
        <v>241</v>
      </c>
      <c r="D33" s="30" t="s">
        <v>299</v>
      </c>
    </row>
    <row r="34" customFormat="false" ht="15" hidden="false" customHeight="false" outlineLevel="0" collapsed="false">
      <c r="A34" s="10" t="s">
        <v>137</v>
      </c>
      <c r="B34" s="43" t="str">
        <f aca="false">IF(MAX($E$26:$E$30)&gt;=MAX($H$22:$H$22),"point on "&amp;INDEX($A$26:$A$30,MATCH(MAX($E$26:$E$30),$E$26:$E$30,0)),INDEX($A$22:$A$22,MATCH(MAX($H$22:$H$22),$H$22:$H$22,0)))</f>
        <v>IKANA_GBR</v>
      </c>
      <c r="C34" s="10"/>
      <c r="D34" s="30" t="s">
        <v>300</v>
      </c>
    </row>
    <row r="35" customFormat="false" ht="15" hidden="false" customHeight="false" outlineLevel="0" collapsed="false">
      <c r="A35" s="10" t="s">
        <v>326</v>
      </c>
      <c r="B35" s="16" t="n">
        <f aca="false">$B$33-$B$5</f>
        <v>331.132419721556</v>
      </c>
      <c r="C35" s="10" t="s">
        <v>205</v>
      </c>
      <c r="D35" s="30" t="s">
        <v>327</v>
      </c>
    </row>
    <row r="36" customFormat="false" ht="15" hidden="false" customHeight="false" outlineLevel="0" collapsed="false">
      <c r="A36" s="10" t="s">
        <v>328</v>
      </c>
      <c r="B36" s="32" t="n">
        <f aca="false">$B$35+h_station</f>
        <v>334.132419721556</v>
      </c>
      <c r="C36" s="10" t="s">
        <v>205</v>
      </c>
      <c r="D36" s="30" t="s">
        <v>329</v>
      </c>
    </row>
    <row r="37" customFormat="false" ht="15" hidden="false" customHeight="false" outlineLevel="0" collapsed="false">
      <c r="A37" s="10" t="s">
        <v>330</v>
      </c>
      <c r="B37" s="32" t="n">
        <f aca="false">$B$33-$B$6+h_station</f>
        <v>329.632419721556</v>
      </c>
      <c r="C37" s="10" t="s">
        <v>205</v>
      </c>
      <c r="D37" s="30" t="s">
        <v>331</v>
      </c>
    </row>
    <row r="38" customFormat="false" ht="15" hidden="false" customHeight="false" outlineLevel="0" collapsed="false">
      <c r="A38" s="10" t="s">
        <v>332</v>
      </c>
      <c r="B38" s="40" t="n">
        <f aca="false">J18</f>
        <v>0.252525252525253</v>
      </c>
      <c r="C38" s="10" t="s">
        <v>333</v>
      </c>
      <c r="D38" s="30" t="s">
        <v>334</v>
      </c>
    </row>
    <row r="39" customFormat="false" ht="15" hidden="false" customHeight="false" outlineLevel="0" collapsed="false">
      <c r="A39" s="10" t="s">
        <v>335</v>
      </c>
      <c r="B39" s="40" t="n">
        <f aca="false">$B$38/$B$9</f>
        <v>0.0841750841750842</v>
      </c>
      <c r="C39" s="10" t="s">
        <v>333</v>
      </c>
      <c r="D39" s="30"/>
    </row>
    <row r="40" customFormat="false" ht="15" hidden="false" customHeight="false" outlineLevel="0" collapsed="false">
      <c r="A40" s="10" t="s">
        <v>335</v>
      </c>
      <c r="B40" s="15" t="n">
        <f aca="false">$B$39*3600</f>
        <v>303.030303030303</v>
      </c>
      <c r="C40" s="10" t="s">
        <v>323</v>
      </c>
      <c r="D40" s="30" t="s">
        <v>336</v>
      </c>
    </row>
    <row r="41" customFormat="false" ht="15" hidden="false" customHeight="false" outlineLevel="0" collapsed="false">
      <c r="A41" s="10" t="s">
        <v>337</v>
      </c>
      <c r="B41" s="42" t="n">
        <f aca="false">1000*g*$B$39*$B$36/1000</f>
        <v>275.912376891285</v>
      </c>
      <c r="C41" s="10" t="s">
        <v>338</v>
      </c>
      <c r="D41" s="30"/>
    </row>
    <row r="42" customFormat="false" ht="15" hidden="false" customHeight="false" outlineLevel="0" collapsed="false">
      <c r="A42" s="10" t="s">
        <v>339</v>
      </c>
      <c r="B42" s="44" t="n">
        <f aca="false">$B$41/$B$11</f>
        <v>353.733816527288</v>
      </c>
      <c r="C42" s="10" t="s">
        <v>338</v>
      </c>
      <c r="D42" s="30"/>
    </row>
    <row r="43" customFormat="false" ht="15" hidden="false" customHeight="false" outlineLevel="0" collapsed="false">
      <c r="A43" s="10" t="s">
        <v>340</v>
      </c>
      <c r="B43" s="42" t="n">
        <f aca="false">$B$42*motor_margin</f>
        <v>406.793889006381</v>
      </c>
      <c r="C43" s="10" t="s">
        <v>338</v>
      </c>
      <c r="D43" s="30"/>
    </row>
    <row r="44" customFormat="false" ht="15" hidden="false" customHeight="false" outlineLevel="0" collapsed="false">
      <c r="A44" s="10" t="s">
        <v>341</v>
      </c>
      <c r="B44" s="44" t="n">
        <f aca="false">IFERROR(SMALL(Motor_list,COUNTIF(Motor_list,"&lt;"&amp;$B$43)+1),"&gt; list")</f>
        <v>450</v>
      </c>
      <c r="C44" s="10" t="s">
        <v>338</v>
      </c>
      <c r="D44" s="30" t="s">
        <v>342</v>
      </c>
    </row>
    <row r="45" customFormat="false" ht="15" hidden="false" customHeight="false" outlineLevel="0" collapsed="false">
      <c r="A45" s="10" t="s">
        <v>343</v>
      </c>
      <c r="B45" s="15" t="n">
        <f aca="false">$B$9*$B$42*$B$7/$B$12</f>
        <v>24575.1914640011</v>
      </c>
      <c r="C45" s="10" t="s">
        <v>344</v>
      </c>
      <c r="D45" s="30"/>
    </row>
    <row r="46" customFormat="false" ht="15" hidden="false" customHeight="false" outlineLevel="0" collapsed="false">
      <c r="A46" s="10" t="s">
        <v>345</v>
      </c>
      <c r="B46" s="41" t="n">
        <f aca="false">$B$45/I18</f>
        <v>1.22875957320005</v>
      </c>
      <c r="C46" s="10" t="s">
        <v>346</v>
      </c>
      <c r="D46" s="30"/>
    </row>
    <row r="47" customFormat="false" ht="15" hidden="false" customHeight="false" outlineLevel="0" collapsed="false">
      <c r="A47" s="10" t="s">
        <v>347</v>
      </c>
      <c r="B47" s="15" t="n">
        <f aca="false">$B$45*365*tariff</f>
        <v>0</v>
      </c>
      <c r="C47" s="10" t="s">
        <v>348</v>
      </c>
      <c r="D47" s="30" t="s">
        <v>349</v>
      </c>
    </row>
    <row r="48" customFormat="false" ht="15" hidden="false" customHeight="false" outlineLevel="0" collapsed="false">
      <c r="A48" s="10" t="s">
        <v>350</v>
      </c>
      <c r="B48" s="45" t="n">
        <f aca="false">$B$36-$B$14</f>
        <v>4.13241972155583</v>
      </c>
      <c r="C48" s="10" t="s">
        <v>205</v>
      </c>
      <c r="D48" s="30" t="s">
        <v>351</v>
      </c>
    </row>
    <row r="49" customFormat="false" ht="15" hidden="false" customHeight="false" outlineLevel="0" collapsed="false">
      <c r="A49" s="10" t="s">
        <v>305</v>
      </c>
      <c r="B49" s="42" t="n">
        <f aca="false">IF(COUNTIFS(Profile!$A$5:$A$2360,"Z4 WTP-Ikana",Profile!$L$5:$L$2360,"yes")=0,"no points between tanks",_xlfn.MINIFS(Profile!$H$5:$H$2360,Profile!$A$5:$A$2360,"Z4 WTP-Ikana",Profile!$L$5:$L$2360,"yes"))</f>
        <v>8.8711377262955</v>
      </c>
      <c r="C49" s="10" t="s">
        <v>205</v>
      </c>
      <c r="D49" s="30" t="s">
        <v>306</v>
      </c>
    </row>
    <row r="51" customFormat="false" ht="15" hidden="false" customHeight="false" outlineLevel="0" collapsed="false">
      <c r="A51" s="18" t="s">
        <v>307</v>
      </c>
      <c r="B51" s="18"/>
      <c r="C51" s="18"/>
      <c r="D51" s="18"/>
    </row>
    <row r="52" customFormat="false" ht="15" hidden="false" customHeight="false" outlineLevel="0" collapsed="false">
      <c r="A52" s="4" t="str">
        <f aca="false">"1. Flow: "&amp;TEXT(I18,"#,##0")&amp;" m³/d in "&amp;TEXT($B$7,"0")&amp;" h → Q = "&amp;TEXT(K18,"0.0")&amp;" l/s, V = "&amp;TEXT(M18,"0.00")&amp;" m/s in "&amp;A18&amp;"."</f>
        <v>1. Flow: 20,000 m³/d in 22 h → Q = 252.5 l/s, V = 0.89 m/s in WTP_IKANA_RM.</v>
      </c>
    </row>
    <row r="53" customFormat="false" ht="15" hidden="false" customHeight="false" outlineLevel="0" collapsed="false">
      <c r="A53" s="4" t="str">
        <f aca="false">"2. Friction (Hazen-Williams): "&amp;A18&amp;" loses hL = "&amp;TEXT(P18,"0.00")&amp;" m over "&amp;TEXT(G18,"#,##0")&amp;" m ("&amp;TEXT(Q18,"0.00")&amp;" m/km)."</f>
        <v>2. Friction (Hazen-Williams): WTP_IKANA_RM loses hL = 30.63 m over 19,666 m (1.56 m/km).</v>
      </c>
    </row>
    <row r="54" customFormat="false" ht="15" hidden="false" customHeight="false" outlineLevel="0" collapsed="false">
      <c r="A54" s="4" t="str">
        <f aca="false">"3. Point 1 = MOMBA_WTP water surface at its MINIMUM level z1 = "&amp;TEXT($B$5,"0.00")&amp;" m (p = 0, V ≈ 0)."</f>
        <v>3. Point 1 = MOMBA_WTP water surface at its MINIMUM level z1 = 1368.50 m (p = 0, V ≈ 0).</v>
      </c>
    </row>
    <row r="55" customFormat="false" ht="15" hidden="false" customHeight="false" outlineLevel="0" collapsed="false">
      <c r="A55" s="4" t="str">
        <f aca="false">"4. Point 2: the hardest place to reach is "&amp;$B$34&amp;"; it needs the HGL at the zone start to be H_req = "&amp;TEXT($B$33,"0.00")&amp;" m (its level + residual + losses on the way)."</f>
        <v>4. Point 2: the hardest place to reach is IKANA_GBR; it needs the HGL at the zone start to be H_req = 1699.63 m (its level + residual + losses on the way).</v>
      </c>
    </row>
    <row r="56" customFormat="false" ht="15" hidden="false" customHeight="false" outlineLevel="0" collapsed="false">
      <c r="A56" s="4" t="str">
        <f aca="false">"5. Bernoulli: z1 + Hp = H_req → Hp = "&amp;TEXT($B$33,"0.00")&amp;" − "&amp;TEXT($B$5,"0.00")&amp;" = "&amp;TEXT($B$35,"0.00")&amp;" m; + station losses "&amp;TEXT(h_station,"0.0")&amp;" m → TDH = "&amp;TEXT($B$36,"0.0")&amp;" m."</f>
        <v>5. Bernoulli: z1 + Hp = H_req → Hp = 1699.63 − 1368.50 = 331.13 m; + station losses 3.0 m → TDH = 334.1 m.</v>
      </c>
    </row>
    <row r="57" customFormat="false" ht="15" hidden="false" customHeight="false" outlineLevel="0" collapsed="false">
      <c r="A57" s="4" t="str">
        <f aca="false">"6. With the suction tank full (MAXIMUM level "&amp;TEXT($B$6,"0.00")&amp;" m) TDH falls to "&amp;TEXT($B$37,"0.0")&amp;" m: the pump must work between "&amp;TEXT($B$37,"0.0")&amp;" and "&amp;TEXT($B$36,"0.0")&amp;" m at "&amp;TEXT($B$40,"#,##0")&amp;" m³/h per pump."</f>
        <v>6. With the suction tank full (MAXIMUM level 1373.00 m) TDH falls to 329.6 m: the pump must work between 329.6 and 334.1 m at 303 m³/h per pump.</v>
      </c>
    </row>
    <row r="58" customFormat="false" ht="15" hidden="false" customHeight="false" outlineLevel="0" collapsed="false">
      <c r="A58" s="4" t="str">
        <f aca="false">"7. Power: P = ρgQH/η = "&amp;TEXT($B$42,"#,##0")&amp;" kW per pump → motor "&amp;TEXT($B$44,"#,##0")&amp;" kW; ER duty head "&amp;TEXT($B$14,"0")&amp;" m (difference "&amp;TEXT($B$48,"+0.0;-0.0")&amp;" m)."</f>
        <v>7. Power: P = ρgQH/η = 354 kW per pump → motor 450 kW; ER duty head 330 m (difference +4.1 m).</v>
      </c>
    </row>
    <row r="59" customFormat="false" ht="15" hidden="false" customHeight="false" outlineLevel="0" collapsed="false">
      <c r="A59" s="4" t="str">
        <f aca="false">"8. Pressure: lowest pressure along the route = "&amp;TEXT($B$49,"0.0")&amp;" m (minimum allowed "&amp;TEXT(p_min,"0")&amp;" m); pipe class from section D and sheet Profile."</f>
        <v>8. Pressure: lowest pressure along the route = 8.9 m (minimum allowed 2 m); pipe class from section D and sheet Profile.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21" min="18" style="0" width="12"/>
  </cols>
  <sheetData>
    <row r="1" customFormat="false" ht="17.3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36" t="s">
        <v>365</v>
      </c>
    </row>
    <row r="4" customFormat="false" ht="15" hidden="false" customHeight="false" outlineLevel="0" collapsed="false">
      <c r="A4" s="18" t="s">
        <v>239</v>
      </c>
      <c r="B4" s="18"/>
      <c r="C4" s="18"/>
      <c r="D4" s="18"/>
    </row>
    <row r="5" customFormat="false" ht="15" hidden="false" customHeight="false" outlineLevel="0" collapsed="false">
      <c r="A5" s="10" t="s">
        <v>366</v>
      </c>
      <c r="B5" s="21" t="n">
        <f aca="false">Levels!$F$9</f>
        <v>1663.3</v>
      </c>
      <c r="C5" s="10" t="s">
        <v>241</v>
      </c>
      <c r="D5" s="30" t="s">
        <v>242</v>
      </c>
    </row>
    <row r="6" customFormat="false" ht="15" hidden="false" customHeight="false" outlineLevel="0" collapsed="false">
      <c r="A6" s="10" t="s">
        <v>367</v>
      </c>
      <c r="B6" s="21" t="n">
        <f aca="false">Levels!$G$9</f>
        <v>1668</v>
      </c>
      <c r="C6" s="10" t="s">
        <v>241</v>
      </c>
      <c r="D6" s="30" t="s">
        <v>244</v>
      </c>
    </row>
    <row r="7" customFormat="false" ht="15" hidden="false" customHeight="false" outlineLevel="0" collapsed="false">
      <c r="A7" s="10" t="s">
        <v>245</v>
      </c>
      <c r="B7" s="37" t="n">
        <v>24</v>
      </c>
      <c r="C7" s="10" t="s">
        <v>246</v>
      </c>
      <c r="D7" s="30" t="s">
        <v>312</v>
      </c>
    </row>
    <row r="8" customFormat="false" ht="15" hidden="false" customHeight="false" outlineLevel="0" collapsed="false">
      <c r="A8" s="10" t="s">
        <v>248</v>
      </c>
      <c r="B8" s="16" t="n">
        <f aca="false">$B$6</f>
        <v>1668</v>
      </c>
      <c r="C8" s="10" t="s">
        <v>241</v>
      </c>
      <c r="D8" s="30" t="s">
        <v>249</v>
      </c>
    </row>
    <row r="10" customFormat="false" ht="15" hidden="false" customHeight="false" outlineLevel="0" collapsed="false">
      <c r="A10" s="18" t="s">
        <v>250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customFormat="false" ht="42" hidden="false" customHeight="true" outlineLevel="0" collapsed="false">
      <c r="A11" s="8" t="s">
        <v>251</v>
      </c>
      <c r="B11" s="8" t="s">
        <v>252</v>
      </c>
      <c r="C11" s="8" t="s">
        <v>253</v>
      </c>
      <c r="D11" s="8" t="s">
        <v>254</v>
      </c>
      <c r="E11" s="8" t="s">
        <v>255</v>
      </c>
      <c r="F11" s="8" t="s">
        <v>256</v>
      </c>
      <c r="G11" s="8" t="s">
        <v>257</v>
      </c>
      <c r="H11" s="8" t="s">
        <v>258</v>
      </c>
      <c r="I11" s="8" t="s">
        <v>259</v>
      </c>
      <c r="J11" s="8" t="s">
        <v>260</v>
      </c>
      <c r="K11" s="8" t="s">
        <v>261</v>
      </c>
      <c r="L11" s="8" t="s">
        <v>262</v>
      </c>
      <c r="M11" s="8" t="s">
        <v>263</v>
      </c>
      <c r="N11" s="8" t="s">
        <v>264</v>
      </c>
      <c r="O11" s="8" t="s">
        <v>265</v>
      </c>
      <c r="P11" s="8" t="s">
        <v>266</v>
      </c>
      <c r="Q11" s="8" t="s">
        <v>267</v>
      </c>
      <c r="R11" s="8" t="s">
        <v>268</v>
      </c>
      <c r="S11" s="8" t="s">
        <v>269</v>
      </c>
      <c r="T11" s="8" t="s">
        <v>270</v>
      </c>
      <c r="U11" s="8" t="s">
        <v>271</v>
      </c>
    </row>
    <row r="12" customFormat="false" ht="15" hidden="false" customHeight="false" outlineLevel="0" collapsed="false">
      <c r="A12" s="9" t="s">
        <v>368</v>
      </c>
      <c r="B12" s="10" t="s">
        <v>99</v>
      </c>
      <c r="C12" s="10" t="s">
        <v>102</v>
      </c>
      <c r="D12" s="10" t="s">
        <v>149</v>
      </c>
      <c r="E12" s="34" t="n">
        <v>600</v>
      </c>
      <c r="F12" s="38" t="n">
        <f aca="false">E12</f>
        <v>600</v>
      </c>
      <c r="G12" s="39" t="n">
        <v>38930.2</v>
      </c>
      <c r="H12" s="34" t="n">
        <f aca="false">C_default</f>
        <v>120</v>
      </c>
      <c r="I12" s="19" t="n">
        <f aca="false">Demands!$B$24</f>
        <v>20000</v>
      </c>
      <c r="J12" s="40" t="n">
        <f aca="false">I12/($B$7*3600)</f>
        <v>0.231481481481481</v>
      </c>
      <c r="K12" s="38" t="n">
        <f aca="false">J12*1000</f>
        <v>231.481481481482</v>
      </c>
      <c r="L12" s="40" t="n">
        <f aca="false">PI()*(F12/1000)^2/4</f>
        <v>0.282743338823081</v>
      </c>
      <c r="M12" s="41" t="n">
        <f aca="false">J12/L12</f>
        <v>0.818698266933618</v>
      </c>
      <c r="N12" s="14" t="n">
        <f aca="false">10.67*G12*J12^1.852/(H12^1.852*(F12/1000)^4.8704)</f>
        <v>46.9227695312265</v>
      </c>
      <c r="O12" s="14" t="n">
        <f aca="false">k_minor*N12</f>
        <v>4.69227695312265</v>
      </c>
      <c r="P12" s="14" t="n">
        <f aca="false">N12+O12</f>
        <v>51.6150464843491</v>
      </c>
      <c r="Q12" s="14" t="n">
        <f aca="false">P12/G12*1000</f>
        <v>1.32583563619887</v>
      </c>
      <c r="R12" s="14" t="n">
        <v>0</v>
      </c>
      <c r="S12" s="16" t="n">
        <f aca="false">$B$5-R12</f>
        <v>1663.3</v>
      </c>
      <c r="T12" s="16" t="n">
        <f aca="false">S12-P12</f>
        <v>1611.68495351565</v>
      </c>
      <c r="U12" s="38" t="n">
        <f aca="false">wave*M12/g</f>
        <v>83.455480829115</v>
      </c>
    </row>
    <row r="14" customFormat="false" ht="15" hidden="false" customHeight="false" outlineLevel="0" collapsed="false">
      <c r="A14" s="18" t="s">
        <v>273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customFormat="false" ht="42" hidden="false" customHeight="true" outlineLevel="0" collapsed="false">
      <c r="A15" s="8" t="s">
        <v>274</v>
      </c>
      <c r="B15" s="8" t="s">
        <v>275</v>
      </c>
      <c r="C15" s="8" t="s">
        <v>155</v>
      </c>
      <c r="D15" s="8" t="s">
        <v>156</v>
      </c>
      <c r="E15" s="8" t="s">
        <v>157</v>
      </c>
      <c r="F15" s="8" t="s">
        <v>276</v>
      </c>
      <c r="G15" s="8" t="s">
        <v>277</v>
      </c>
      <c r="H15" s="8" t="s">
        <v>278</v>
      </c>
      <c r="I15" s="8" t="s">
        <v>279</v>
      </c>
      <c r="J15" s="8" t="s">
        <v>280</v>
      </c>
      <c r="K15" s="8" t="s">
        <v>281</v>
      </c>
      <c r="L15" s="8" t="s">
        <v>282</v>
      </c>
    </row>
    <row r="16" customFormat="false" ht="15" hidden="false" customHeight="false" outlineLevel="0" collapsed="false">
      <c r="A16" s="9" t="s">
        <v>102</v>
      </c>
      <c r="B16" s="10" t="s">
        <v>368</v>
      </c>
      <c r="C16" s="21" t="n">
        <f aca="false">Levels!$F$10</f>
        <v>1553</v>
      </c>
      <c r="D16" s="21" t="n">
        <f aca="false">Levels!$G$10</f>
        <v>1557</v>
      </c>
      <c r="E16" s="21" t="n">
        <f aca="false">Levels!$L$10</f>
        <v>1557.5</v>
      </c>
      <c r="F16" s="33" t="n">
        <f aca="false">h_res</f>
        <v>1</v>
      </c>
      <c r="G16" s="16" t="n">
        <f aca="false">E16+F16</f>
        <v>1558.5</v>
      </c>
      <c r="H16" s="16" t="n">
        <f aca="false">G16+R12+P12</f>
        <v>1610.11504648435</v>
      </c>
      <c r="I16" s="16" t="n">
        <f aca="false">T12</f>
        <v>1611.68495351565</v>
      </c>
      <c r="J16" s="16" t="n">
        <f aca="false">I16-G16</f>
        <v>53.1849535156507</v>
      </c>
      <c r="K16" s="16" t="n">
        <f aca="false">J16+($B$6-$B$5)</f>
        <v>57.8849535156508</v>
      </c>
      <c r="L16" s="10" t="str">
        <f aca="false">IF(J16&lt;-0.005,"NOT REACHED – more head needed",IF(K16&gt;fcv_limit,"fit flow control valve / PRV (burns "&amp;TEXT(J16,"0.0")&amp;"–"&amp;TEXT(K16,"0.0")&amp;" m)","OK"))</f>
        <v>fit flow control valve / PRV (burns 53.2–57.9 m)</v>
      </c>
    </row>
    <row r="18" customFormat="false" ht="15" hidden="false" customHeight="false" outlineLevel="0" collapsed="false">
      <c r="A18" s="18" t="s">
        <v>283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customFormat="false" ht="42" hidden="false" customHeight="true" outlineLevel="0" collapsed="false">
      <c r="A19" s="8" t="s">
        <v>251</v>
      </c>
      <c r="B19" s="8" t="s">
        <v>284</v>
      </c>
      <c r="C19" s="8" t="s">
        <v>75</v>
      </c>
      <c r="D19" s="8" t="s">
        <v>285</v>
      </c>
      <c r="E19" s="8" t="s">
        <v>286</v>
      </c>
      <c r="F19" s="8" t="s">
        <v>287</v>
      </c>
      <c r="G19" s="8" t="s">
        <v>288</v>
      </c>
      <c r="H19" s="8" t="s">
        <v>289</v>
      </c>
      <c r="I19" s="8" t="s">
        <v>290</v>
      </c>
      <c r="J19" s="8" t="s">
        <v>291</v>
      </c>
      <c r="K19" s="8" t="s">
        <v>292</v>
      </c>
      <c r="L19" s="8" t="s">
        <v>293</v>
      </c>
      <c r="M19" s="8" t="s">
        <v>294</v>
      </c>
      <c r="N19" s="8" t="s">
        <v>295</v>
      </c>
    </row>
    <row r="20" customFormat="false" ht="15" hidden="false" customHeight="false" outlineLevel="0" collapsed="false">
      <c r="A20" s="17" t="s">
        <v>368</v>
      </c>
      <c r="B20" s="39" t="n">
        <v>38668.7</v>
      </c>
      <c r="C20" s="12" t="n">
        <v>1547.62</v>
      </c>
      <c r="D20" s="16" t="n">
        <f aca="false">IF($A20="","",C20-cover)</f>
        <v>1546.42</v>
      </c>
      <c r="E20" s="16" t="n">
        <f aca="false">IF($A20="","",D20+p_min+INDEX($R$12:$R$12,MATCH($A20,$A$12:$A$12,0))+INDEX($P$12:$P$12,MATCH($A20,$A$12:$A$12,0))*B20/INDEX($G$12:$G$12,MATCH($A20,$A$12:$A$12,0)))</f>
        <v>1599.68834046548</v>
      </c>
      <c r="F20" s="16" t="n">
        <f aca="false">IF($A20="","",INDEX($S$12:$S$12,MATCH($A20,$A$12:$A$12,0))-INDEX($P$12:$P$12,MATCH($A20,$A$12:$A$12,0))*B20/INDEX($G$12:$G$12,MATCH($A20,$A$12:$A$12,0)))</f>
        <v>1612.03165953452</v>
      </c>
      <c r="G20" s="42" t="n">
        <f aca="false">IF($A20="","",F20-D20)</f>
        <v>65.611659534517</v>
      </c>
      <c r="H20" s="42" t="n">
        <f aca="false">IF($A20="","",$B$8-D20)</f>
        <v>121.58</v>
      </c>
      <c r="I20" s="42" t="n">
        <f aca="false">IF($A20="","",MAX(G20,H20))</f>
        <v>121.58</v>
      </c>
      <c r="J20" s="38" t="n">
        <f aca="false">IF($A20="","",I20*bar_per_m)</f>
        <v>11.926998</v>
      </c>
      <c r="K20" s="10" t="str">
        <f aca="false">IF($A20="","",IFERROR("PN"&amp;SMALL(PN_list,COUNTIF(PN_list,"&lt;"&amp;J20)+1),"&gt; max PN"))</f>
        <v>PN16</v>
      </c>
      <c r="L20" s="42" t="n">
        <f aca="false">IF($A20="","",G20-INDEX($U$12:$U$12,MATCH($A20,$A$12:$A$12,0)))</f>
        <v>-17.843821294598</v>
      </c>
      <c r="M20" s="11" t="s">
        <v>357</v>
      </c>
      <c r="N20" s="10" t="str">
        <f aca="false">IF($A20="","",IF(G20&lt;0,"NEGATIVE PRESSURE",IF(G20&lt;p_min-0.005,"below minimum","OK")))</f>
        <v>OK</v>
      </c>
    </row>
    <row r="21" customFormat="false" ht="15" hidden="false" customHeight="false" outlineLevel="0" collapsed="false">
      <c r="A21" s="17" t="s">
        <v>368</v>
      </c>
      <c r="B21" s="39" t="n">
        <v>31064.3</v>
      </c>
      <c r="C21" s="12" t="n">
        <v>1450.82</v>
      </c>
      <c r="D21" s="16" t="n">
        <f aca="false">IF($A21="","",C21-cover)</f>
        <v>1449.62</v>
      </c>
      <c r="E21" s="16" t="n">
        <f aca="false">IF($A21="","",D21+p_min+INDEX($R$12:$R$12,MATCH($A21,$A$12:$A$12,0))+INDEX($P$12:$P$12,MATCH($A21,$A$12:$A$12,0))*B21/INDEX($G$12:$G$12,MATCH($A21,$A$12:$A$12,0)))</f>
        <v>1492.80615595357</v>
      </c>
      <c r="F21" s="16" t="n">
        <f aca="false">IF($A21="","",INDEX($S$12:$S$12,MATCH($A21,$A$12:$A$12,0))-INDEX($P$12:$P$12,MATCH($A21,$A$12:$A$12,0))*B21/INDEX($G$12:$G$12,MATCH($A21,$A$12:$A$12,0)))</f>
        <v>1622.11384404643</v>
      </c>
      <c r="G21" s="42" t="n">
        <f aca="false">IF($A21="","",F21-D21)</f>
        <v>172.493844046428</v>
      </c>
      <c r="H21" s="42" t="n">
        <f aca="false">IF($A21="","",$B$8-D21)</f>
        <v>218.38</v>
      </c>
      <c r="I21" s="42" t="n">
        <f aca="false">IF($A21="","",MAX(G21,H21))</f>
        <v>218.38</v>
      </c>
      <c r="J21" s="38" t="n">
        <f aca="false">IF($A21="","",I21*bar_per_m)</f>
        <v>21.423078</v>
      </c>
      <c r="K21" s="10" t="str">
        <f aca="false">IF($A21="","",IFERROR("PN"&amp;SMALL(PN_list,COUNTIF(PN_list,"&lt;"&amp;J21)+1),"&gt; max PN"))</f>
        <v>PN25</v>
      </c>
      <c r="L21" s="42" t="n">
        <f aca="false">IF($A21="","",G21-INDEX($U$12:$U$12,MATCH($A21,$A$12:$A$12,0)))</f>
        <v>89.0383632173125</v>
      </c>
      <c r="M21" s="11" t="s">
        <v>358</v>
      </c>
      <c r="N21" s="10" t="str">
        <f aca="false">IF($A21="","",IF(G21&lt;0,"NEGATIVE PRESSURE",IF(G21&lt;p_min-0.005,"below minimum","OK")))</f>
        <v>OK</v>
      </c>
    </row>
    <row r="22" customFormat="false" ht="15" hidden="false" customHeight="false" outlineLevel="0" collapsed="false">
      <c r="A22" s="17"/>
      <c r="B22" s="17"/>
      <c r="C22" s="17"/>
      <c r="D22" s="16" t="str">
        <f aca="false">IF($A22="","",C22-cover)</f>
        <v/>
      </c>
      <c r="E22" s="16" t="str">
        <f aca="false">IF($A22="","",D22+p_min+INDEX($R$12:$R$12,MATCH($A22,$A$12:$A$12,0))+INDEX($P$12:$P$12,MATCH($A22,$A$12:$A$12,0))*B22/INDEX($G$12:$G$12,MATCH($A22,$A$12:$A$12,0)))</f>
        <v/>
      </c>
      <c r="F22" s="16" t="str">
        <f aca="false">IF($A22="","",INDEX($S$12:$S$12,MATCH($A22,$A$12:$A$12,0))-INDEX($P$12:$P$12,MATCH($A22,$A$12:$A$12,0))*B22/INDEX($G$12:$G$12,MATCH($A22,$A$12:$A$12,0)))</f>
        <v/>
      </c>
      <c r="G22" s="42" t="str">
        <f aca="false">IF($A22="","",F22-D22)</f>
        <v/>
      </c>
      <c r="H22" s="42" t="str">
        <f aca="false">IF($A22="","",$B$8-D22)</f>
        <v/>
      </c>
      <c r="I22" s="42" t="str">
        <f aca="false">IF($A22="","",MAX(G22,H22))</f>
        <v/>
      </c>
      <c r="J22" s="38" t="str">
        <f aca="false">IF($A22="","",I22*bar_per_m)</f>
        <v/>
      </c>
      <c r="K22" s="10" t="str">
        <f aca="false">IF($A22="","",IFERROR("PN"&amp;SMALL(PN_list,COUNTIF(PN_list,"&lt;"&amp;J22)+1),"&gt; max PN"))</f>
        <v/>
      </c>
      <c r="L22" s="42" t="str">
        <f aca="false">IF($A22="","",G22-INDEX($U$12:$U$12,MATCH($A22,$A$12:$A$12,0)))</f>
        <v/>
      </c>
      <c r="M22" s="11" t="s">
        <v>296</v>
      </c>
      <c r="N22" s="10" t="str">
        <f aca="false">IF($A22="","",IF(G22&lt;0,"NEGATIVE PRESSURE",IF(G22&lt;p_min-0.005,"below minimum","OK")))</f>
        <v/>
      </c>
    </row>
    <row r="23" customFormat="false" ht="15" hidden="false" customHeight="false" outlineLevel="0" collapsed="false">
      <c r="A23" s="17"/>
      <c r="B23" s="17"/>
      <c r="C23" s="17"/>
      <c r="D23" s="16" t="str">
        <f aca="false">IF($A23="","",C23-cover)</f>
        <v/>
      </c>
      <c r="E23" s="16" t="str">
        <f aca="false">IF($A23="","",D23+p_min+INDEX($R$12:$R$12,MATCH($A23,$A$12:$A$12,0))+INDEX($P$12:$P$12,MATCH($A23,$A$12:$A$12,0))*B23/INDEX($G$12:$G$12,MATCH($A23,$A$12:$A$12,0)))</f>
        <v/>
      </c>
      <c r="F23" s="16" t="str">
        <f aca="false">IF($A23="","",INDEX($S$12:$S$12,MATCH($A23,$A$12:$A$12,0))-INDEX($P$12:$P$12,MATCH($A23,$A$12:$A$12,0))*B23/INDEX($G$12:$G$12,MATCH($A23,$A$12:$A$12,0)))</f>
        <v/>
      </c>
      <c r="G23" s="42" t="str">
        <f aca="false">IF($A23="","",F23-D23)</f>
        <v/>
      </c>
      <c r="H23" s="42" t="str">
        <f aca="false">IF($A23="","",$B$8-D23)</f>
        <v/>
      </c>
      <c r="I23" s="42" t="str">
        <f aca="false">IF($A23="","",MAX(G23,H23))</f>
        <v/>
      </c>
      <c r="J23" s="38" t="str">
        <f aca="false">IF($A23="","",I23*bar_per_m)</f>
        <v/>
      </c>
      <c r="K23" s="10" t="str">
        <f aca="false">IF($A23="","",IFERROR("PN"&amp;SMALL(PN_list,COUNTIF(PN_list,"&lt;"&amp;J23)+1),"&gt; max PN"))</f>
        <v/>
      </c>
      <c r="L23" s="42" t="str">
        <f aca="false">IF($A23="","",G23-INDEX($U$12:$U$12,MATCH($A23,$A$12:$A$12,0)))</f>
        <v/>
      </c>
      <c r="M23" s="11" t="s">
        <v>296</v>
      </c>
      <c r="N23" s="10" t="str">
        <f aca="false">IF($A23="","",IF(G23&lt;0,"NEGATIVE PRESSURE",IF(G23&lt;p_min-0.005,"below minimum","OK")))</f>
        <v/>
      </c>
    </row>
    <row r="24" customFormat="false" ht="15" hidden="false" customHeight="false" outlineLevel="0" collapsed="false">
      <c r="A24" s="17"/>
      <c r="B24" s="17"/>
      <c r="C24" s="17"/>
      <c r="D24" s="16" t="str">
        <f aca="false">IF($A24="","",C24-cover)</f>
        <v/>
      </c>
      <c r="E24" s="16" t="str">
        <f aca="false">IF($A24="","",D24+p_min+INDEX($R$12:$R$12,MATCH($A24,$A$12:$A$12,0))+INDEX($P$12:$P$12,MATCH($A24,$A$12:$A$12,0))*B24/INDEX($G$12:$G$12,MATCH($A24,$A$12:$A$12,0)))</f>
        <v/>
      </c>
      <c r="F24" s="16" t="str">
        <f aca="false">IF($A24="","",INDEX($S$12:$S$12,MATCH($A24,$A$12:$A$12,0))-INDEX($P$12:$P$12,MATCH($A24,$A$12:$A$12,0))*B24/INDEX($G$12:$G$12,MATCH($A24,$A$12:$A$12,0)))</f>
        <v/>
      </c>
      <c r="G24" s="42" t="str">
        <f aca="false">IF($A24="","",F24-D24)</f>
        <v/>
      </c>
      <c r="H24" s="42" t="str">
        <f aca="false">IF($A24="","",$B$8-D24)</f>
        <v/>
      </c>
      <c r="I24" s="42" t="str">
        <f aca="false">IF($A24="","",MAX(G24,H24))</f>
        <v/>
      </c>
      <c r="J24" s="38" t="str">
        <f aca="false">IF($A24="","",I24*bar_per_m)</f>
        <v/>
      </c>
      <c r="K24" s="10" t="str">
        <f aca="false">IF($A24="","",IFERROR("PN"&amp;SMALL(PN_list,COUNTIF(PN_list,"&lt;"&amp;J24)+1),"&gt; max PN"))</f>
        <v/>
      </c>
      <c r="L24" s="42" t="str">
        <f aca="false">IF($A24="","",G24-INDEX($U$12:$U$12,MATCH($A24,$A$12:$A$12,0)))</f>
        <v/>
      </c>
      <c r="M24" s="11" t="s">
        <v>296</v>
      </c>
      <c r="N24" s="10" t="str">
        <f aca="false">IF($A24="","",IF(G24&lt;0,"NEGATIVE PRESSURE",IF(G24&lt;p_min-0.005,"below minimum","OK")))</f>
        <v/>
      </c>
    </row>
    <row r="26" customFormat="false" ht="15" hidden="false" customHeight="false" outlineLevel="0" collapsed="false">
      <c r="A26" s="18" t="s">
        <v>297</v>
      </c>
      <c r="B26" s="18"/>
      <c r="C26" s="18"/>
      <c r="D26" s="18"/>
    </row>
    <row r="27" customFormat="false" ht="15" hidden="false" customHeight="false" outlineLevel="0" collapsed="false">
      <c r="A27" s="10" t="s">
        <v>298</v>
      </c>
      <c r="B27" s="32" t="n">
        <f aca="false">MAX($H$16:$H$16,$E$20:$E$24)</f>
        <v>1610.11504648435</v>
      </c>
      <c r="C27" s="10" t="s">
        <v>241</v>
      </c>
      <c r="D27" s="30" t="s">
        <v>299</v>
      </c>
    </row>
    <row r="28" customFormat="false" ht="15" hidden="false" customHeight="false" outlineLevel="0" collapsed="false">
      <c r="A28" s="10" t="s">
        <v>137</v>
      </c>
      <c r="B28" s="43" t="str">
        <f aca="false">IF(MAX($E$20:$E$24)&gt;=MAX($H$16:$H$16),"point on "&amp;INDEX($A$20:$A$24,MATCH(MAX($E$20:$E$24),$E$20:$E$24,0)),INDEX($A$16:$A$16,MATCH(MAX($H$16:$H$16),$H$16:$H$16,0)))</f>
        <v>NKANGAMO_BPS</v>
      </c>
      <c r="C28" s="10"/>
      <c r="D28" s="30" t="s">
        <v>300</v>
      </c>
    </row>
    <row r="29" customFormat="false" ht="15" hidden="false" customHeight="false" outlineLevel="0" collapsed="false">
      <c r="A29" s="10" t="s">
        <v>301</v>
      </c>
      <c r="B29" s="32" t="n">
        <f aca="false">$B$5-$B$27</f>
        <v>53.1849535156509</v>
      </c>
      <c r="C29" s="10" t="s">
        <v>205</v>
      </c>
      <c r="D29" s="30" t="s">
        <v>302</v>
      </c>
    </row>
    <row r="30" customFormat="false" ht="15" hidden="false" customHeight="false" outlineLevel="0" collapsed="false">
      <c r="A30" s="10" t="s">
        <v>303</v>
      </c>
      <c r="B30" s="32" t="n">
        <f aca="false">$B$6-$B$27</f>
        <v>57.884953515651</v>
      </c>
      <c r="C30" s="10" t="s">
        <v>205</v>
      </c>
      <c r="D30" s="30" t="s">
        <v>304</v>
      </c>
    </row>
    <row r="31" customFormat="false" ht="15" hidden="false" customHeight="false" outlineLevel="0" collapsed="false">
      <c r="A31" s="10" t="s">
        <v>295</v>
      </c>
      <c r="B31" s="43" t="str">
        <f aca="false">IF($B$29&lt;-0.005,"SHORT OF HEAD at minimum level – bigger pipe, lower outlet, higher tank or pump","OK – valve burns "&amp;TEXT($B$29,"0.0")&amp;" to "&amp;TEXT($B$30,"0.0")&amp;" m")</f>
        <v>OK – valve burns 53.2 to 57.9 m</v>
      </c>
      <c r="C31" s="10"/>
      <c r="D31" s="30"/>
    </row>
    <row r="32" customFormat="false" ht="15" hidden="false" customHeight="false" outlineLevel="0" collapsed="false">
      <c r="A32" s="10" t="s">
        <v>305</v>
      </c>
      <c r="B32" s="42" t="n">
        <f aca="false">IF(COUNTIFS(Profile!$A$5:$A$2360,"Z5 Ikana-Nkangamo",Profile!$L$5:$L$2360,"yes")=0,"no points between tanks",_xlfn.MINIFS(Profile!$H$5:$H$2360,Profile!$A$5:$A$2360,"Z5 Ikana-Nkangamo",Profile!$L$5:$L$2360,"yes"))</f>
        <v>65.6117258262989</v>
      </c>
      <c r="C32" s="10" t="s">
        <v>205</v>
      </c>
      <c r="D32" s="30" t="s">
        <v>306</v>
      </c>
    </row>
    <row r="34" customFormat="false" ht="15" hidden="false" customHeight="false" outlineLevel="0" collapsed="false">
      <c r="A34" s="18" t="s">
        <v>307</v>
      </c>
      <c r="B34" s="18"/>
      <c r="C34" s="18"/>
      <c r="D34" s="18"/>
    </row>
    <row r="35" customFormat="false" ht="15" hidden="false" customHeight="false" outlineLevel="0" collapsed="false">
      <c r="A35" s="4" t="str">
        <f aca="false">"1. Flow: "&amp;TEXT(I12,"#,##0")&amp;" m³/d in "&amp;TEXT($B$7,"0")&amp;" h → Q = "&amp;TEXT(K12,"0.0")&amp;" l/s, V = "&amp;TEXT(M12,"0.00")&amp;" m/s in "&amp;A12&amp;"."</f>
        <v>1. Flow: 20,000 m³/d in 24 h → Q = 231.5 l/s, V = 0.82 m/s in IKANA_NKANGAMO_GM.</v>
      </c>
    </row>
    <row r="36" customFormat="false" ht="15" hidden="false" customHeight="false" outlineLevel="0" collapsed="false">
      <c r="A36" s="4" t="str">
        <f aca="false">"2. Friction (Hazen-Williams): "&amp;A12&amp;" loses hL = "&amp;TEXT(P12,"0.00")&amp;" m over "&amp;TEXT(G12,"#,##0")&amp;" m ("&amp;TEXT(Q12,"0.00")&amp;" m/km)."</f>
        <v>2. Friction (Hazen-Williams): IKANA_NKANGAMO_GM loses hL = 51.62 m over 38,930 m (1.33 m/km).</v>
      </c>
    </row>
    <row r="37" customFormat="false" ht="15" hidden="false" customHeight="false" outlineLevel="0" collapsed="false">
      <c r="A37" s="4" t="str">
        <f aca="false">"3. Point 1 = IKANA_GBR water surface at its MINIMUM level z1 = "&amp;TEXT($B$5,"0.00")&amp;" m (p = 0, V ≈ 0)."</f>
        <v>3. Point 1 = IKANA_GBR water surface at its MINIMUM level z1 = 1663.30 m (p = 0, V ≈ 0).</v>
      </c>
    </row>
    <row r="38" customFormat="false" ht="15" hidden="false" customHeight="false" outlineLevel="0" collapsed="false">
      <c r="A38" s="4" t="str">
        <f aca="false">"4. Point 2: the hardest place to reach is "&amp;$B$28&amp;"; it needs the HGL at the zone start to be H_req = "&amp;TEXT($B$27,"0.00")&amp;" m (its level + residual + losses on the way)."</f>
        <v>4. Point 2: the hardest place to reach is NKANGAMO_BPS; it needs the HGL at the zone start to be H_req = 1610.12 m (its level + residual + losses on the way).</v>
      </c>
    </row>
    <row r="39" customFormat="false" ht="15" hidden="false" customHeight="false" outlineLevel="0" collapsed="false">
      <c r="A39" s="4" t="str">
        <f aca="false">"5. Bernoulli without pump: z1 = H_req + surplus → surplus = "&amp;TEXT($B$5,"0.00")&amp;" − "&amp;TEXT($B$27,"0.00")&amp;" = "&amp;TEXT($B$29,"0.00")&amp;" m."</f>
        <v>5. Bernoulli without pump: z1 = H_req + surplus → surplus = 1663.30 − 1610.12 = 53.18 m.</v>
      </c>
    </row>
    <row r="40" customFormat="false" ht="15" hidden="false" customHeight="false" outlineLevel="0" collapsed="false">
      <c r="A40" s="4" t="str">
        <f aca="false">"6. With the supplying tank full (MAXIMUM level "&amp;TEXT($B$6,"0.00")&amp;" m) the surplus is "&amp;TEXT($B$30,"0.00")&amp;" m. "&amp;IF($B$29&lt;-0.005,"Negative at minimum level: the zone cannot deliver – change pipe or levels.","A flow control valve burns this so the flow stays at design.")</f>
        <v>6. With the supplying tank full (MAXIMUM level 1668.00 m) the surplus is 57.88 m. A flow control valve burns this so the flow stays at design.</v>
      </c>
    </row>
    <row r="41" customFormat="false" ht="15" hidden="false" customHeight="false" outlineLevel="0" collapsed="false">
      <c r="A41" s="4" t="str">
        <f aca="false">"8. Pressure: lowest pressure along the route = "&amp;TEXT($B$32,"0.0")&amp;" m (minimum allowed "&amp;TEXT(p_min,"0")&amp;" m); pipe class from section D and sheet Profile."</f>
        <v>8. Pressure: lowest pressure along the route = 65.6 m (minimum allowed 2 m); pipe class from section D and sheet Profile.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21" min="18" style="0" width="12"/>
  </cols>
  <sheetData>
    <row r="1" customFormat="false" ht="17.35" hidden="false" customHeight="false" outlineLevel="0" collapsed="false">
      <c r="A1" s="1" t="s">
        <v>369</v>
      </c>
    </row>
    <row r="2" customFormat="false" ht="15" hidden="false" customHeight="false" outlineLevel="0" collapsed="false">
      <c r="A2" s="36" t="s">
        <v>370</v>
      </c>
    </row>
    <row r="4" customFormat="false" ht="15" hidden="false" customHeight="false" outlineLevel="0" collapsed="false">
      <c r="A4" s="18" t="s">
        <v>239</v>
      </c>
      <c r="B4" s="18"/>
      <c r="C4" s="18"/>
      <c r="D4" s="18"/>
    </row>
    <row r="5" customFormat="false" ht="15" hidden="false" customHeight="false" outlineLevel="0" collapsed="false">
      <c r="A5" s="10" t="s">
        <v>371</v>
      </c>
      <c r="B5" s="21" t="n">
        <f aca="false">Levels!$F$10</f>
        <v>1553</v>
      </c>
      <c r="C5" s="10" t="s">
        <v>241</v>
      </c>
      <c r="D5" s="30" t="s">
        <v>242</v>
      </c>
    </row>
    <row r="6" customFormat="false" ht="15" hidden="false" customHeight="false" outlineLevel="0" collapsed="false">
      <c r="A6" s="10" t="s">
        <v>372</v>
      </c>
      <c r="B6" s="21" t="n">
        <f aca="false">Levels!$G$10</f>
        <v>1557</v>
      </c>
      <c r="C6" s="10" t="s">
        <v>241</v>
      </c>
      <c r="D6" s="30" t="s">
        <v>244</v>
      </c>
    </row>
    <row r="7" customFormat="false" ht="15" hidden="false" customHeight="false" outlineLevel="0" collapsed="false">
      <c r="A7" s="10" t="s">
        <v>245</v>
      </c>
      <c r="B7" s="37" t="n">
        <v>22</v>
      </c>
      <c r="C7" s="10" t="s">
        <v>246</v>
      </c>
      <c r="D7" s="30" t="s">
        <v>312</v>
      </c>
    </row>
    <row r="8" customFormat="false" ht="15" hidden="false" customHeight="false" outlineLevel="0" collapsed="false">
      <c r="A8" s="10" t="s">
        <v>248</v>
      </c>
      <c r="B8" s="16" t="n">
        <f aca="false">MAX(Levels!$L$12,Levels!$L$13,Levels!$L$14,Levels!$L$11)</f>
        <v>1706.5</v>
      </c>
      <c r="C8" s="10" t="s">
        <v>241</v>
      </c>
      <c r="D8" s="30" t="s">
        <v>313</v>
      </c>
    </row>
    <row r="9" customFormat="false" ht="15" hidden="false" customHeight="false" outlineLevel="0" collapsed="false">
      <c r="A9" s="10" t="s">
        <v>314</v>
      </c>
      <c r="B9" s="34" t="n">
        <v>2</v>
      </c>
      <c r="C9" s="10" t="s">
        <v>315</v>
      </c>
      <c r="D9" s="30" t="s">
        <v>316</v>
      </c>
    </row>
    <row r="10" customFormat="false" ht="15" hidden="false" customHeight="false" outlineLevel="0" collapsed="false">
      <c r="A10" s="10" t="s">
        <v>317</v>
      </c>
      <c r="B10" s="34" t="n">
        <v>1</v>
      </c>
      <c r="C10" s="10" t="s">
        <v>315</v>
      </c>
      <c r="D10" s="30" t="s">
        <v>318</v>
      </c>
    </row>
    <row r="11" customFormat="false" ht="15" hidden="false" customHeight="false" outlineLevel="0" collapsed="false">
      <c r="A11" s="10" t="s">
        <v>319</v>
      </c>
      <c r="B11" s="33" t="n">
        <v>0.78</v>
      </c>
      <c r="C11" s="10" t="s">
        <v>149</v>
      </c>
      <c r="D11" s="30" t="s">
        <v>320</v>
      </c>
    </row>
    <row r="12" customFormat="false" ht="15" hidden="false" customHeight="false" outlineLevel="0" collapsed="false">
      <c r="A12" s="10" t="s">
        <v>321</v>
      </c>
      <c r="B12" s="33" t="n">
        <v>0.95</v>
      </c>
      <c r="C12" s="10" t="s">
        <v>149</v>
      </c>
      <c r="D12" s="30" t="s">
        <v>210</v>
      </c>
    </row>
    <row r="13" customFormat="false" ht="15" hidden="false" customHeight="false" outlineLevel="0" collapsed="false">
      <c r="A13" s="10" t="s">
        <v>322</v>
      </c>
      <c r="B13" s="13" t="n">
        <v>455</v>
      </c>
      <c r="C13" s="10" t="s">
        <v>323</v>
      </c>
      <c r="D13" s="30" t="s">
        <v>64</v>
      </c>
    </row>
    <row r="14" customFormat="false" ht="15" hidden="false" customHeight="false" outlineLevel="0" collapsed="false">
      <c r="A14" s="10" t="s">
        <v>324</v>
      </c>
      <c r="B14" s="39" t="n">
        <v>221</v>
      </c>
      <c r="C14" s="10" t="s">
        <v>205</v>
      </c>
      <c r="D14" s="30" t="s">
        <v>64</v>
      </c>
    </row>
    <row r="16" customFormat="false" ht="15" hidden="false" customHeight="false" outlineLevel="0" collapsed="false">
      <c r="A16" s="18" t="s">
        <v>250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customFormat="false" ht="42" hidden="false" customHeight="true" outlineLevel="0" collapsed="false">
      <c r="A17" s="8" t="s">
        <v>251</v>
      </c>
      <c r="B17" s="8" t="s">
        <v>252</v>
      </c>
      <c r="C17" s="8" t="s">
        <v>253</v>
      </c>
      <c r="D17" s="8" t="s">
        <v>254</v>
      </c>
      <c r="E17" s="8" t="s">
        <v>255</v>
      </c>
      <c r="F17" s="8" t="s">
        <v>256</v>
      </c>
      <c r="G17" s="8" t="s">
        <v>257</v>
      </c>
      <c r="H17" s="8" t="s">
        <v>258</v>
      </c>
      <c r="I17" s="8" t="s">
        <v>259</v>
      </c>
      <c r="J17" s="8" t="s">
        <v>260</v>
      </c>
      <c r="K17" s="8" t="s">
        <v>261</v>
      </c>
      <c r="L17" s="8" t="s">
        <v>262</v>
      </c>
      <c r="M17" s="8" t="s">
        <v>263</v>
      </c>
      <c r="N17" s="8" t="s">
        <v>264</v>
      </c>
      <c r="O17" s="8" t="s">
        <v>265</v>
      </c>
      <c r="P17" s="8" t="s">
        <v>266</v>
      </c>
      <c r="Q17" s="8" t="s">
        <v>267</v>
      </c>
      <c r="R17" s="8" t="s">
        <v>268</v>
      </c>
      <c r="S17" s="8" t="s">
        <v>269</v>
      </c>
      <c r="T17" s="8" t="s">
        <v>270</v>
      </c>
      <c r="U17" s="8" t="s">
        <v>271</v>
      </c>
    </row>
    <row r="18" customFormat="false" ht="15" hidden="false" customHeight="false" outlineLevel="0" collapsed="false">
      <c r="A18" s="9" t="s">
        <v>373</v>
      </c>
      <c r="B18" s="10" t="s">
        <v>102</v>
      </c>
      <c r="C18" s="10" t="s">
        <v>374</v>
      </c>
      <c r="D18" s="10" t="s">
        <v>149</v>
      </c>
      <c r="E18" s="34" t="n">
        <v>600</v>
      </c>
      <c r="F18" s="38" t="n">
        <f aca="false">E18</f>
        <v>600</v>
      </c>
      <c r="G18" s="39" t="n">
        <v>19581.4</v>
      </c>
      <c r="H18" s="34" t="n">
        <f aca="false">C_default</f>
        <v>120</v>
      </c>
      <c r="I18" s="19" t="n">
        <f aca="false">Demands!$B$23</f>
        <v>20000</v>
      </c>
      <c r="J18" s="40" t="n">
        <f aca="false">I18/($B$7*3600)</f>
        <v>0.252525252525253</v>
      </c>
      <c r="K18" s="38" t="n">
        <f aca="false">J18*1000</f>
        <v>252.525252525253</v>
      </c>
      <c r="L18" s="40" t="n">
        <f aca="false">PI()*(F18/1000)^2/4</f>
        <v>0.282743338823081</v>
      </c>
      <c r="M18" s="41" t="n">
        <f aca="false">J18/L18</f>
        <v>0.893125382109402</v>
      </c>
      <c r="N18" s="14" t="n">
        <f aca="false">10.67*G18*J18^1.852/(H18^1.852*(F18/1000)^4.8704)</f>
        <v>27.7284221055907</v>
      </c>
      <c r="O18" s="14" t="n">
        <f aca="false">k_minor*N18</f>
        <v>2.77284221055907</v>
      </c>
      <c r="P18" s="14" t="n">
        <f aca="false">N18+O18</f>
        <v>30.5012643161497</v>
      </c>
      <c r="Q18" s="14" t="n">
        <f aca="false">P18/G18*1000</f>
        <v>1.55766514734134</v>
      </c>
      <c r="R18" s="14" t="n">
        <v>0</v>
      </c>
      <c r="S18" s="16" t="n">
        <f aca="false">$B$50-R18</f>
        <v>1738.22838936202</v>
      </c>
      <c r="T18" s="16" t="n">
        <f aca="false">S18-P18</f>
        <v>1707.72712504587</v>
      </c>
      <c r="U18" s="38" t="n">
        <f aca="false">wave*M18/g</f>
        <v>91.0423427226709</v>
      </c>
    </row>
    <row r="19" customFormat="false" ht="15" hidden="false" customHeight="false" outlineLevel="0" collapsed="false">
      <c r="A19" s="9" t="s">
        <v>375</v>
      </c>
      <c r="B19" s="10" t="s">
        <v>374</v>
      </c>
      <c r="C19" s="10" t="s">
        <v>376</v>
      </c>
      <c r="D19" s="10" t="s">
        <v>373</v>
      </c>
      <c r="E19" s="34" t="n">
        <v>600</v>
      </c>
      <c r="F19" s="38" t="n">
        <f aca="false">E19</f>
        <v>600</v>
      </c>
      <c r="G19" s="39" t="n">
        <v>40</v>
      </c>
      <c r="H19" s="34" t="n">
        <f aca="false">C_default</f>
        <v>120</v>
      </c>
      <c r="I19" s="19" t="n">
        <f aca="false">Demands!$B$22</f>
        <v>19628.48</v>
      </c>
      <c r="J19" s="40" t="n">
        <f aca="false">I19/($B$7*3600)</f>
        <v>0.247834343434343</v>
      </c>
      <c r="K19" s="38" t="n">
        <f aca="false">J19*1000</f>
        <v>247.834343434343</v>
      </c>
      <c r="L19" s="40" t="n">
        <f aca="false">PI()*(F19/1000)^2/4</f>
        <v>0.282743338823081</v>
      </c>
      <c r="M19" s="41" t="n">
        <f aca="false">J19/L19</f>
        <v>0.876534685011337</v>
      </c>
      <c r="N19" s="14" t="n">
        <f aca="false">10.67*G19*J19^1.852/(H19^1.852*(F19/1000)^4.8704)</f>
        <v>0.054709150255338</v>
      </c>
      <c r="O19" s="14" t="n">
        <f aca="false">k_minor*N19</f>
        <v>0.0054709150255338</v>
      </c>
      <c r="P19" s="14" t="n">
        <f aca="false">N19+O19</f>
        <v>0.0601800652808718</v>
      </c>
      <c r="Q19" s="14" t="n">
        <f aca="false">P19/G19*1000</f>
        <v>1.50450163202179</v>
      </c>
      <c r="R19" s="14" t="n">
        <f aca="false">R18+P18</f>
        <v>30.5012643161497</v>
      </c>
      <c r="S19" s="16" t="n">
        <f aca="false">$B$50-R19</f>
        <v>1707.72712504587</v>
      </c>
      <c r="T19" s="16" t="n">
        <f aca="false">S19-P19</f>
        <v>1707.66694498059</v>
      </c>
      <c r="U19" s="38" t="n">
        <f aca="false">wave*M19/g</f>
        <v>89.3511401642546</v>
      </c>
    </row>
    <row r="20" customFormat="false" ht="15" hidden="false" customHeight="false" outlineLevel="0" collapsed="false">
      <c r="A20" s="9" t="s">
        <v>377</v>
      </c>
      <c r="B20" s="10" t="s">
        <v>376</v>
      </c>
      <c r="C20" s="10" t="s">
        <v>378</v>
      </c>
      <c r="D20" s="10" t="s">
        <v>375</v>
      </c>
      <c r="E20" s="34" t="n">
        <v>600</v>
      </c>
      <c r="F20" s="38" t="n">
        <f aca="false">E20</f>
        <v>600</v>
      </c>
      <c r="G20" s="39" t="n">
        <v>100.2</v>
      </c>
      <c r="H20" s="34" t="n">
        <f aca="false">C_default</f>
        <v>120</v>
      </c>
      <c r="I20" s="19" t="n">
        <f aca="false">Demands!$B$21</f>
        <v>18081.92</v>
      </c>
      <c r="J20" s="40" t="n">
        <f aca="false">I20/($B$7*3600)</f>
        <v>0.228307070707071</v>
      </c>
      <c r="K20" s="38" t="n">
        <f aca="false">J20*1000</f>
        <v>228.307070707071</v>
      </c>
      <c r="L20" s="40" t="n">
        <f aca="false">PI()*(F20/1000)^2/4</f>
        <v>0.282743338823081</v>
      </c>
      <c r="M20" s="41" t="n">
        <f aca="false">J20/L20</f>
        <v>0.807471085463581</v>
      </c>
      <c r="N20" s="14" t="n">
        <f aca="false">10.67*G20*J20^1.852/(H20^1.852*(F20/1000)^4.8704)</f>
        <v>0.117722230349096</v>
      </c>
      <c r="O20" s="14" t="n">
        <f aca="false">k_minor*N20</f>
        <v>0.0117722230349096</v>
      </c>
      <c r="P20" s="14" t="n">
        <f aca="false">N20+O20</f>
        <v>0.129494453384006</v>
      </c>
      <c r="Q20" s="14" t="n">
        <f aca="false">P20/G20*1000</f>
        <v>1.29235981421163</v>
      </c>
      <c r="R20" s="14" t="n">
        <f aca="false">R19+P19</f>
        <v>30.5614443814306</v>
      </c>
      <c r="S20" s="16" t="n">
        <f aca="false">$B$50-R20</f>
        <v>1707.66694498059</v>
      </c>
      <c r="T20" s="16" t="n">
        <f aca="false">S20-P20</f>
        <v>1707.5374505272</v>
      </c>
      <c r="U20" s="38" t="n">
        <f aca="false">wave*M20/g</f>
        <v>82.3110178861958</v>
      </c>
    </row>
    <row r="21" customFormat="false" ht="15" hidden="false" customHeight="false" outlineLevel="0" collapsed="false">
      <c r="A21" s="9" t="s">
        <v>379</v>
      </c>
      <c r="B21" s="10" t="s">
        <v>378</v>
      </c>
      <c r="C21" s="10" t="s">
        <v>105</v>
      </c>
      <c r="D21" s="10" t="s">
        <v>377</v>
      </c>
      <c r="E21" s="34" t="n">
        <v>600</v>
      </c>
      <c r="F21" s="38" t="n">
        <f aca="false">E21</f>
        <v>600</v>
      </c>
      <c r="G21" s="39" t="n">
        <v>50</v>
      </c>
      <c r="H21" s="34" t="n">
        <f aca="false">C_default</f>
        <v>120</v>
      </c>
      <c r="I21" s="19" t="n">
        <f aca="false">Demands!$B$17</f>
        <v>17459.82</v>
      </c>
      <c r="J21" s="40" t="n">
        <f aca="false">I21/($B$7*3600)</f>
        <v>0.220452272727273</v>
      </c>
      <c r="K21" s="38" t="n">
        <f aca="false">J21*1000</f>
        <v>220.452272727273</v>
      </c>
      <c r="L21" s="40" t="n">
        <f aca="false">PI()*(F21/1000)^2/4</f>
        <v>0.282743338823081</v>
      </c>
      <c r="M21" s="41" t="n">
        <f aca="false">J21/L21</f>
        <v>0.779690420453069</v>
      </c>
      <c r="N21" s="14" t="n">
        <f aca="false">10.67*G21*J21^1.852/(H21^1.852*(F21/1000)^4.8704)</f>
        <v>0.0550556011807962</v>
      </c>
      <c r="O21" s="14" t="n">
        <f aca="false">k_minor*N21</f>
        <v>0.00550556011807963</v>
      </c>
      <c r="P21" s="14" t="n">
        <f aca="false">N21+O21</f>
        <v>0.0605611612988759</v>
      </c>
      <c r="Q21" s="14" t="n">
        <f aca="false">P21/G21*1000</f>
        <v>1.21122322597752</v>
      </c>
      <c r="R21" s="14" t="n">
        <f aca="false">R20+P20</f>
        <v>30.6909388348146</v>
      </c>
      <c r="S21" s="16" t="n">
        <f aca="false">$B$50-R21</f>
        <v>1707.5374505272</v>
      </c>
      <c r="T21" s="16" t="n">
        <f aca="false">S21-P21</f>
        <v>1707.4768893659</v>
      </c>
      <c r="U21" s="38" t="n">
        <f aca="false">wave*M21/g</f>
        <v>79.4791458158072</v>
      </c>
    </row>
    <row r="22" customFormat="false" ht="15" hidden="false" customHeight="false" outlineLevel="0" collapsed="false">
      <c r="A22" s="9" t="s">
        <v>380</v>
      </c>
      <c r="B22" s="10" t="s">
        <v>374</v>
      </c>
      <c r="C22" s="10" t="s">
        <v>108</v>
      </c>
      <c r="D22" s="10" t="s">
        <v>373</v>
      </c>
      <c r="E22" s="34" t="n">
        <v>100</v>
      </c>
      <c r="F22" s="38" t="n">
        <f aca="false">E22</f>
        <v>100</v>
      </c>
      <c r="G22" s="39" t="n">
        <v>38</v>
      </c>
      <c r="H22" s="34" t="n">
        <f aca="false">C_default</f>
        <v>120</v>
      </c>
      <c r="I22" s="19" t="n">
        <f aca="false">Demands!$B$20</f>
        <v>371.52</v>
      </c>
      <c r="J22" s="40" t="n">
        <f aca="false">I22/($B$7*3600)</f>
        <v>0.00469090909090909</v>
      </c>
      <c r="K22" s="38" t="n">
        <f aca="false">J22*1000</f>
        <v>4.69090909090909</v>
      </c>
      <c r="L22" s="40" t="n">
        <f aca="false">PI()*(F22/1000)^2/4</f>
        <v>0.00785398163397448</v>
      </c>
      <c r="M22" s="41" t="n">
        <f aca="false">J22/L22</f>
        <v>0.597265095530313</v>
      </c>
      <c r="N22" s="14" t="n">
        <f aca="false">10.67*G22*J22^1.852/(H22^1.852*(F22/1000)^4.8704)</f>
        <v>0.206477314424414</v>
      </c>
      <c r="O22" s="14" t="n">
        <f aca="false">k_minor*N22</f>
        <v>0.0206477314424414</v>
      </c>
      <c r="P22" s="14" t="n">
        <f aca="false">N22+O22</f>
        <v>0.227125045866855</v>
      </c>
      <c r="Q22" s="14" t="n">
        <f aca="false">P22/G22*1000</f>
        <v>5.97697489123303</v>
      </c>
      <c r="R22" s="14" t="n">
        <f aca="false">R18+P18</f>
        <v>30.5012643161497</v>
      </c>
      <c r="S22" s="16" t="n">
        <f aca="false">$B$50-R22</f>
        <v>1707.72712504587</v>
      </c>
      <c r="T22" s="16" t="n">
        <f aca="false">S22-P22</f>
        <v>1707.5</v>
      </c>
      <c r="U22" s="38" t="n">
        <f aca="false">wave*M22/g</f>
        <v>60.883292102988</v>
      </c>
    </row>
    <row r="23" customFormat="false" ht="15" hidden="false" customHeight="false" outlineLevel="0" collapsed="false">
      <c r="A23" s="9" t="s">
        <v>381</v>
      </c>
      <c r="B23" s="10" t="s">
        <v>376</v>
      </c>
      <c r="C23" s="10" t="s">
        <v>111</v>
      </c>
      <c r="D23" s="10" t="s">
        <v>375</v>
      </c>
      <c r="E23" s="34" t="n">
        <v>150</v>
      </c>
      <c r="F23" s="38" t="n">
        <f aca="false">E23</f>
        <v>150</v>
      </c>
      <c r="G23" s="39" t="n">
        <v>40</v>
      </c>
      <c r="H23" s="34" t="n">
        <f aca="false">C_default</f>
        <v>120</v>
      </c>
      <c r="I23" s="19" t="n">
        <f aca="false">Demands!$B$19</f>
        <v>1546.56</v>
      </c>
      <c r="J23" s="40" t="n">
        <f aca="false">I23/($B$7*3600)</f>
        <v>0.0195272727272727</v>
      </c>
      <c r="K23" s="38" t="n">
        <f aca="false">J23*1000</f>
        <v>19.5272727272727</v>
      </c>
      <c r="L23" s="40" t="n">
        <f aca="false">PI()*(F23/1000)^2/4</f>
        <v>0.0176714586764426</v>
      </c>
      <c r="M23" s="41" t="n">
        <f aca="false">J23/L23</f>
        <v>1.10501759276409</v>
      </c>
      <c r="N23" s="14" t="n">
        <f aca="false">10.67*G23*J23^1.852/(H23^1.852*(F23/1000)^4.8704)</f>
        <v>0.423266700866329</v>
      </c>
      <c r="O23" s="14" t="n">
        <f aca="false">k_minor*N23</f>
        <v>0.0423266700866329</v>
      </c>
      <c r="P23" s="14" t="n">
        <f aca="false">N23+O23</f>
        <v>0.465593370952962</v>
      </c>
      <c r="Q23" s="14" t="n">
        <f aca="false">P23/G23*1000</f>
        <v>11.639834273824</v>
      </c>
      <c r="R23" s="14" t="n">
        <f aca="false">R19+P19</f>
        <v>30.5614443814306</v>
      </c>
      <c r="S23" s="16" t="n">
        <f aca="false">$B$50-R23</f>
        <v>1707.66694498059</v>
      </c>
      <c r="T23" s="16" t="n">
        <f aca="false">S23-P23</f>
        <v>1707.20135160963</v>
      </c>
      <c r="U23" s="38" t="n">
        <f aca="false">wave*M23/g</f>
        <v>112.641956448939</v>
      </c>
    </row>
    <row r="24" customFormat="false" ht="15" hidden="false" customHeight="false" outlineLevel="0" collapsed="false">
      <c r="A24" s="9" t="s">
        <v>382</v>
      </c>
      <c r="B24" s="10" t="s">
        <v>378</v>
      </c>
      <c r="C24" s="10" t="s">
        <v>114</v>
      </c>
      <c r="D24" s="10" t="s">
        <v>377</v>
      </c>
      <c r="E24" s="34" t="n">
        <v>150</v>
      </c>
      <c r="F24" s="38" t="n">
        <f aca="false">E24</f>
        <v>150</v>
      </c>
      <c r="G24" s="39" t="n">
        <v>4220.8</v>
      </c>
      <c r="H24" s="34" t="n">
        <f aca="false">C_default</f>
        <v>120</v>
      </c>
      <c r="I24" s="19" t="n">
        <f aca="false">Demands!$B$18</f>
        <v>622.1</v>
      </c>
      <c r="J24" s="40" t="n">
        <f aca="false">I24/($B$7*3600)</f>
        <v>0.00785479797979798</v>
      </c>
      <c r="K24" s="38" t="n">
        <f aca="false">J24*1000</f>
        <v>7.85479797979798</v>
      </c>
      <c r="L24" s="40" t="n">
        <f aca="false">PI()*(F24/1000)^2/4</f>
        <v>0.0176714586764426</v>
      </c>
      <c r="M24" s="41" t="n">
        <f aca="false">J24/L24</f>
        <v>0.444490640168207</v>
      </c>
      <c r="N24" s="14" t="n">
        <f aca="false">10.67*G24*J24^1.852/(H24^1.852*(F24/1000)^4.8704)</f>
        <v>8.26933743814085</v>
      </c>
      <c r="O24" s="14" t="n">
        <f aca="false">k_minor*N24</f>
        <v>0.826933743814085</v>
      </c>
      <c r="P24" s="14" t="n">
        <f aca="false">N24+O24</f>
        <v>9.09627118195494</v>
      </c>
      <c r="Q24" s="14" t="n">
        <f aca="false">P24/G24*1000</f>
        <v>2.15510594720312</v>
      </c>
      <c r="R24" s="14" t="n">
        <f aca="false">R20+P20</f>
        <v>30.6909388348146</v>
      </c>
      <c r="S24" s="16" t="n">
        <f aca="false">$B$50-R24</f>
        <v>1707.5374505272</v>
      </c>
      <c r="T24" s="16" t="n">
        <f aca="false">S24-P24</f>
        <v>1698.44117934525</v>
      </c>
      <c r="U24" s="38" t="n">
        <f aca="false">wave*M24/g</f>
        <v>45.3099531262189</v>
      </c>
    </row>
    <row r="26" customFormat="false" ht="15" hidden="false" customHeight="false" outlineLevel="0" collapsed="false">
      <c r="A26" s="18" t="s">
        <v>273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customFormat="false" ht="42" hidden="false" customHeight="true" outlineLevel="0" collapsed="false">
      <c r="A27" s="8" t="s">
        <v>274</v>
      </c>
      <c r="B27" s="8" t="s">
        <v>275</v>
      </c>
      <c r="C27" s="8" t="s">
        <v>155</v>
      </c>
      <c r="D27" s="8" t="s">
        <v>156</v>
      </c>
      <c r="E27" s="8" t="s">
        <v>157</v>
      </c>
      <c r="F27" s="8" t="s">
        <v>276</v>
      </c>
      <c r="G27" s="8" t="s">
        <v>277</v>
      </c>
      <c r="H27" s="8" t="s">
        <v>278</v>
      </c>
      <c r="I27" s="8" t="s">
        <v>279</v>
      </c>
      <c r="J27" s="8" t="s">
        <v>280</v>
      </c>
      <c r="K27" s="8" t="s">
        <v>281</v>
      </c>
      <c r="L27" s="8" t="s">
        <v>282</v>
      </c>
    </row>
    <row r="28" customFormat="false" ht="15" hidden="false" customHeight="false" outlineLevel="0" collapsed="false">
      <c r="A28" s="9" t="s">
        <v>108</v>
      </c>
      <c r="B28" s="10" t="s">
        <v>380</v>
      </c>
      <c r="C28" s="21" t="n">
        <f aca="false">Levels!$F$12</f>
        <v>1703.5</v>
      </c>
      <c r="D28" s="21" t="n">
        <f aca="false">Levels!$G$12</f>
        <v>1706.5</v>
      </c>
      <c r="E28" s="21" t="n">
        <f aca="false">Levels!$L$12</f>
        <v>1706.5</v>
      </c>
      <c r="F28" s="33" t="n">
        <f aca="false">h_res</f>
        <v>1</v>
      </c>
      <c r="G28" s="16" t="n">
        <f aca="false">E28+F28</f>
        <v>1707.5</v>
      </c>
      <c r="H28" s="16" t="n">
        <f aca="false">G28+R22+P22</f>
        <v>1738.22838936202</v>
      </c>
      <c r="I28" s="16" t="n">
        <f aca="false">T22</f>
        <v>1707.5</v>
      </c>
      <c r="J28" s="16" t="n">
        <f aca="false">I28-G28</f>
        <v>0</v>
      </c>
      <c r="K28" s="16" t="n">
        <f aca="false">J28+($B$6-$B$5)</f>
        <v>4</v>
      </c>
      <c r="L28" s="10" t="str">
        <f aca="false">IF(J28&lt;-0.005,"NOT REACHED – more head needed",IF(K28&gt;fcv_limit,"fit flow control valve / PRV (burns "&amp;TEXT(J28,"0.0")&amp;"–"&amp;TEXT(K28,"0.0")&amp;" m)","OK"))</f>
        <v>OK</v>
      </c>
    </row>
    <row r="29" customFormat="false" ht="15" hidden="false" customHeight="false" outlineLevel="0" collapsed="false">
      <c r="A29" s="9" t="s">
        <v>111</v>
      </c>
      <c r="B29" s="10" t="s">
        <v>381</v>
      </c>
      <c r="C29" s="21" t="n">
        <f aca="false">Levels!$F$13</f>
        <v>1698.4</v>
      </c>
      <c r="D29" s="21" t="n">
        <f aca="false">Levels!$G$13</f>
        <v>1701.4</v>
      </c>
      <c r="E29" s="21" t="n">
        <f aca="false">Levels!$L$13</f>
        <v>1701.4</v>
      </c>
      <c r="F29" s="33" t="n">
        <f aca="false">h_res</f>
        <v>1</v>
      </c>
      <c r="G29" s="16" t="n">
        <f aca="false">E29+F29</f>
        <v>1702.4</v>
      </c>
      <c r="H29" s="16" t="n">
        <f aca="false">G29+R23+P23</f>
        <v>1733.42703775238</v>
      </c>
      <c r="I29" s="16" t="n">
        <f aca="false">T23</f>
        <v>1707.20135160963</v>
      </c>
      <c r="J29" s="16" t="n">
        <f aca="false">I29-G29</f>
        <v>4.80135160963278</v>
      </c>
      <c r="K29" s="16" t="n">
        <f aca="false">J29+($B$6-$B$5)</f>
        <v>8.80135160963278</v>
      </c>
      <c r="L29" s="10" t="str">
        <f aca="false">IF(J29&lt;-0.005,"NOT REACHED – more head needed",IF(K29&gt;fcv_limit,"fit flow control valve / PRV (burns "&amp;TEXT(J29,"0.0")&amp;"–"&amp;TEXT(K29,"0.0")&amp;" m)","OK"))</f>
        <v>fit flow control valve / PRV (burns 4.8–8.8 m)</v>
      </c>
    </row>
    <row r="30" customFormat="false" ht="15" hidden="false" customHeight="false" outlineLevel="0" collapsed="false">
      <c r="A30" s="9" t="s">
        <v>114</v>
      </c>
      <c r="B30" s="10" t="s">
        <v>382</v>
      </c>
      <c r="C30" s="21" t="n">
        <f aca="false">Levels!$F$14</f>
        <v>1681.2</v>
      </c>
      <c r="D30" s="21" t="n">
        <f aca="false">Levels!$G$14</f>
        <v>1684.2</v>
      </c>
      <c r="E30" s="21" t="n">
        <f aca="false">Levels!$L$14</f>
        <v>1684.2</v>
      </c>
      <c r="F30" s="33" t="n">
        <f aca="false">h_res</f>
        <v>1</v>
      </c>
      <c r="G30" s="16" t="n">
        <f aca="false">E30+F30</f>
        <v>1685.2</v>
      </c>
      <c r="H30" s="16" t="n">
        <f aca="false">G30+R24+P24</f>
        <v>1724.98721001677</v>
      </c>
      <c r="I30" s="16" t="n">
        <f aca="false">T24</f>
        <v>1698.44117934525</v>
      </c>
      <c r="J30" s="16" t="n">
        <f aca="false">I30-G30</f>
        <v>13.2411793452468</v>
      </c>
      <c r="K30" s="16" t="n">
        <f aca="false">J30+($B$6-$B$5)</f>
        <v>17.2411793452468</v>
      </c>
      <c r="L30" s="10" t="str">
        <f aca="false">IF(J30&lt;-0.005,"NOT REACHED – more head needed",IF(K30&gt;fcv_limit,"fit flow control valve / PRV (burns "&amp;TEXT(J30,"0.0")&amp;"–"&amp;TEXT(K30,"0.0")&amp;" m)","OK"))</f>
        <v>fit flow control valve / PRV (burns 13.2–17.2 m)</v>
      </c>
    </row>
    <row r="31" customFormat="false" ht="15" hidden="false" customHeight="false" outlineLevel="0" collapsed="false">
      <c r="A31" s="9" t="s">
        <v>105</v>
      </c>
      <c r="B31" s="10" t="s">
        <v>379</v>
      </c>
      <c r="C31" s="21" t="n">
        <f aca="false">Levels!$F$11</f>
        <v>1697.6</v>
      </c>
      <c r="D31" s="21" t="n">
        <f aca="false">Levels!$G$11</f>
        <v>1702.3</v>
      </c>
      <c r="E31" s="21" t="n">
        <f aca="false">Levels!$L$11</f>
        <v>1702.3</v>
      </c>
      <c r="F31" s="33" t="n">
        <f aca="false">h_res</f>
        <v>1</v>
      </c>
      <c r="G31" s="16" t="n">
        <f aca="false">E31+F31</f>
        <v>1703.3</v>
      </c>
      <c r="H31" s="16" t="n">
        <f aca="false">G31+R21+P21</f>
        <v>1734.05149999611</v>
      </c>
      <c r="I31" s="16" t="n">
        <f aca="false">T21</f>
        <v>1707.4768893659</v>
      </c>
      <c r="J31" s="16" t="n">
        <f aca="false">I31-G31</f>
        <v>4.17688936590298</v>
      </c>
      <c r="K31" s="16" t="n">
        <f aca="false">J31+($B$6-$B$5)</f>
        <v>8.17688936590298</v>
      </c>
      <c r="L31" s="10" t="str">
        <f aca="false">IF(J31&lt;-0.005,"NOT REACHED – more head needed",IF(K31&gt;fcv_limit,"fit flow control valve / PRV (burns "&amp;TEXT(J31,"0.0")&amp;"–"&amp;TEXT(K31,"0.0")&amp;" m)","OK"))</f>
        <v>fit flow control valve / PRV (burns 4.2–8.2 m)</v>
      </c>
    </row>
    <row r="33" customFormat="false" ht="15" hidden="false" customHeight="false" outlineLevel="0" collapsed="false">
      <c r="A33" s="18" t="s">
        <v>383</v>
      </c>
      <c r="B33" s="18"/>
      <c r="C33" s="18"/>
      <c r="D33" s="18"/>
      <c r="E33" s="18"/>
      <c r="F33" s="18"/>
      <c r="G33" s="18"/>
      <c r="H33" s="18"/>
    </row>
    <row r="34" customFormat="false" ht="42" hidden="false" customHeight="true" outlineLevel="0" collapsed="false">
      <c r="A34" s="8" t="s">
        <v>384</v>
      </c>
      <c r="B34" s="8" t="s">
        <v>385</v>
      </c>
      <c r="C34" s="8" t="s">
        <v>75</v>
      </c>
      <c r="D34" s="8" t="s">
        <v>386</v>
      </c>
      <c r="E34" s="8" t="s">
        <v>387</v>
      </c>
      <c r="F34" s="8" t="s">
        <v>388</v>
      </c>
      <c r="G34" s="8" t="s">
        <v>288</v>
      </c>
      <c r="H34" s="8" t="s">
        <v>295</v>
      </c>
    </row>
    <row r="35" customFormat="false" ht="15" hidden="false" customHeight="false" outlineLevel="0" collapsed="false">
      <c r="A35" s="9" t="s">
        <v>374</v>
      </c>
      <c r="B35" s="10" t="s">
        <v>373</v>
      </c>
      <c r="C35" s="12" t="n">
        <v>1698.34</v>
      </c>
      <c r="D35" s="37" t="n">
        <f aca="false">p_min_j</f>
        <v>5</v>
      </c>
      <c r="E35" s="16" t="n">
        <f aca="false">C35+D35+R18+P18</f>
        <v>1733.84126431615</v>
      </c>
      <c r="F35" s="16" t="n">
        <f aca="false">T18</f>
        <v>1707.72712504587</v>
      </c>
      <c r="G35" s="42" t="n">
        <f aca="false">F35-C35</f>
        <v>9.38712504586692</v>
      </c>
      <c r="H35" s="10" t="str">
        <f aca="false">IF(G35&lt;D35-0.005,"below minimum","OK")</f>
        <v>OK</v>
      </c>
    </row>
    <row r="36" customFormat="false" ht="15" hidden="false" customHeight="false" outlineLevel="0" collapsed="false">
      <c r="A36" s="9" t="s">
        <v>376</v>
      </c>
      <c r="B36" s="10" t="s">
        <v>375</v>
      </c>
      <c r="C36" s="12" t="n">
        <v>1699.25</v>
      </c>
      <c r="D36" s="37" t="n">
        <f aca="false">p_min_j</f>
        <v>5</v>
      </c>
      <c r="E36" s="16" t="n">
        <f aca="false">C36+D36+R19+P19</f>
        <v>1734.81144438143</v>
      </c>
      <c r="F36" s="16" t="n">
        <f aca="false">T19</f>
        <v>1707.66694498059</v>
      </c>
      <c r="G36" s="42" t="n">
        <f aca="false">F36-C36</f>
        <v>8.41694498058587</v>
      </c>
      <c r="H36" s="10" t="str">
        <f aca="false">IF(G36&lt;D36-0.005,"below minimum","OK")</f>
        <v>OK</v>
      </c>
    </row>
    <row r="37" customFormat="false" ht="15" hidden="false" customHeight="false" outlineLevel="0" collapsed="false">
      <c r="A37" s="9" t="s">
        <v>378</v>
      </c>
      <c r="B37" s="10" t="s">
        <v>377</v>
      </c>
      <c r="C37" s="12" t="n">
        <v>1699.34</v>
      </c>
      <c r="D37" s="37" t="n">
        <f aca="false">p_min_j</f>
        <v>5</v>
      </c>
      <c r="E37" s="16" t="n">
        <f aca="false">C37+D37+R20+P20</f>
        <v>1735.03093883481</v>
      </c>
      <c r="F37" s="16" t="n">
        <f aca="false">T20</f>
        <v>1707.5374505272</v>
      </c>
      <c r="G37" s="42" t="n">
        <f aca="false">F37-C37</f>
        <v>8.19745052720191</v>
      </c>
      <c r="H37" s="10" t="str">
        <f aca="false">IF(G37&lt;D37-0.005,"below minimum","OK")</f>
        <v>OK</v>
      </c>
    </row>
    <row r="39" customFormat="false" ht="15" hidden="false" customHeight="false" outlineLevel="0" collapsed="false">
      <c r="A39" s="18" t="s">
        <v>283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customFormat="false" ht="42" hidden="false" customHeight="true" outlineLevel="0" collapsed="false">
      <c r="A40" s="8" t="s">
        <v>251</v>
      </c>
      <c r="B40" s="8" t="s">
        <v>284</v>
      </c>
      <c r="C40" s="8" t="s">
        <v>75</v>
      </c>
      <c r="D40" s="8" t="s">
        <v>285</v>
      </c>
      <c r="E40" s="8" t="s">
        <v>286</v>
      </c>
      <c r="F40" s="8" t="s">
        <v>287</v>
      </c>
      <c r="G40" s="8" t="s">
        <v>288</v>
      </c>
      <c r="H40" s="8" t="s">
        <v>289</v>
      </c>
      <c r="I40" s="8" t="s">
        <v>290</v>
      </c>
      <c r="J40" s="8" t="s">
        <v>291</v>
      </c>
      <c r="K40" s="8" t="s">
        <v>292</v>
      </c>
      <c r="L40" s="8" t="s">
        <v>293</v>
      </c>
      <c r="M40" s="8" t="s">
        <v>294</v>
      </c>
      <c r="N40" s="8" t="s">
        <v>295</v>
      </c>
    </row>
    <row r="41" customFormat="false" ht="15" hidden="false" customHeight="false" outlineLevel="0" collapsed="false">
      <c r="A41" s="17" t="s">
        <v>373</v>
      </c>
      <c r="B41" s="39" t="n">
        <v>14583.1</v>
      </c>
      <c r="C41" s="12" t="n">
        <v>1710.04</v>
      </c>
      <c r="D41" s="16" t="n">
        <f aca="false">IF($A41="","",C41-cover)</f>
        <v>1708.84</v>
      </c>
      <c r="E41" s="16" t="n">
        <f aca="false">IF($A41="","",D41+p_min+INDEX($R$18:$R$24,MATCH($A41,$A$18:$A$24,0))+INDEX($P$18:$P$24,MATCH($A41,$A$18:$A$24,0))*B41/INDEX($G$18:$G$24,MATCH($A41,$A$18:$A$24,0)))</f>
        <v>1733.55558661019</v>
      </c>
      <c r="F41" s="16" t="n">
        <f aca="false">IF($A41="","",INDEX($S$18:$S$24,MATCH($A41,$A$18:$A$24,0))-INDEX($P$18:$P$24,MATCH($A41,$A$18:$A$24,0))*B41/INDEX($G$18:$G$24,MATCH($A41,$A$18:$A$24,0)))</f>
        <v>1715.51280275182</v>
      </c>
      <c r="G41" s="42" t="n">
        <f aca="false">IF($A41="","",F41-D41)</f>
        <v>6.67280275182316</v>
      </c>
      <c r="H41" s="42" t="n">
        <f aca="false">IF($A41="","",$B$8-D41)</f>
        <v>-2.33999999999992</v>
      </c>
      <c r="I41" s="42" t="n">
        <f aca="false">IF($A41="","",MAX(G41,H41))</f>
        <v>6.67280275182316</v>
      </c>
      <c r="J41" s="38" t="n">
        <f aca="false">IF($A41="","",I41*bar_per_m)</f>
        <v>0.654601949953852</v>
      </c>
      <c r="K41" s="10" t="str">
        <f aca="false">IF($A41="","",IFERROR("PN"&amp;SMALL(PN_list,COUNTIF(PN_list,"&lt;"&amp;J41)+1),"&gt; max PN"))</f>
        <v>PN10</v>
      </c>
      <c r="L41" s="42" t="n">
        <f aca="false">IF($A41="","",G41-INDEX($U$18:$U$24,MATCH($A41,$A$18:$A$24,0)))</f>
        <v>-84.3695399708477</v>
      </c>
      <c r="M41" s="11" t="s">
        <v>357</v>
      </c>
      <c r="N41" s="10" t="str">
        <f aca="false">IF($A41="","",IF(G41&lt;0,"NEGATIVE PRESSURE",IF(G41&lt;p_min-0.005,"below minimum","OK")))</f>
        <v>OK</v>
      </c>
    </row>
    <row r="42" customFormat="false" ht="15" hidden="false" customHeight="false" outlineLevel="0" collapsed="false">
      <c r="A42" s="17" t="s">
        <v>373</v>
      </c>
      <c r="B42" s="39" t="n">
        <v>5635.7</v>
      </c>
      <c r="C42" s="12" t="n">
        <v>1561.57</v>
      </c>
      <c r="D42" s="16" t="n">
        <f aca="false">IF($A42="","",C42-cover)</f>
        <v>1560.37</v>
      </c>
      <c r="E42" s="16" t="n">
        <f aca="false">IF($A42="","",D42+p_min+INDEX($R$18:$R$24,MATCH($A42,$A$18:$A$24,0))+INDEX($P$18:$P$24,MATCH($A42,$A$18:$A$24,0))*B42/INDEX($G$18:$G$24,MATCH($A42,$A$18:$A$24,0)))</f>
        <v>1571.14853347087</v>
      </c>
      <c r="F42" s="16" t="n">
        <f aca="false">IF($A42="","",INDEX($S$18:$S$24,MATCH($A42,$A$18:$A$24,0))-INDEX($P$18:$P$24,MATCH($A42,$A$18:$A$24,0))*B42/INDEX($G$18:$G$24,MATCH($A42,$A$18:$A$24,0)))</f>
        <v>1729.44985589115</v>
      </c>
      <c r="G42" s="42" t="n">
        <f aca="false">IF($A42="","",F42-D42)</f>
        <v>169.079855891145</v>
      </c>
      <c r="H42" s="42" t="n">
        <f aca="false">IF($A42="","",$B$8-D42)</f>
        <v>146.13</v>
      </c>
      <c r="I42" s="42" t="n">
        <f aca="false">IF($A42="","",MAX(G42,H42))</f>
        <v>169.079855891145</v>
      </c>
      <c r="J42" s="38" t="n">
        <f aca="false">IF($A42="","",I42*bar_per_m)</f>
        <v>16.5867338629213</v>
      </c>
      <c r="K42" s="10" t="str">
        <f aca="false">IF($A42="","",IFERROR("PN"&amp;SMALL(PN_list,COUNTIF(PN_list,"&lt;"&amp;J42)+1),"&gt; max PN"))</f>
        <v>PN25</v>
      </c>
      <c r="L42" s="42" t="n">
        <f aca="false">IF($A42="","",G42-INDEX($U$18:$U$24,MATCH($A42,$A$18:$A$24,0)))</f>
        <v>78.0375131684743</v>
      </c>
      <c r="M42" s="11" t="s">
        <v>358</v>
      </c>
      <c r="N42" s="10" t="str">
        <f aca="false">IF($A42="","",IF(G42&lt;0,"NEGATIVE PRESSURE",IF(G42&lt;p_min-0.005,"below minimum","OK")))</f>
        <v>OK</v>
      </c>
    </row>
    <row r="43" customFormat="false" ht="15" hidden="false" customHeight="false" outlineLevel="0" collapsed="false">
      <c r="A43" s="17" t="s">
        <v>382</v>
      </c>
      <c r="B43" s="39" t="n">
        <v>145</v>
      </c>
      <c r="C43" s="12" t="n">
        <v>1699.45</v>
      </c>
      <c r="D43" s="16" t="n">
        <f aca="false">IF($A43="","",C43-cover)</f>
        <v>1698.25</v>
      </c>
      <c r="E43" s="16" t="n">
        <f aca="false">IF($A43="","",D43+p_min+INDEX($R$18:$R$24,MATCH($A43,$A$18:$A$24,0))+INDEX($P$18:$P$24,MATCH($A43,$A$18:$A$24,0))*B43/INDEX($G$18:$G$24,MATCH($A43,$A$18:$A$24,0)))</f>
        <v>1731.25342919716</v>
      </c>
      <c r="F43" s="16" t="n">
        <f aca="false">IF($A43="","",INDEX($S$18:$S$24,MATCH($A43,$A$18:$A$24,0))-INDEX($P$18:$P$24,MATCH($A43,$A$18:$A$24,0))*B43/INDEX($G$18:$G$24,MATCH($A43,$A$18:$A$24,0)))</f>
        <v>1707.22496016486</v>
      </c>
      <c r="G43" s="42" t="n">
        <f aca="false">IF($A43="","",F43-D43)</f>
        <v>8.97496016485729</v>
      </c>
      <c r="H43" s="42" t="n">
        <f aca="false">IF($A43="","",$B$8-D43)</f>
        <v>8.25</v>
      </c>
      <c r="I43" s="42" t="n">
        <f aca="false">IF($A43="","",MAX(G43,H43))</f>
        <v>8.97496016485729</v>
      </c>
      <c r="J43" s="38" t="n">
        <f aca="false">IF($A43="","",I43*bar_per_m)</f>
        <v>0.880443592172501</v>
      </c>
      <c r="K43" s="10" t="str">
        <f aca="false">IF($A43="","",IFERROR("PN"&amp;SMALL(PN_list,COUNTIF(PN_list,"&lt;"&amp;J43)+1),"&gt; max PN"))</f>
        <v>PN10</v>
      </c>
      <c r="L43" s="42" t="n">
        <f aca="false">IF($A43="","",G43-INDEX($U$18:$U$24,MATCH($A43,$A$18:$A$24,0)))</f>
        <v>-36.3349929613616</v>
      </c>
      <c r="M43" s="11" t="s">
        <v>357</v>
      </c>
      <c r="N43" s="10" t="str">
        <f aca="false">IF($A43="","",IF(G43&lt;0,"NEGATIVE PRESSURE",IF(G43&lt;p_min-0.005,"below minimum","OK")))</f>
        <v>OK</v>
      </c>
    </row>
    <row r="44" customFormat="false" ht="15" hidden="false" customHeight="false" outlineLevel="0" collapsed="false">
      <c r="A44" s="17" t="s">
        <v>382</v>
      </c>
      <c r="B44" s="39" t="n">
        <v>3317.8</v>
      </c>
      <c r="C44" s="12" t="n">
        <v>1603.64</v>
      </c>
      <c r="D44" s="16" t="n">
        <f aca="false">IF($A44="","",C44-cover)</f>
        <v>1602.44</v>
      </c>
      <c r="E44" s="16" t="n">
        <f aca="false">IF($A44="","",D44+p_min+INDEX($R$18:$R$24,MATCH($A44,$A$18:$A$24,0))+INDEX($P$18:$P$24,MATCH($A44,$A$18:$A$24,0))*B44/INDEX($G$18:$G$24,MATCH($A44,$A$18:$A$24,0)))</f>
        <v>1642.28114934645</v>
      </c>
      <c r="F44" s="16" t="n">
        <f aca="false">IF($A44="","",INDEX($S$18:$S$24,MATCH($A44,$A$18:$A$24,0))-INDEX($P$18:$P$24,MATCH($A44,$A$18:$A$24,0))*B44/INDEX($G$18:$G$24,MATCH($A44,$A$18:$A$24,0)))</f>
        <v>1700.38724001557</v>
      </c>
      <c r="G44" s="42" t="n">
        <f aca="false">IF($A44="","",F44-D44)</f>
        <v>97.9472400155712</v>
      </c>
      <c r="H44" s="42" t="n">
        <f aca="false">IF($A44="","",$B$8-D44)</f>
        <v>104.06</v>
      </c>
      <c r="I44" s="42" t="n">
        <f aca="false">IF($A44="","",MAX(G44,H44))</f>
        <v>104.06</v>
      </c>
      <c r="J44" s="38" t="n">
        <f aca="false">IF($A44="","",I44*bar_per_m)</f>
        <v>10.208286</v>
      </c>
      <c r="K44" s="10" t="str">
        <f aca="false">IF($A44="","",IFERROR("PN"&amp;SMALL(PN_list,COUNTIF(PN_list,"&lt;"&amp;J44)+1),"&gt; max PN"))</f>
        <v>PN16</v>
      </c>
      <c r="L44" s="42" t="n">
        <f aca="false">IF($A44="","",G44-INDEX($U$18:$U$24,MATCH($A44,$A$18:$A$24,0)))</f>
        <v>52.6372868893523</v>
      </c>
      <c r="M44" s="11" t="s">
        <v>358</v>
      </c>
      <c r="N44" s="10" t="str">
        <f aca="false">IF($A44="","",IF(G44&lt;0,"NEGATIVE PRESSURE",IF(G44&lt;p_min-0.005,"below minimum","OK")))</f>
        <v>OK</v>
      </c>
    </row>
    <row r="45" customFormat="false" ht="15" hidden="false" customHeight="false" outlineLevel="0" collapsed="false">
      <c r="A45" s="17"/>
      <c r="B45" s="17"/>
      <c r="C45" s="17"/>
      <c r="D45" s="16" t="str">
        <f aca="false">IF($A45="","",C45-cover)</f>
        <v/>
      </c>
      <c r="E45" s="16" t="str">
        <f aca="false">IF($A45="","",D45+p_min+INDEX($R$18:$R$24,MATCH($A45,$A$18:$A$24,0))+INDEX($P$18:$P$24,MATCH($A45,$A$18:$A$24,0))*B45/INDEX($G$18:$G$24,MATCH($A45,$A$18:$A$24,0)))</f>
        <v/>
      </c>
      <c r="F45" s="16" t="str">
        <f aca="false">IF($A45="","",INDEX($S$18:$S$24,MATCH($A45,$A$18:$A$24,0))-INDEX($P$18:$P$24,MATCH($A45,$A$18:$A$24,0))*B45/INDEX($G$18:$G$24,MATCH($A45,$A$18:$A$24,0)))</f>
        <v/>
      </c>
      <c r="G45" s="42" t="str">
        <f aca="false">IF($A45="","",F45-D45)</f>
        <v/>
      </c>
      <c r="H45" s="42" t="str">
        <f aca="false">IF($A45="","",$B$8-D45)</f>
        <v/>
      </c>
      <c r="I45" s="42" t="str">
        <f aca="false">IF($A45="","",MAX(G45,H45))</f>
        <v/>
      </c>
      <c r="J45" s="38" t="str">
        <f aca="false">IF($A45="","",I45*bar_per_m)</f>
        <v/>
      </c>
      <c r="K45" s="10" t="str">
        <f aca="false">IF($A45="","",IFERROR("PN"&amp;SMALL(PN_list,COUNTIF(PN_list,"&lt;"&amp;J45)+1),"&gt; max PN"))</f>
        <v/>
      </c>
      <c r="L45" s="42" t="str">
        <f aca="false">IF($A45="","",G45-INDEX($U$18:$U$24,MATCH($A45,$A$18:$A$24,0)))</f>
        <v/>
      </c>
      <c r="M45" s="11" t="s">
        <v>296</v>
      </c>
      <c r="N45" s="10" t="str">
        <f aca="false">IF($A45="","",IF(G45&lt;0,"NEGATIVE PRESSURE",IF(G45&lt;p_min-0.005,"below minimum","OK")))</f>
        <v/>
      </c>
    </row>
    <row r="46" customFormat="false" ht="15" hidden="false" customHeight="false" outlineLevel="0" collapsed="false">
      <c r="A46" s="17"/>
      <c r="B46" s="17"/>
      <c r="C46" s="17"/>
      <c r="D46" s="16" t="str">
        <f aca="false">IF($A46="","",C46-cover)</f>
        <v/>
      </c>
      <c r="E46" s="16" t="str">
        <f aca="false">IF($A46="","",D46+p_min+INDEX($R$18:$R$24,MATCH($A46,$A$18:$A$24,0))+INDEX($P$18:$P$24,MATCH($A46,$A$18:$A$24,0))*B46/INDEX($G$18:$G$24,MATCH($A46,$A$18:$A$24,0)))</f>
        <v/>
      </c>
      <c r="F46" s="16" t="str">
        <f aca="false">IF($A46="","",INDEX($S$18:$S$24,MATCH($A46,$A$18:$A$24,0))-INDEX($P$18:$P$24,MATCH($A46,$A$18:$A$24,0))*B46/INDEX($G$18:$G$24,MATCH($A46,$A$18:$A$24,0)))</f>
        <v/>
      </c>
      <c r="G46" s="42" t="str">
        <f aca="false">IF($A46="","",F46-D46)</f>
        <v/>
      </c>
      <c r="H46" s="42" t="str">
        <f aca="false">IF($A46="","",$B$8-D46)</f>
        <v/>
      </c>
      <c r="I46" s="42" t="str">
        <f aca="false">IF($A46="","",MAX(G46,H46))</f>
        <v/>
      </c>
      <c r="J46" s="38" t="str">
        <f aca="false">IF($A46="","",I46*bar_per_m)</f>
        <v/>
      </c>
      <c r="K46" s="10" t="str">
        <f aca="false">IF($A46="","",IFERROR("PN"&amp;SMALL(PN_list,COUNTIF(PN_list,"&lt;"&amp;J46)+1),"&gt; max PN"))</f>
        <v/>
      </c>
      <c r="L46" s="42" t="str">
        <f aca="false">IF($A46="","",G46-INDEX($U$18:$U$24,MATCH($A46,$A$18:$A$24,0)))</f>
        <v/>
      </c>
      <c r="M46" s="11" t="s">
        <v>296</v>
      </c>
      <c r="N46" s="10" t="str">
        <f aca="false">IF($A46="","",IF(G46&lt;0,"NEGATIVE PRESSURE",IF(G46&lt;p_min-0.005,"below minimum","OK")))</f>
        <v/>
      </c>
    </row>
    <row r="47" customFormat="false" ht="15" hidden="false" customHeight="false" outlineLevel="0" collapsed="false">
      <c r="A47" s="17"/>
      <c r="B47" s="17"/>
      <c r="C47" s="17"/>
      <c r="D47" s="16" t="str">
        <f aca="false">IF($A47="","",C47-cover)</f>
        <v/>
      </c>
      <c r="E47" s="16" t="str">
        <f aca="false">IF($A47="","",D47+p_min+INDEX($R$18:$R$24,MATCH($A47,$A$18:$A$24,0))+INDEX($P$18:$P$24,MATCH($A47,$A$18:$A$24,0))*B47/INDEX($G$18:$G$24,MATCH($A47,$A$18:$A$24,0)))</f>
        <v/>
      </c>
      <c r="F47" s="16" t="str">
        <f aca="false">IF($A47="","",INDEX($S$18:$S$24,MATCH($A47,$A$18:$A$24,0))-INDEX($P$18:$P$24,MATCH($A47,$A$18:$A$24,0))*B47/INDEX($G$18:$G$24,MATCH($A47,$A$18:$A$24,0)))</f>
        <v/>
      </c>
      <c r="G47" s="42" t="str">
        <f aca="false">IF($A47="","",F47-D47)</f>
        <v/>
      </c>
      <c r="H47" s="42" t="str">
        <f aca="false">IF($A47="","",$B$8-D47)</f>
        <v/>
      </c>
      <c r="I47" s="42" t="str">
        <f aca="false">IF($A47="","",MAX(G47,H47))</f>
        <v/>
      </c>
      <c r="J47" s="38" t="str">
        <f aca="false">IF($A47="","",I47*bar_per_m)</f>
        <v/>
      </c>
      <c r="K47" s="10" t="str">
        <f aca="false">IF($A47="","",IFERROR("PN"&amp;SMALL(PN_list,COUNTIF(PN_list,"&lt;"&amp;J47)+1),"&gt; max PN"))</f>
        <v/>
      </c>
      <c r="L47" s="42" t="str">
        <f aca="false">IF($A47="","",G47-INDEX($U$18:$U$24,MATCH($A47,$A$18:$A$24,0)))</f>
        <v/>
      </c>
      <c r="M47" s="11" t="s">
        <v>296</v>
      </c>
      <c r="N47" s="10" t="str">
        <f aca="false">IF($A47="","",IF(G47&lt;0,"NEGATIVE PRESSURE",IF(G47&lt;p_min-0.005,"below minimum","OK")))</f>
        <v/>
      </c>
    </row>
    <row r="49" customFormat="false" ht="15" hidden="false" customHeight="false" outlineLevel="0" collapsed="false">
      <c r="A49" s="18" t="s">
        <v>297</v>
      </c>
      <c r="B49" s="18"/>
      <c r="C49" s="18"/>
      <c r="D49" s="18"/>
    </row>
    <row r="50" customFormat="false" ht="15" hidden="false" customHeight="false" outlineLevel="0" collapsed="false">
      <c r="A50" s="10" t="s">
        <v>298</v>
      </c>
      <c r="B50" s="32" t="n">
        <f aca="false">MAX($H$28:$H$31,$E$41:$E$47,$E$35:$E$37)</f>
        <v>1738.22838936202</v>
      </c>
      <c r="C50" s="10" t="s">
        <v>241</v>
      </c>
      <c r="D50" s="30" t="s">
        <v>299</v>
      </c>
    </row>
    <row r="51" customFormat="false" ht="15" hidden="false" customHeight="false" outlineLevel="0" collapsed="false">
      <c r="A51" s="10" t="s">
        <v>137</v>
      </c>
      <c r="B51" s="43" t="str">
        <f aca="false">IF(AND(MAX($E$35:$E$37)&gt;MAX($H$28:$H$31),MAX($E$35:$E$37)&gt;MAX($E$41:$E$47)),"junction "&amp;INDEX($A$35:$A$37,MATCH(MAX($E$35:$E$37),$E$35:$E$37,0))&amp;" (minimum pressure)",IF(MAX($E$41:$E$47)&gt;=MAX($H$28:$H$31),"point on "&amp;INDEX($A$41:$A$47,MATCH(MAX($E$41:$E$47),$E$41:$E$47,0)),INDEX($A$28:$A$31,MATCH(MAX($H$28:$H$31),$H$28:$H$31,0))))</f>
        <v>TUNDUMA_ESR</v>
      </c>
      <c r="C51" s="10"/>
      <c r="D51" s="30" t="s">
        <v>300</v>
      </c>
    </row>
    <row r="52" customFormat="false" ht="15" hidden="false" customHeight="false" outlineLevel="0" collapsed="false">
      <c r="A52" s="10" t="s">
        <v>326</v>
      </c>
      <c r="B52" s="16" t="n">
        <f aca="false">$B$50-$B$5</f>
        <v>185.228389362017</v>
      </c>
      <c r="C52" s="10" t="s">
        <v>205</v>
      </c>
      <c r="D52" s="30" t="s">
        <v>327</v>
      </c>
    </row>
    <row r="53" customFormat="false" ht="15" hidden="false" customHeight="false" outlineLevel="0" collapsed="false">
      <c r="A53" s="10" t="s">
        <v>328</v>
      </c>
      <c r="B53" s="32" t="n">
        <f aca="false">$B$52+h_station</f>
        <v>188.228389362017</v>
      </c>
      <c r="C53" s="10" t="s">
        <v>205</v>
      </c>
      <c r="D53" s="30" t="s">
        <v>329</v>
      </c>
    </row>
    <row r="54" customFormat="false" ht="15" hidden="false" customHeight="false" outlineLevel="0" collapsed="false">
      <c r="A54" s="10" t="s">
        <v>330</v>
      </c>
      <c r="B54" s="32" t="n">
        <f aca="false">$B$50-$B$6+h_station</f>
        <v>184.228389362017</v>
      </c>
      <c r="C54" s="10" t="s">
        <v>205</v>
      </c>
      <c r="D54" s="30" t="s">
        <v>331</v>
      </c>
    </row>
    <row r="55" customFormat="false" ht="15" hidden="false" customHeight="false" outlineLevel="0" collapsed="false">
      <c r="A55" s="10" t="s">
        <v>332</v>
      </c>
      <c r="B55" s="40" t="n">
        <f aca="false">J18</f>
        <v>0.252525252525253</v>
      </c>
      <c r="C55" s="10" t="s">
        <v>333</v>
      </c>
      <c r="D55" s="30" t="s">
        <v>334</v>
      </c>
    </row>
    <row r="56" customFormat="false" ht="15" hidden="false" customHeight="false" outlineLevel="0" collapsed="false">
      <c r="A56" s="10" t="s">
        <v>335</v>
      </c>
      <c r="B56" s="40" t="n">
        <f aca="false">$B$55/$B$9</f>
        <v>0.126262626262626</v>
      </c>
      <c r="C56" s="10" t="s">
        <v>333</v>
      </c>
      <c r="D56" s="30"/>
    </row>
    <row r="57" customFormat="false" ht="15" hidden="false" customHeight="false" outlineLevel="0" collapsed="false">
      <c r="A57" s="10" t="s">
        <v>335</v>
      </c>
      <c r="B57" s="15" t="n">
        <f aca="false">$B$56*3600</f>
        <v>454.545454545455</v>
      </c>
      <c r="C57" s="10" t="s">
        <v>323</v>
      </c>
      <c r="D57" s="30" t="s">
        <v>336</v>
      </c>
    </row>
    <row r="58" customFormat="false" ht="15" hidden="false" customHeight="false" outlineLevel="0" collapsed="false">
      <c r="A58" s="10" t="s">
        <v>337</v>
      </c>
      <c r="B58" s="42" t="n">
        <f aca="false">1000*g*$B$56*$B$53/1000</f>
        <v>233.146527732498</v>
      </c>
      <c r="C58" s="10" t="s">
        <v>338</v>
      </c>
      <c r="D58" s="30"/>
    </row>
    <row r="59" customFormat="false" ht="15" hidden="false" customHeight="false" outlineLevel="0" collapsed="false">
      <c r="A59" s="10" t="s">
        <v>339</v>
      </c>
      <c r="B59" s="44" t="n">
        <f aca="false">$B$58/$B$11</f>
        <v>298.905804785254</v>
      </c>
      <c r="C59" s="10" t="s">
        <v>338</v>
      </c>
      <c r="D59" s="30"/>
    </row>
    <row r="60" customFormat="false" ht="15" hidden="false" customHeight="false" outlineLevel="0" collapsed="false">
      <c r="A60" s="10" t="s">
        <v>340</v>
      </c>
      <c r="B60" s="42" t="n">
        <f aca="false">$B$59*motor_margin</f>
        <v>343.741675503042</v>
      </c>
      <c r="C60" s="10" t="s">
        <v>338</v>
      </c>
      <c r="D60" s="30"/>
    </row>
    <row r="61" customFormat="false" ht="15" hidden="false" customHeight="false" outlineLevel="0" collapsed="false">
      <c r="A61" s="10" t="s">
        <v>341</v>
      </c>
      <c r="B61" s="44" t="n">
        <f aca="false">IFERROR(SMALL(Motor_list,COUNTIF(Motor_list,"&lt;"&amp;$B$60)+1),"&gt; list")</f>
        <v>355</v>
      </c>
      <c r="C61" s="10" t="s">
        <v>338</v>
      </c>
      <c r="D61" s="30" t="s">
        <v>342</v>
      </c>
    </row>
    <row r="62" customFormat="false" ht="15" hidden="false" customHeight="false" outlineLevel="0" collapsed="false">
      <c r="A62" s="10" t="s">
        <v>343</v>
      </c>
      <c r="B62" s="15" t="n">
        <f aca="false">$B$9*$B$59*$B$7/$B$12</f>
        <v>13844.058326896</v>
      </c>
      <c r="C62" s="10" t="s">
        <v>344</v>
      </c>
      <c r="D62" s="30"/>
    </row>
    <row r="63" customFormat="false" ht="15" hidden="false" customHeight="false" outlineLevel="0" collapsed="false">
      <c r="A63" s="10" t="s">
        <v>345</v>
      </c>
      <c r="B63" s="41" t="n">
        <f aca="false">$B$62/I18</f>
        <v>0.692202916344798</v>
      </c>
      <c r="C63" s="10" t="s">
        <v>346</v>
      </c>
      <c r="D63" s="30"/>
    </row>
    <row r="64" customFormat="false" ht="15" hidden="false" customHeight="false" outlineLevel="0" collapsed="false">
      <c r="A64" s="10" t="s">
        <v>347</v>
      </c>
      <c r="B64" s="15" t="n">
        <f aca="false">$B$62*365*tariff</f>
        <v>0</v>
      </c>
      <c r="C64" s="10" t="s">
        <v>348</v>
      </c>
      <c r="D64" s="30" t="s">
        <v>349</v>
      </c>
    </row>
    <row r="65" customFormat="false" ht="15" hidden="false" customHeight="false" outlineLevel="0" collapsed="false">
      <c r="A65" s="10" t="s">
        <v>350</v>
      </c>
      <c r="B65" s="45" t="n">
        <f aca="false">$B$53-$B$14</f>
        <v>-32.7716106379835</v>
      </c>
      <c r="C65" s="10" t="s">
        <v>205</v>
      </c>
      <c r="D65" s="30" t="s">
        <v>351</v>
      </c>
    </row>
    <row r="66" customFormat="false" ht="15" hidden="false" customHeight="false" outlineLevel="0" collapsed="false">
      <c r="A66" s="10" t="s">
        <v>305</v>
      </c>
      <c r="B66" s="42" t="n">
        <f aca="false">IF(COUNTIFS(Profile!$A$5:$A$2360,"Z6 Nkangamo-Uhuru",Profile!$L$5:$L$2360,"yes")=0,"no points between tanks",_xlfn.MINIFS(Profile!$H$5:$H$2360,Profile!$A$5:$A$2360,"Z6 Nkangamo-Uhuru",Profile!$L$5:$L$2360,"yes"))</f>
        <v>6.67274044521719</v>
      </c>
      <c r="C66" s="10" t="s">
        <v>205</v>
      </c>
      <c r="D66" s="30" t="s">
        <v>306</v>
      </c>
    </row>
    <row r="68" customFormat="false" ht="15" hidden="false" customHeight="false" outlineLevel="0" collapsed="false">
      <c r="A68" s="18" t="s">
        <v>307</v>
      </c>
      <c r="B68" s="18"/>
      <c r="C68" s="18"/>
      <c r="D68" s="18"/>
    </row>
    <row r="69" customFormat="false" ht="15" hidden="false" customHeight="false" outlineLevel="0" collapsed="false">
      <c r="A69" s="4" t="str">
        <f aca="false">"1. Flow: "&amp;TEXT(I18,"#,##0")&amp;" m³/d in "&amp;TEXT($B$7,"0")&amp;" h → Q = "&amp;TEXT(K18,"0.0")&amp;" l/s, V = "&amp;TEXT(M18,"0.00")&amp;" m/s in "&amp;A18&amp;"."</f>
        <v>1. Flow: 20,000 m³/d in 22 h → Q = 252.5 l/s, V = 0.89 m/s in BPS_RM_1.</v>
      </c>
    </row>
    <row r="70" customFormat="false" ht="15" hidden="false" customHeight="false" outlineLevel="0" collapsed="false">
      <c r="A70" s="4" t="str">
        <f aca="false">"2. Friction (Hazen-Williams): "&amp;A18&amp;" loses hL = "&amp;TEXT(P18,"0.00")&amp;" m over "&amp;TEXT(G18,"#,##0")&amp;" m ("&amp;TEXT(Q18,"0.00")&amp;" m/km)."</f>
        <v>2. Friction (Hazen-Williams): BPS_RM_1 loses hL = 30.50 m over 19,581 m (1.56 m/km).</v>
      </c>
    </row>
    <row r="71" customFormat="false" ht="15" hidden="false" customHeight="false" outlineLevel="0" collapsed="false">
      <c r="A71" s="4" t="str">
        <f aca="false">"3. Point 1 = NKANGAMO_BPS water surface at its MINIMUM level z1 = "&amp;TEXT($B$5,"0.00")&amp;" m (p = 0, V ≈ 0)."</f>
        <v>3. Point 1 = NKANGAMO_BPS water surface at its MINIMUM level z1 = 1553.00 m (p = 0, V ≈ 0).</v>
      </c>
    </row>
    <row r="72" customFormat="false" ht="15" hidden="false" customHeight="false" outlineLevel="0" collapsed="false">
      <c r="A72" s="4" t="str">
        <f aca="false">"4. Point 2: the hardest place to reach is "&amp;$B$51&amp;"; it needs the HGL at the zone start to be H_req = "&amp;TEXT($B$50,"0.00")&amp;" m (its level + residual + losses on the way)."</f>
        <v>4. Point 2: the hardest place to reach is TUNDUMA_ESR; it needs the HGL at the zone start to be H_req = 1738.23 m (its level + residual + losses on the way).</v>
      </c>
    </row>
    <row r="73" customFormat="false" ht="15" hidden="false" customHeight="false" outlineLevel="0" collapsed="false">
      <c r="A73" s="4" t="str">
        <f aca="false">"5. Bernoulli: z1 + Hp = H_req → Hp = "&amp;TEXT($B$50,"0.00")&amp;" − "&amp;TEXT($B$5,"0.00")&amp;" = "&amp;TEXT($B$52,"0.00")&amp;" m; + station losses "&amp;TEXT(h_station,"0.0")&amp;" m → TDH = "&amp;TEXT($B$53,"0.0")&amp;" m."</f>
        <v>5. Bernoulli: z1 + Hp = H_req → Hp = 1738.23 − 1553.00 = 185.23 m; + station losses 3.0 m → TDH = 188.2 m.</v>
      </c>
    </row>
    <row r="74" customFormat="false" ht="15" hidden="false" customHeight="false" outlineLevel="0" collapsed="false">
      <c r="A74" s="4" t="str">
        <f aca="false">"6. With the suction tank full (MAXIMUM level "&amp;TEXT($B$6,"0.00")&amp;" m) TDH falls to "&amp;TEXT($B$54,"0.0")&amp;" m: the pump must work between "&amp;TEXT($B$54,"0.0")&amp;" and "&amp;TEXT($B$53,"0.0")&amp;" m at "&amp;TEXT($B$57,"#,##0")&amp;" m³/h per pump."</f>
        <v>6. With the suction tank full (MAXIMUM level 1557.00 m) TDH falls to 184.2 m: the pump must work between 184.2 and 188.2 m at 455 m³/h per pump.</v>
      </c>
    </row>
    <row r="75" customFormat="false" ht="15" hidden="false" customHeight="false" outlineLevel="0" collapsed="false">
      <c r="A75" s="4" t="str">
        <f aca="false">"7. Power: P = ρgQH/η = "&amp;TEXT($B$59,"#,##0")&amp;" kW per pump → motor "&amp;TEXT($B$61,"#,##0")&amp;" kW; ER duty head "&amp;TEXT($B$14,"0")&amp;" m (difference "&amp;TEXT($B$65,"+0.0;-0.0")&amp;" m)."</f>
        <v>7. Power: P = ρgQH/η = 299 kW per pump → motor 355 kW; ER duty head 221 m (difference -32.8 m).</v>
      </c>
    </row>
    <row r="76" customFormat="false" ht="15" hidden="false" customHeight="false" outlineLevel="0" collapsed="false">
      <c r="A76" s="4" t="str">
        <f aca="false">"8. Pressure: lowest pressure along the route = "&amp;TEXT($B$66,"0.0")&amp;" m (minimum allowed "&amp;TEXT(p_min,"0")&amp;" m); pipe class from section D and sheet Profile."</f>
        <v>8. Pressure: lowest pressure along the route = 6.7 m (minimum allowed 2 m); pipe class from section D and sheet Profile.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21" min="18" style="0" width="12"/>
  </cols>
  <sheetData>
    <row r="1" customFormat="false" ht="17.35" hidden="false" customHeight="false" outlineLevel="0" collapsed="false">
      <c r="A1" s="1" t="s">
        <v>389</v>
      </c>
    </row>
    <row r="2" customFormat="false" ht="15" hidden="false" customHeight="false" outlineLevel="0" collapsed="false">
      <c r="A2" s="36" t="s">
        <v>390</v>
      </c>
    </row>
    <row r="4" customFormat="false" ht="15" hidden="false" customHeight="false" outlineLevel="0" collapsed="false">
      <c r="A4" s="18" t="s">
        <v>239</v>
      </c>
      <c r="B4" s="18"/>
      <c r="C4" s="18"/>
      <c r="D4" s="18"/>
    </row>
    <row r="5" customFormat="false" ht="15" hidden="false" customHeight="false" outlineLevel="0" collapsed="false">
      <c r="A5" s="10" t="s">
        <v>391</v>
      </c>
      <c r="B5" s="21" t="n">
        <f aca="false">Levels!$F$11</f>
        <v>1697.6</v>
      </c>
      <c r="C5" s="10" t="s">
        <v>241</v>
      </c>
      <c r="D5" s="30" t="s">
        <v>242</v>
      </c>
    </row>
    <row r="6" customFormat="false" ht="15" hidden="false" customHeight="false" outlineLevel="0" collapsed="false">
      <c r="A6" s="10" t="s">
        <v>392</v>
      </c>
      <c r="B6" s="21" t="n">
        <f aca="false">Levels!$G$11</f>
        <v>1702.3</v>
      </c>
      <c r="C6" s="10" t="s">
        <v>241</v>
      </c>
      <c r="D6" s="30" t="s">
        <v>244</v>
      </c>
    </row>
    <row r="7" customFormat="false" ht="15" hidden="false" customHeight="false" outlineLevel="0" collapsed="false">
      <c r="A7" s="10" t="s">
        <v>245</v>
      </c>
      <c r="B7" s="37" t="n">
        <v>24</v>
      </c>
      <c r="C7" s="10" t="s">
        <v>246</v>
      </c>
      <c r="D7" s="30" t="s">
        <v>312</v>
      </c>
    </row>
    <row r="8" customFormat="false" ht="15" hidden="false" customHeight="false" outlineLevel="0" collapsed="false">
      <c r="A8" s="10" t="s">
        <v>248</v>
      </c>
      <c r="B8" s="16" t="n">
        <f aca="false">$B$6</f>
        <v>1702.3</v>
      </c>
      <c r="C8" s="10" t="s">
        <v>241</v>
      </c>
      <c r="D8" s="30" t="s">
        <v>249</v>
      </c>
    </row>
    <row r="10" customFormat="false" ht="15" hidden="false" customHeight="false" outlineLevel="0" collapsed="false">
      <c r="A10" s="18" t="s">
        <v>250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customFormat="false" ht="42" hidden="false" customHeight="true" outlineLevel="0" collapsed="false">
      <c r="A11" s="8" t="s">
        <v>251</v>
      </c>
      <c r="B11" s="8" t="s">
        <v>252</v>
      </c>
      <c r="C11" s="8" t="s">
        <v>253</v>
      </c>
      <c r="D11" s="8" t="s">
        <v>254</v>
      </c>
      <c r="E11" s="8" t="s">
        <v>255</v>
      </c>
      <c r="F11" s="8" t="s">
        <v>256</v>
      </c>
      <c r="G11" s="8" t="s">
        <v>257</v>
      </c>
      <c r="H11" s="8" t="s">
        <v>258</v>
      </c>
      <c r="I11" s="8" t="s">
        <v>259</v>
      </c>
      <c r="J11" s="8" t="s">
        <v>260</v>
      </c>
      <c r="K11" s="8" t="s">
        <v>261</v>
      </c>
      <c r="L11" s="8" t="s">
        <v>262</v>
      </c>
      <c r="M11" s="8" t="s">
        <v>263</v>
      </c>
      <c r="N11" s="8" t="s">
        <v>264</v>
      </c>
      <c r="O11" s="8" t="s">
        <v>265</v>
      </c>
      <c r="P11" s="8" t="s">
        <v>266</v>
      </c>
      <c r="Q11" s="8" t="s">
        <v>267</v>
      </c>
      <c r="R11" s="8" t="s">
        <v>268</v>
      </c>
      <c r="S11" s="8" t="s">
        <v>269</v>
      </c>
      <c r="T11" s="8" t="s">
        <v>270</v>
      </c>
      <c r="U11" s="8" t="s">
        <v>271</v>
      </c>
    </row>
    <row r="12" customFormat="false" ht="15" hidden="false" customHeight="false" outlineLevel="0" collapsed="false">
      <c r="A12" s="9" t="s">
        <v>393</v>
      </c>
      <c r="B12" s="10" t="s">
        <v>105</v>
      </c>
      <c r="C12" s="10" t="s">
        <v>394</v>
      </c>
      <c r="D12" s="10" t="s">
        <v>149</v>
      </c>
      <c r="E12" s="34" t="n">
        <v>150</v>
      </c>
      <c r="F12" s="38" t="n">
        <f aca="false">E12</f>
        <v>150</v>
      </c>
      <c r="G12" s="39" t="n">
        <v>1563.5</v>
      </c>
      <c r="H12" s="34" t="n">
        <f aca="false">C_default</f>
        <v>120</v>
      </c>
      <c r="I12" s="19" t="n">
        <f aca="false">Demands!$B$16</f>
        <v>1244.2</v>
      </c>
      <c r="J12" s="40" t="n">
        <f aca="false">I12/($B$7*3600)</f>
        <v>0.014400462962963</v>
      </c>
      <c r="K12" s="38" t="n">
        <f aca="false">J12*1000</f>
        <v>14.400462962963</v>
      </c>
      <c r="L12" s="40" t="n">
        <f aca="false">PI()*(F12/1000)^2/4</f>
        <v>0.0176714586764426</v>
      </c>
      <c r="M12" s="41" t="n">
        <f aca="false">J12/L12</f>
        <v>0.814899506975046</v>
      </c>
      <c r="N12" s="14" t="n">
        <f aca="false">10.67*G12*J12^1.852/(H12^1.852*(F12/1000)^4.8704)</f>
        <v>9.41232604900852</v>
      </c>
      <c r="O12" s="14" t="n">
        <f aca="false">k_minor*N12</f>
        <v>0.941232604900852</v>
      </c>
      <c r="P12" s="14" t="n">
        <f aca="false">N12+O12</f>
        <v>10.3535586539094</v>
      </c>
      <c r="Q12" s="14" t="n">
        <f aca="false">P12/G12*1000</f>
        <v>6.62203943326471</v>
      </c>
      <c r="R12" s="14" t="n">
        <v>0</v>
      </c>
      <c r="S12" s="16" t="n">
        <f aca="false">$B$5-R12</f>
        <v>1697.6</v>
      </c>
      <c r="T12" s="16" t="n">
        <f aca="false">S12-P12</f>
        <v>1687.24644134609</v>
      </c>
      <c r="U12" s="38" t="n">
        <f aca="false">wave*M12/g</f>
        <v>83.0682473980679</v>
      </c>
    </row>
    <row r="13" customFormat="false" ht="15" hidden="false" customHeight="false" outlineLevel="0" collapsed="false">
      <c r="A13" s="9" t="s">
        <v>395</v>
      </c>
      <c r="B13" s="10" t="s">
        <v>394</v>
      </c>
      <c r="C13" s="10" t="s">
        <v>117</v>
      </c>
      <c r="D13" s="10" t="s">
        <v>393</v>
      </c>
      <c r="E13" s="34" t="n">
        <v>100</v>
      </c>
      <c r="F13" s="38" t="n">
        <f aca="false">E13</f>
        <v>100</v>
      </c>
      <c r="G13" s="39" t="n">
        <v>494</v>
      </c>
      <c r="H13" s="34" t="n">
        <f aca="false">C_default</f>
        <v>120</v>
      </c>
      <c r="I13" s="19" t="n">
        <f aca="false">Demands!$B$14</f>
        <v>622.1</v>
      </c>
      <c r="J13" s="40" t="n">
        <f aca="false">I13/($B$7*3600)</f>
        <v>0.00720023148148148</v>
      </c>
      <c r="K13" s="38" t="n">
        <f aca="false">J13*1000</f>
        <v>7.20023148148148</v>
      </c>
      <c r="L13" s="40" t="n">
        <f aca="false">PI()*(F13/1000)^2/4</f>
        <v>0.00785398163397448</v>
      </c>
      <c r="M13" s="41" t="n">
        <f aca="false">J13/L13</f>
        <v>0.916761945346927</v>
      </c>
      <c r="N13" s="14" t="n">
        <f aca="false">10.67*G13*J13^1.852/(H13^1.852*(F13/1000)^4.8704)</f>
        <v>5.93544578549608</v>
      </c>
      <c r="O13" s="14" t="n">
        <f aca="false">k_minor*N13</f>
        <v>0.593544578549608</v>
      </c>
      <c r="P13" s="14" t="n">
        <f aca="false">N13+O13</f>
        <v>6.52899036404568</v>
      </c>
      <c r="Q13" s="14" t="n">
        <f aca="false">P13/G13*1000</f>
        <v>13.216579684303</v>
      </c>
      <c r="R13" s="14" t="n">
        <f aca="false">R12+P12</f>
        <v>10.3535586539094</v>
      </c>
      <c r="S13" s="16" t="n">
        <f aca="false">$B$5-R13</f>
        <v>1687.24644134609</v>
      </c>
      <c r="T13" s="16" t="n">
        <f aca="false">S13-P13</f>
        <v>1680.71745098204</v>
      </c>
      <c r="U13" s="38" t="n">
        <f aca="false">wave*M13/g</f>
        <v>93.4517783228264</v>
      </c>
    </row>
    <row r="14" customFormat="false" ht="15" hidden="false" customHeight="false" outlineLevel="0" collapsed="false">
      <c r="A14" s="9" t="s">
        <v>396</v>
      </c>
      <c r="B14" s="10" t="s">
        <v>394</v>
      </c>
      <c r="C14" s="10" t="s">
        <v>121</v>
      </c>
      <c r="D14" s="10" t="s">
        <v>393</v>
      </c>
      <c r="E14" s="34" t="n">
        <v>100</v>
      </c>
      <c r="F14" s="38" t="n">
        <f aca="false">E14</f>
        <v>100</v>
      </c>
      <c r="G14" s="39" t="n">
        <v>2790.5</v>
      </c>
      <c r="H14" s="34" t="n">
        <f aca="false">C_default</f>
        <v>120</v>
      </c>
      <c r="I14" s="19" t="n">
        <f aca="false">Demands!$B$15</f>
        <v>622.1</v>
      </c>
      <c r="J14" s="40" t="n">
        <f aca="false">I14/($B$7*3600)</f>
        <v>0.00720023148148148</v>
      </c>
      <c r="K14" s="38" t="n">
        <f aca="false">J14*1000</f>
        <v>7.20023148148148</v>
      </c>
      <c r="L14" s="40" t="n">
        <f aca="false">PI()*(F14/1000)^2/4</f>
        <v>0.00785398163397448</v>
      </c>
      <c r="M14" s="41" t="n">
        <f aca="false">J14/L14</f>
        <v>0.916761945346927</v>
      </c>
      <c r="N14" s="14" t="n">
        <f aca="false">10.67*G14*J14^1.852/(H14^1.852*(F14/1000)^4.8704)</f>
        <v>33.5280596445887</v>
      </c>
      <c r="O14" s="14" t="n">
        <f aca="false">k_minor*N14</f>
        <v>3.35280596445887</v>
      </c>
      <c r="P14" s="14" t="n">
        <f aca="false">N14+O14</f>
        <v>36.8808656090475</v>
      </c>
      <c r="Q14" s="14" t="n">
        <f aca="false">P14/G14*1000</f>
        <v>13.216579684303</v>
      </c>
      <c r="R14" s="14" t="n">
        <f aca="false">R12+P12</f>
        <v>10.3535586539094</v>
      </c>
      <c r="S14" s="16" t="n">
        <f aca="false">$B$5-R14</f>
        <v>1687.24644134609</v>
      </c>
      <c r="T14" s="16" t="n">
        <f aca="false">S14-P14</f>
        <v>1650.36557573704</v>
      </c>
      <c r="U14" s="38" t="n">
        <f aca="false">wave*M14/g</f>
        <v>93.4517783228264</v>
      </c>
    </row>
    <row r="16" customFormat="false" ht="15" hidden="false" customHeight="false" outlineLevel="0" collapsed="false">
      <c r="A16" s="18" t="s">
        <v>273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customFormat="false" ht="42" hidden="false" customHeight="true" outlineLevel="0" collapsed="false">
      <c r="A17" s="8" t="s">
        <v>274</v>
      </c>
      <c r="B17" s="8" t="s">
        <v>275</v>
      </c>
      <c r="C17" s="8" t="s">
        <v>155</v>
      </c>
      <c r="D17" s="8" t="s">
        <v>156</v>
      </c>
      <c r="E17" s="8" t="s">
        <v>157</v>
      </c>
      <c r="F17" s="8" t="s">
        <v>276</v>
      </c>
      <c r="G17" s="8" t="s">
        <v>277</v>
      </c>
      <c r="H17" s="8" t="s">
        <v>278</v>
      </c>
      <c r="I17" s="8" t="s">
        <v>279</v>
      </c>
      <c r="J17" s="8" t="s">
        <v>280</v>
      </c>
      <c r="K17" s="8" t="s">
        <v>281</v>
      </c>
      <c r="L17" s="8" t="s">
        <v>282</v>
      </c>
    </row>
    <row r="18" customFormat="false" ht="15" hidden="false" customHeight="false" outlineLevel="0" collapsed="false">
      <c r="A18" s="9" t="s">
        <v>117</v>
      </c>
      <c r="B18" s="10" t="s">
        <v>395</v>
      </c>
      <c r="C18" s="21" t="n">
        <f aca="false">Levels!$F$15</f>
        <v>1655.7</v>
      </c>
      <c r="D18" s="21" t="n">
        <f aca="false">Levels!$G$15</f>
        <v>1658.7</v>
      </c>
      <c r="E18" s="21" t="n">
        <f aca="false">Levels!$L$15</f>
        <v>1658.7</v>
      </c>
      <c r="F18" s="33" t="n">
        <f aca="false">h_res</f>
        <v>1</v>
      </c>
      <c r="G18" s="16" t="n">
        <f aca="false">E18+F18</f>
        <v>1659.7</v>
      </c>
      <c r="H18" s="16" t="n">
        <f aca="false">G18+R13+P13</f>
        <v>1676.58254901796</v>
      </c>
      <c r="I18" s="16" t="n">
        <f aca="false">T13</f>
        <v>1680.71745098204</v>
      </c>
      <c r="J18" s="16" t="n">
        <f aca="false">I18-G18</f>
        <v>21.0174509820447</v>
      </c>
      <c r="K18" s="16" t="n">
        <f aca="false">J18+($B$6-$B$5)</f>
        <v>25.7174509820447</v>
      </c>
      <c r="L18" s="10" t="str">
        <f aca="false">IF(J18&lt;-0.005,"NOT REACHED – more head needed",IF(K18&gt;fcv_limit,"fit flow control valve / PRV (burns "&amp;TEXT(J18,"0.0")&amp;"–"&amp;TEXT(K18,"0.0")&amp;" m)","OK"))</f>
        <v>fit flow control valve / PRV (burns 21.0–25.7 m)</v>
      </c>
    </row>
    <row r="19" customFormat="false" ht="15" hidden="false" customHeight="false" outlineLevel="0" collapsed="false">
      <c r="A19" s="9" t="s">
        <v>121</v>
      </c>
      <c r="B19" s="10" t="s">
        <v>396</v>
      </c>
      <c r="C19" s="21" t="n">
        <f aca="false">Levels!$F$16</f>
        <v>1521.4</v>
      </c>
      <c r="D19" s="21" t="n">
        <f aca="false">Levels!$G$16</f>
        <v>1524.4</v>
      </c>
      <c r="E19" s="21" t="n">
        <f aca="false">Levels!$L$16</f>
        <v>1524.4</v>
      </c>
      <c r="F19" s="33" t="n">
        <f aca="false">h_res</f>
        <v>1</v>
      </c>
      <c r="G19" s="16" t="n">
        <f aca="false">E19+F19</f>
        <v>1525.4</v>
      </c>
      <c r="H19" s="16" t="n">
        <f aca="false">G19+R14+P14</f>
        <v>1572.63442426296</v>
      </c>
      <c r="I19" s="16" t="n">
        <f aca="false">T14</f>
        <v>1650.36557573704</v>
      </c>
      <c r="J19" s="16" t="n">
        <f aca="false">I19-G19</f>
        <v>124.965575737043</v>
      </c>
      <c r="K19" s="16" t="n">
        <f aca="false">J19+($B$6-$B$5)</f>
        <v>129.665575737043</v>
      </c>
      <c r="L19" s="10" t="str">
        <f aca="false">IF(J19&lt;-0.005,"NOT REACHED – more head needed",IF(K19&gt;fcv_limit,"fit flow control valve / PRV (burns "&amp;TEXT(J19,"0.0")&amp;"–"&amp;TEXT(K19,"0.0")&amp;" m)","OK"))</f>
        <v>fit flow control valve / PRV (burns 125.0–129.7 m)</v>
      </c>
    </row>
    <row r="21" customFormat="false" ht="15" hidden="false" customHeight="false" outlineLevel="0" collapsed="false">
      <c r="A21" s="18" t="s">
        <v>383</v>
      </c>
      <c r="B21" s="18"/>
      <c r="C21" s="18"/>
      <c r="D21" s="18"/>
      <c r="E21" s="18"/>
      <c r="F21" s="18"/>
      <c r="G21" s="18"/>
      <c r="H21" s="18"/>
    </row>
    <row r="22" customFormat="false" ht="42" hidden="false" customHeight="true" outlineLevel="0" collapsed="false">
      <c r="A22" s="8" t="s">
        <v>384</v>
      </c>
      <c r="B22" s="8" t="s">
        <v>385</v>
      </c>
      <c r="C22" s="8" t="s">
        <v>75</v>
      </c>
      <c r="D22" s="8" t="s">
        <v>386</v>
      </c>
      <c r="E22" s="8" t="s">
        <v>387</v>
      </c>
      <c r="F22" s="8" t="s">
        <v>388</v>
      </c>
      <c r="G22" s="8" t="s">
        <v>288</v>
      </c>
      <c r="H22" s="8" t="s">
        <v>295</v>
      </c>
    </row>
    <row r="23" customFormat="false" ht="15" hidden="false" customHeight="false" outlineLevel="0" collapsed="false">
      <c r="A23" s="9" t="s">
        <v>394</v>
      </c>
      <c r="B23" s="10" t="s">
        <v>393</v>
      </c>
      <c r="C23" s="12" t="n">
        <v>1630.08</v>
      </c>
      <c r="D23" s="37" t="n">
        <f aca="false">p_min_j</f>
        <v>5</v>
      </c>
      <c r="E23" s="16" t="n">
        <f aca="false">C23+D23+R12+P12</f>
        <v>1645.43355865391</v>
      </c>
      <c r="F23" s="16" t="n">
        <f aca="false">T12</f>
        <v>1687.24644134609</v>
      </c>
      <c r="G23" s="42" t="n">
        <f aca="false">F23-C23</f>
        <v>57.1664413460906</v>
      </c>
      <c r="H23" s="10" t="str">
        <f aca="false">IF(G23&lt;D23-0.005,"below minimum","OK")</f>
        <v>OK</v>
      </c>
    </row>
    <row r="25" customFormat="false" ht="15" hidden="false" customHeight="false" outlineLevel="0" collapsed="false">
      <c r="A25" s="18" t="s">
        <v>283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customFormat="false" ht="42" hidden="false" customHeight="true" outlineLevel="0" collapsed="false">
      <c r="A26" s="8" t="s">
        <v>251</v>
      </c>
      <c r="B26" s="8" t="s">
        <v>284</v>
      </c>
      <c r="C26" s="8" t="s">
        <v>75</v>
      </c>
      <c r="D26" s="8" t="s">
        <v>285</v>
      </c>
      <c r="E26" s="8" t="s">
        <v>286</v>
      </c>
      <c r="F26" s="8" t="s">
        <v>287</v>
      </c>
      <c r="G26" s="8" t="s">
        <v>288</v>
      </c>
      <c r="H26" s="8" t="s">
        <v>289</v>
      </c>
      <c r="I26" s="8" t="s">
        <v>290</v>
      </c>
      <c r="J26" s="8" t="s">
        <v>291</v>
      </c>
      <c r="K26" s="8" t="s">
        <v>292</v>
      </c>
      <c r="L26" s="8" t="s">
        <v>293</v>
      </c>
      <c r="M26" s="8" t="s">
        <v>294</v>
      </c>
      <c r="N26" s="8" t="s">
        <v>295</v>
      </c>
    </row>
    <row r="27" customFormat="false" ht="15" hidden="false" customHeight="false" outlineLevel="0" collapsed="false">
      <c r="A27" s="17" t="s">
        <v>393</v>
      </c>
      <c r="B27" s="39" t="n">
        <v>179.3</v>
      </c>
      <c r="C27" s="12" t="n">
        <v>1699.52</v>
      </c>
      <c r="D27" s="16" t="n">
        <f aca="false">IF($A27="","",C27-cover)</f>
        <v>1698.32</v>
      </c>
      <c r="E27" s="16" t="n">
        <f aca="false">IF($A27="","",D27+p_min+INDEX($R$12:$R$14,MATCH($A27,$A$12:$A$14,0))+INDEX($P$12:$P$14,MATCH($A27,$A$12:$A$14,0))*B27/INDEX($G$12:$G$14,MATCH($A27,$A$12:$A$14,0)))</f>
        <v>1701.50733167038</v>
      </c>
      <c r="F27" s="16" t="n">
        <f aca="false">IF($A27="","",INDEX($S$12:$S$14,MATCH($A27,$A$12:$A$14,0))-INDEX($P$12:$P$14,MATCH($A27,$A$12:$A$14,0))*B27/INDEX($G$12:$G$14,MATCH($A27,$A$12:$A$14,0)))</f>
        <v>1696.41266832962</v>
      </c>
      <c r="G27" s="42" t="n">
        <f aca="false">IF($A27="","",F27-D27)</f>
        <v>-1.90733167038434</v>
      </c>
      <c r="H27" s="42" t="n">
        <f aca="false">IF($A27="","",$B$8-D27)</f>
        <v>3.98000000000002</v>
      </c>
      <c r="I27" s="42" t="n">
        <f aca="false">IF($A27="","",MAX(G27,H27))</f>
        <v>3.98000000000002</v>
      </c>
      <c r="J27" s="38" t="n">
        <f aca="false">IF($A27="","",I27*bar_per_m)</f>
        <v>0.390438000000002</v>
      </c>
      <c r="K27" s="10" t="str">
        <f aca="false">IF($A27="","",IFERROR("PN"&amp;SMALL(PN_list,COUNTIF(PN_list,"&lt;"&amp;J27)+1),"&gt; max PN"))</f>
        <v>PN10</v>
      </c>
      <c r="L27" s="42" t="n">
        <f aca="false">IF($A27="","",G27-INDEX($U$12:$U$14,MATCH($A27,$A$12:$A$14,0)))</f>
        <v>-84.9755790684522</v>
      </c>
      <c r="M27" s="11" t="s">
        <v>357</v>
      </c>
      <c r="N27" s="10" t="str">
        <f aca="false">IF($A27="","",IF(G27&lt;0,"NEGATIVE PRESSURE",IF(G27&lt;p_min-0.005,"below minimum","OK")))</f>
        <v>NEGATIVE PRESSURE</v>
      </c>
    </row>
    <row r="28" customFormat="false" ht="15" hidden="false" customHeight="false" outlineLevel="0" collapsed="false">
      <c r="A28" s="17" t="s">
        <v>393</v>
      </c>
      <c r="B28" s="39" t="n">
        <v>1514.5</v>
      </c>
      <c r="C28" s="12" t="n">
        <v>1633.93</v>
      </c>
      <c r="D28" s="16" t="n">
        <f aca="false">IF($A28="","",C28-cover)</f>
        <v>1632.73</v>
      </c>
      <c r="E28" s="16" t="n">
        <f aca="false">IF($A28="","",D28+p_min+INDEX($R$12:$R$14,MATCH($A28,$A$12:$A$14,0))+INDEX($P$12:$P$14,MATCH($A28,$A$12:$A$14,0))*B28/INDEX($G$12:$G$14,MATCH($A28,$A$12:$A$14,0)))</f>
        <v>1644.75907872168</v>
      </c>
      <c r="F28" s="16" t="n">
        <f aca="false">IF($A28="","",INDEX($S$12:$S$14,MATCH($A28,$A$12:$A$14,0))-INDEX($P$12:$P$14,MATCH($A28,$A$12:$A$14,0))*B28/INDEX($G$12:$G$14,MATCH($A28,$A$12:$A$14,0)))</f>
        <v>1687.57092127832</v>
      </c>
      <c r="G28" s="42" t="n">
        <f aca="false">IF($A28="","",F28-D28)</f>
        <v>54.8409212783206</v>
      </c>
      <c r="H28" s="42" t="n">
        <f aca="false">IF($A28="","",$B$8-D28)</f>
        <v>69.5699999999999</v>
      </c>
      <c r="I28" s="42" t="n">
        <f aca="false">IF($A28="","",MAX(G28,H28))</f>
        <v>69.5699999999999</v>
      </c>
      <c r="J28" s="38" t="n">
        <f aca="false">IF($A28="","",I28*bar_per_m)</f>
        <v>6.82481699999999</v>
      </c>
      <c r="K28" s="10" t="str">
        <f aca="false">IF($A28="","",IFERROR("PN"&amp;SMALL(PN_list,COUNTIF(PN_list,"&lt;"&amp;J28)+1),"&gt; max PN"))</f>
        <v>PN10</v>
      </c>
      <c r="L28" s="42" t="n">
        <f aca="false">IF($A28="","",G28-INDEX($U$12:$U$14,MATCH($A28,$A$12:$A$14,0)))</f>
        <v>-28.2273261197473</v>
      </c>
      <c r="M28" s="11" t="s">
        <v>358</v>
      </c>
      <c r="N28" s="10" t="str">
        <f aca="false">IF($A28="","",IF(G28&lt;0,"NEGATIVE PRESSURE",IF(G28&lt;p_min-0.005,"below minimum","OK")))</f>
        <v>OK</v>
      </c>
    </row>
    <row r="29" customFormat="false" ht="15" hidden="false" customHeight="false" outlineLevel="0" collapsed="false">
      <c r="A29" s="17" t="s">
        <v>396</v>
      </c>
      <c r="B29" s="39" t="n">
        <v>0</v>
      </c>
      <c r="C29" s="12" t="n">
        <v>1630.08</v>
      </c>
      <c r="D29" s="16" t="n">
        <f aca="false">IF($A29="","",C29-cover)</f>
        <v>1628.88</v>
      </c>
      <c r="E29" s="16" t="n">
        <f aca="false">IF($A29="","",D29+p_min+INDEX($R$12:$R$14,MATCH($A29,$A$12:$A$14,0))+INDEX($P$12:$P$14,MATCH($A29,$A$12:$A$14,0))*B29/INDEX($G$12:$G$14,MATCH($A29,$A$12:$A$14,0)))</f>
        <v>1641.23355865391</v>
      </c>
      <c r="F29" s="16" t="n">
        <f aca="false">IF($A29="","",INDEX($S$12:$S$14,MATCH($A29,$A$12:$A$14,0))-INDEX($P$12:$P$14,MATCH($A29,$A$12:$A$14,0))*B29/INDEX($G$12:$G$14,MATCH($A29,$A$12:$A$14,0)))</f>
        <v>1687.24644134609</v>
      </c>
      <c r="G29" s="42" t="n">
        <f aca="false">IF($A29="","",F29-D29)</f>
        <v>58.3664413460906</v>
      </c>
      <c r="H29" s="42" t="n">
        <f aca="false">IF($A29="","",$B$8-D29)</f>
        <v>73.4200000000001</v>
      </c>
      <c r="I29" s="42" t="n">
        <f aca="false">IF($A29="","",MAX(G29,H29))</f>
        <v>73.4200000000001</v>
      </c>
      <c r="J29" s="38" t="n">
        <f aca="false">IF($A29="","",I29*bar_per_m)</f>
        <v>7.20250200000001</v>
      </c>
      <c r="K29" s="10" t="str">
        <f aca="false">IF($A29="","",IFERROR("PN"&amp;SMALL(PN_list,COUNTIF(PN_list,"&lt;"&amp;J29)+1),"&gt; max PN"))</f>
        <v>PN10</v>
      </c>
      <c r="L29" s="42" t="n">
        <f aca="false">IF($A29="","",G29-INDEX($U$12:$U$14,MATCH($A29,$A$12:$A$14,0)))</f>
        <v>-35.0853369767358</v>
      </c>
      <c r="M29" s="11" t="s">
        <v>397</v>
      </c>
      <c r="N29" s="10" t="str">
        <f aca="false">IF($A29="","",IF(G29&lt;0,"NEGATIVE PRESSURE",IF(G29&lt;p_min-0.005,"below minimum","OK")))</f>
        <v>OK</v>
      </c>
    </row>
    <row r="30" customFormat="false" ht="15" hidden="false" customHeight="false" outlineLevel="0" collapsed="false">
      <c r="A30" s="17" t="s">
        <v>396</v>
      </c>
      <c r="B30" s="39" t="n">
        <v>50</v>
      </c>
      <c r="C30" s="12" t="n">
        <v>1628.93</v>
      </c>
      <c r="D30" s="16" t="n">
        <f aca="false">IF($A30="","",C30-cover)</f>
        <v>1627.73</v>
      </c>
      <c r="E30" s="16" t="n">
        <f aca="false">IF($A30="","",D30+p_min+INDEX($R$12:$R$14,MATCH($A30,$A$12:$A$14,0))+INDEX($P$12:$P$14,MATCH($A30,$A$12:$A$14,0))*B30/INDEX($G$12:$G$14,MATCH($A30,$A$12:$A$14,0)))</f>
        <v>1640.74438763812</v>
      </c>
      <c r="F30" s="16" t="n">
        <f aca="false">IF($A30="","",INDEX($S$12:$S$14,MATCH($A30,$A$12:$A$14,0))-INDEX($P$12:$P$14,MATCH($A30,$A$12:$A$14,0))*B30/INDEX($G$12:$G$14,MATCH($A30,$A$12:$A$14,0)))</f>
        <v>1686.58561236188</v>
      </c>
      <c r="G30" s="42" t="n">
        <f aca="false">IF($A30="","",F30-D30)</f>
        <v>58.8556123618753</v>
      </c>
      <c r="H30" s="42" t="n">
        <f aca="false">IF($A30="","",$B$8-D30)</f>
        <v>74.5699999999999</v>
      </c>
      <c r="I30" s="42" t="n">
        <f aca="false">IF($A30="","",MAX(G30,H30))</f>
        <v>74.5699999999999</v>
      </c>
      <c r="J30" s="38" t="n">
        <f aca="false">IF($A30="","",I30*bar_per_m)</f>
        <v>7.31531699999999</v>
      </c>
      <c r="K30" s="10" t="str">
        <f aca="false">IF($A30="","",IFERROR("PN"&amp;SMALL(PN_list,COUNTIF(PN_list,"&lt;"&amp;J30)+1),"&gt; max PN"))</f>
        <v>PN10</v>
      </c>
      <c r="L30" s="42" t="n">
        <f aca="false">IF($A30="","",G30-INDEX($U$12:$U$14,MATCH($A30,$A$12:$A$14,0)))</f>
        <v>-34.5961659609511</v>
      </c>
      <c r="M30" s="11" t="s">
        <v>357</v>
      </c>
      <c r="N30" s="10" t="str">
        <f aca="false">IF($A30="","",IF(G30&lt;0,"NEGATIVE PRESSURE",IF(G30&lt;p_min-0.005,"below minimum","OK")))</f>
        <v>OK</v>
      </c>
    </row>
    <row r="31" customFormat="false" ht="15" hidden="false" customHeight="false" outlineLevel="0" collapsed="false">
      <c r="A31" s="17" t="s">
        <v>396</v>
      </c>
      <c r="B31" s="39" t="n">
        <v>2781.8</v>
      </c>
      <c r="C31" s="12" t="n">
        <v>1523.93</v>
      </c>
      <c r="D31" s="16" t="n">
        <f aca="false">IF($A31="","",C31-cover)</f>
        <v>1522.73</v>
      </c>
      <c r="E31" s="16" t="n">
        <f aca="false">IF($A31="","",D31+p_min+INDEX($R$12:$R$14,MATCH($A31,$A$12:$A$14,0))+INDEX($P$12:$P$14,MATCH($A31,$A$12:$A$14,0))*B31/INDEX($G$12:$G$14,MATCH($A31,$A$12:$A$14,0)))</f>
        <v>1571.8494400197</v>
      </c>
      <c r="F31" s="16" t="n">
        <f aca="false">IF($A31="","",INDEX($S$12:$S$14,MATCH($A31,$A$12:$A$14,0))-INDEX($P$12:$P$14,MATCH($A31,$A$12:$A$14,0))*B31/INDEX($G$12:$G$14,MATCH($A31,$A$12:$A$14,0)))</f>
        <v>1650.4805599803</v>
      </c>
      <c r="G31" s="42" t="n">
        <f aca="false">IF($A31="","",F31-D31)</f>
        <v>127.750559980296</v>
      </c>
      <c r="H31" s="42" t="n">
        <f aca="false">IF($A31="","",$B$8-D31)</f>
        <v>179.57</v>
      </c>
      <c r="I31" s="42" t="n">
        <f aca="false">IF($A31="","",MAX(G31,H31))</f>
        <v>179.57</v>
      </c>
      <c r="J31" s="38" t="n">
        <f aca="false">IF($A31="","",I31*bar_per_m)</f>
        <v>17.615817</v>
      </c>
      <c r="K31" s="10" t="str">
        <f aca="false">IF($A31="","",IFERROR("PN"&amp;SMALL(PN_list,COUNTIF(PN_list,"&lt;"&amp;J31)+1),"&gt; max PN"))</f>
        <v>PN25</v>
      </c>
      <c r="L31" s="42" t="n">
        <f aca="false">IF($A31="","",G31-INDEX($U$12:$U$14,MATCH($A31,$A$12:$A$14,0)))</f>
        <v>34.29878165747</v>
      </c>
      <c r="M31" s="11" t="s">
        <v>358</v>
      </c>
      <c r="N31" s="10" t="str">
        <f aca="false">IF($A31="","",IF(G31&lt;0,"NEGATIVE PRESSURE",IF(G31&lt;p_min-0.005,"below minimum","OK")))</f>
        <v>OK</v>
      </c>
    </row>
    <row r="32" customFormat="false" ht="15" hidden="false" customHeight="false" outlineLevel="0" collapsed="false">
      <c r="A32" s="17"/>
      <c r="B32" s="17"/>
      <c r="C32" s="17"/>
      <c r="D32" s="16" t="str">
        <f aca="false">IF($A32="","",C32-cover)</f>
        <v/>
      </c>
      <c r="E32" s="16" t="str">
        <f aca="false">IF($A32="","",D32+p_min+INDEX($R$12:$R$14,MATCH($A32,$A$12:$A$14,0))+INDEX($P$12:$P$14,MATCH($A32,$A$12:$A$14,0))*B32/INDEX($G$12:$G$14,MATCH($A32,$A$12:$A$14,0)))</f>
        <v/>
      </c>
      <c r="F32" s="16" t="str">
        <f aca="false">IF($A32="","",INDEX($S$12:$S$14,MATCH($A32,$A$12:$A$14,0))-INDEX($P$12:$P$14,MATCH($A32,$A$12:$A$14,0))*B32/INDEX($G$12:$G$14,MATCH($A32,$A$12:$A$14,0)))</f>
        <v/>
      </c>
      <c r="G32" s="42" t="str">
        <f aca="false">IF($A32="","",F32-D32)</f>
        <v/>
      </c>
      <c r="H32" s="42" t="str">
        <f aca="false">IF($A32="","",$B$8-D32)</f>
        <v/>
      </c>
      <c r="I32" s="42" t="str">
        <f aca="false">IF($A32="","",MAX(G32,H32))</f>
        <v/>
      </c>
      <c r="J32" s="38" t="str">
        <f aca="false">IF($A32="","",I32*bar_per_m)</f>
        <v/>
      </c>
      <c r="K32" s="10" t="str">
        <f aca="false">IF($A32="","",IFERROR("PN"&amp;SMALL(PN_list,COUNTIF(PN_list,"&lt;"&amp;J32)+1),"&gt; max PN"))</f>
        <v/>
      </c>
      <c r="L32" s="42" t="str">
        <f aca="false">IF($A32="","",G32-INDEX($U$12:$U$14,MATCH($A32,$A$12:$A$14,0)))</f>
        <v/>
      </c>
      <c r="M32" s="11" t="s">
        <v>296</v>
      </c>
      <c r="N32" s="10" t="str">
        <f aca="false">IF($A32="","",IF(G32&lt;0,"NEGATIVE PRESSURE",IF(G32&lt;p_min-0.005,"below minimum","OK")))</f>
        <v/>
      </c>
    </row>
    <row r="33" customFormat="false" ht="15" hidden="false" customHeight="false" outlineLevel="0" collapsed="false">
      <c r="A33" s="17"/>
      <c r="B33" s="17"/>
      <c r="C33" s="17"/>
      <c r="D33" s="16" t="str">
        <f aca="false">IF($A33="","",C33-cover)</f>
        <v/>
      </c>
      <c r="E33" s="16" t="str">
        <f aca="false">IF($A33="","",D33+p_min+INDEX($R$12:$R$14,MATCH($A33,$A$12:$A$14,0))+INDEX($P$12:$P$14,MATCH($A33,$A$12:$A$14,0))*B33/INDEX($G$12:$G$14,MATCH($A33,$A$12:$A$14,0)))</f>
        <v/>
      </c>
      <c r="F33" s="16" t="str">
        <f aca="false">IF($A33="","",INDEX($S$12:$S$14,MATCH($A33,$A$12:$A$14,0))-INDEX($P$12:$P$14,MATCH($A33,$A$12:$A$14,0))*B33/INDEX($G$12:$G$14,MATCH($A33,$A$12:$A$14,0)))</f>
        <v/>
      </c>
      <c r="G33" s="42" t="str">
        <f aca="false">IF($A33="","",F33-D33)</f>
        <v/>
      </c>
      <c r="H33" s="42" t="str">
        <f aca="false">IF($A33="","",$B$8-D33)</f>
        <v/>
      </c>
      <c r="I33" s="42" t="str">
        <f aca="false">IF($A33="","",MAX(G33,H33))</f>
        <v/>
      </c>
      <c r="J33" s="38" t="str">
        <f aca="false">IF($A33="","",I33*bar_per_m)</f>
        <v/>
      </c>
      <c r="K33" s="10" t="str">
        <f aca="false">IF($A33="","",IFERROR("PN"&amp;SMALL(PN_list,COUNTIF(PN_list,"&lt;"&amp;J33)+1),"&gt; max PN"))</f>
        <v/>
      </c>
      <c r="L33" s="42" t="str">
        <f aca="false">IF($A33="","",G33-INDEX($U$12:$U$14,MATCH($A33,$A$12:$A$14,0)))</f>
        <v/>
      </c>
      <c r="M33" s="11" t="s">
        <v>296</v>
      </c>
      <c r="N33" s="10" t="str">
        <f aca="false">IF($A33="","",IF(G33&lt;0,"NEGATIVE PRESSURE",IF(G33&lt;p_min-0.005,"below minimum","OK")))</f>
        <v/>
      </c>
    </row>
    <row r="34" customFormat="false" ht="15" hidden="false" customHeight="false" outlineLevel="0" collapsed="false">
      <c r="A34" s="17"/>
      <c r="B34" s="17"/>
      <c r="C34" s="17"/>
      <c r="D34" s="16" t="str">
        <f aca="false">IF($A34="","",C34-cover)</f>
        <v/>
      </c>
      <c r="E34" s="16" t="str">
        <f aca="false">IF($A34="","",D34+p_min+INDEX($R$12:$R$14,MATCH($A34,$A$12:$A$14,0))+INDEX($P$12:$P$14,MATCH($A34,$A$12:$A$14,0))*B34/INDEX($G$12:$G$14,MATCH($A34,$A$12:$A$14,0)))</f>
        <v/>
      </c>
      <c r="F34" s="16" t="str">
        <f aca="false">IF($A34="","",INDEX($S$12:$S$14,MATCH($A34,$A$12:$A$14,0))-INDEX($P$12:$P$14,MATCH($A34,$A$12:$A$14,0))*B34/INDEX($G$12:$G$14,MATCH($A34,$A$12:$A$14,0)))</f>
        <v/>
      </c>
      <c r="G34" s="42" t="str">
        <f aca="false">IF($A34="","",F34-D34)</f>
        <v/>
      </c>
      <c r="H34" s="42" t="str">
        <f aca="false">IF($A34="","",$B$8-D34)</f>
        <v/>
      </c>
      <c r="I34" s="42" t="str">
        <f aca="false">IF($A34="","",MAX(G34,H34))</f>
        <v/>
      </c>
      <c r="J34" s="38" t="str">
        <f aca="false">IF($A34="","",I34*bar_per_m)</f>
        <v/>
      </c>
      <c r="K34" s="10" t="str">
        <f aca="false">IF($A34="","",IFERROR("PN"&amp;SMALL(PN_list,COUNTIF(PN_list,"&lt;"&amp;J34)+1),"&gt; max PN"))</f>
        <v/>
      </c>
      <c r="L34" s="42" t="str">
        <f aca="false">IF($A34="","",G34-INDEX($U$12:$U$14,MATCH($A34,$A$12:$A$14,0)))</f>
        <v/>
      </c>
      <c r="M34" s="11" t="s">
        <v>296</v>
      </c>
      <c r="N34" s="10" t="str">
        <f aca="false">IF($A34="","",IF(G34&lt;0,"NEGATIVE PRESSURE",IF(G34&lt;p_min-0.005,"below minimum","OK")))</f>
        <v/>
      </c>
    </row>
    <row r="36" customFormat="false" ht="15" hidden="false" customHeight="false" outlineLevel="0" collapsed="false">
      <c r="A36" s="18" t="s">
        <v>297</v>
      </c>
      <c r="B36" s="18"/>
      <c r="C36" s="18"/>
      <c r="D36" s="18"/>
    </row>
    <row r="37" customFormat="false" ht="15" hidden="false" customHeight="false" outlineLevel="0" collapsed="false">
      <c r="A37" s="10" t="s">
        <v>298</v>
      </c>
      <c r="B37" s="32" t="n">
        <f aca="false">MAX($H$18:$H$19,$E$27:$E$34,$E$23:$E$23)</f>
        <v>1701.50733167038</v>
      </c>
      <c r="C37" s="10" t="s">
        <v>241</v>
      </c>
      <c r="D37" s="30" t="s">
        <v>299</v>
      </c>
    </row>
    <row r="38" customFormat="false" ht="15" hidden="false" customHeight="false" outlineLevel="0" collapsed="false">
      <c r="A38" s="10" t="s">
        <v>137</v>
      </c>
      <c r="B38" s="43" t="str">
        <f aca="false">IF(AND(MAX($E$23:$E$23)&gt;MAX($H$18:$H$19),MAX($E$23:$E$23)&gt;MAX($E$27:$E$34)),"junction "&amp;INDEX($A$23:$A$23,MATCH(MAX($E$23:$E$23),$E$23:$E$23,0))&amp;" (minimum pressure)",IF(MAX($E$27:$E$34)&gt;=MAX($H$18:$H$19),"point on "&amp;INDEX($A$27:$A$34,MATCH(MAX($E$27:$E$34),$E$27:$E$34,0)),INDEX($A$18:$A$19,MATCH(MAX($H$18:$H$19),$H$18:$H$19,0))))</f>
        <v>point on UHURU_J004N</v>
      </c>
      <c r="C38" s="10"/>
      <c r="D38" s="30" t="s">
        <v>300</v>
      </c>
    </row>
    <row r="39" customFormat="false" ht="15" hidden="false" customHeight="false" outlineLevel="0" collapsed="false">
      <c r="A39" s="10" t="s">
        <v>301</v>
      </c>
      <c r="B39" s="32" t="n">
        <f aca="false">$B$5-$B$37</f>
        <v>-3.90733167038434</v>
      </c>
      <c r="C39" s="10" t="s">
        <v>205</v>
      </c>
      <c r="D39" s="30" t="s">
        <v>302</v>
      </c>
    </row>
    <row r="40" customFormat="false" ht="15" hidden="false" customHeight="false" outlineLevel="0" collapsed="false">
      <c r="A40" s="10" t="s">
        <v>303</v>
      </c>
      <c r="B40" s="32" t="n">
        <f aca="false">$B$6-$B$37</f>
        <v>0.792668329615708</v>
      </c>
      <c r="C40" s="10" t="s">
        <v>205</v>
      </c>
      <c r="D40" s="30" t="s">
        <v>304</v>
      </c>
    </row>
    <row r="41" customFormat="false" ht="15" hidden="false" customHeight="false" outlineLevel="0" collapsed="false">
      <c r="A41" s="10" t="s">
        <v>295</v>
      </c>
      <c r="B41" s="43" t="str">
        <f aca="false">IF($B$39&lt;-0.005,"SHORT OF HEAD at minimum level – bigger pipe, lower outlet, higher tank or pump","OK – valve burns "&amp;TEXT($B$39,"0.0")&amp;" to "&amp;TEXT($B$40,"0.0")&amp;" m")</f>
        <v>SHORT OF HEAD at minimum level – bigger pipe, lower outlet, higher tank or pump</v>
      </c>
      <c r="C41" s="10"/>
      <c r="D41" s="30"/>
    </row>
    <row r="42" customFormat="false" ht="15" hidden="false" customHeight="false" outlineLevel="0" collapsed="false">
      <c r="A42" s="10" t="s">
        <v>305</v>
      </c>
      <c r="B42" s="42" t="n">
        <f aca="false">IF(COUNTIFS(Profile!$A$5:$A$2360,"Z7 Uhuru-Chapwa",Profile!$L$5:$L$2360,"yes")=0,"no points between tanks",_xlfn.MINIFS(Profile!$H$5:$H$2360,Profile!$A$5:$A$2360,"Z7 Uhuru-Chapwa",Profile!$L$5:$L$2360,"yes"))</f>
        <v>-1.90759655196166</v>
      </c>
      <c r="C42" s="10" t="s">
        <v>205</v>
      </c>
      <c r="D42" s="30" t="s">
        <v>306</v>
      </c>
    </row>
    <row r="44" customFormat="false" ht="15" hidden="false" customHeight="false" outlineLevel="0" collapsed="false">
      <c r="A44" s="18" t="s">
        <v>307</v>
      </c>
      <c r="B44" s="18"/>
      <c r="C44" s="18"/>
      <c r="D44" s="18"/>
    </row>
    <row r="45" customFormat="false" ht="15" hidden="false" customHeight="false" outlineLevel="0" collapsed="false">
      <c r="A45" s="4" t="str">
        <f aca="false">"1. Flow: "&amp;TEXT(I12,"#,##0")&amp;" m³/d in "&amp;TEXT($B$7,"0")&amp;" h → Q = "&amp;TEXT(K12,"0.0")&amp;" l/s, V = "&amp;TEXT(M12,"0.00")&amp;" m/s in "&amp;A12&amp;"."</f>
        <v>1. Flow: 1,244 m³/d in 24 h → Q = 14.4 l/s, V = 0.81 m/s in UHURU_J004N.</v>
      </c>
    </row>
    <row r="46" customFormat="false" ht="15" hidden="false" customHeight="false" outlineLevel="0" collapsed="false">
      <c r="A46" s="4" t="str">
        <f aca="false">"2. Friction (Hazen-Williams): "&amp;A12&amp;" loses hL = "&amp;TEXT(P12,"0.00")&amp;" m over "&amp;TEXT(G12,"#,##0")&amp;" m ("&amp;TEXT(Q12,"0.00")&amp;" m/km)."</f>
        <v>2. Friction (Hazen-Williams): UHURU_J004N loses hL = 10.35 m over 1,564 m (6.62 m/km).</v>
      </c>
    </row>
    <row r="47" customFormat="false" ht="15" hidden="false" customHeight="false" outlineLevel="0" collapsed="false">
      <c r="A47" s="4" t="str">
        <f aca="false">"3. Point 1 = UHURU_PARK_GBR water surface at its MINIMUM level z1 = "&amp;TEXT($B$5,"0.00")&amp;" m (p = 0, V ≈ 0)."</f>
        <v>3. Point 1 = UHURU_PARK_GBR water surface at its MINIMUM level z1 = 1697.60 m (p = 0, V ≈ 0).</v>
      </c>
    </row>
    <row r="48" customFormat="false" ht="15" hidden="false" customHeight="false" outlineLevel="0" collapsed="false">
      <c r="A48" s="4" t="str">
        <f aca="false">"4. Point 2: the hardest place to reach is "&amp;$B$38&amp;"; it needs the HGL at the zone start to be H_req = "&amp;TEXT($B$37,"0.00")&amp;" m (its level + residual + losses on the way)."</f>
        <v>4. Point 2: the hardest place to reach is point on UHURU_J004N; it needs the HGL at the zone start to be H_req = 1701.51 m (its level + residual + losses on the way).</v>
      </c>
    </row>
    <row r="49" customFormat="false" ht="15" hidden="false" customHeight="false" outlineLevel="0" collapsed="false">
      <c r="A49" s="4" t="str">
        <f aca="false">"5. Bernoulli without pump: z1 = H_req + surplus → surplus = "&amp;TEXT($B$5,"0.00")&amp;" − "&amp;TEXT($B$37,"0.00")&amp;" = "&amp;TEXT($B$39,"0.00")&amp;" m."</f>
        <v>5. Bernoulli without pump: z1 = H_req + surplus → surplus = 1697.60 − 1701.51 = -3.91 m.</v>
      </c>
    </row>
    <row r="50" customFormat="false" ht="15" hidden="false" customHeight="false" outlineLevel="0" collapsed="false">
      <c r="A50" s="4" t="str">
        <f aca="false">"6. With the supplying tank full (MAXIMUM level "&amp;TEXT($B$6,"0.00")&amp;" m) the surplus is "&amp;TEXT($B$40,"0.00")&amp;" m. "&amp;IF($B$39&lt;-0.005,"Negative at minimum level: the zone cannot deliver – change pipe or levels.","A flow control valve burns this so the flow stays at design.")</f>
        <v>6. With the supplying tank full (MAXIMUM level 1702.30 m) the surplus is 0.79 m. Negative at minimum level: the zone cannot deliver – change pipe or levels.</v>
      </c>
    </row>
    <row r="51" customFormat="false" ht="15" hidden="false" customHeight="false" outlineLevel="0" collapsed="false">
      <c r="A51" s="4" t="str">
        <f aca="false">"8. Pressure: lowest pressure along the route = "&amp;TEXT($B$42,"0.0")&amp;" m (minimum allowed "&amp;TEXT(p_min,"0")&amp;" m); pipe class from section D and sheet Profile."</f>
        <v>8. Pressure: lowest pressure along the route = -1.9 m (minimum allowed 2 m); pipe class from section D and sheet Profile.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" t="s">
        <v>399</v>
      </c>
    </row>
    <row r="4" customFormat="false" ht="42" hidden="false" customHeight="true" outlineLevel="0" collapsed="false">
      <c r="A4" s="8" t="s">
        <v>154</v>
      </c>
      <c r="B4" s="8" t="s">
        <v>155</v>
      </c>
      <c r="C4" s="8" t="s">
        <v>156</v>
      </c>
      <c r="D4" s="8" t="s">
        <v>400</v>
      </c>
      <c r="E4" s="8" t="s">
        <v>401</v>
      </c>
      <c r="F4" s="8" t="s">
        <v>402</v>
      </c>
      <c r="G4" s="8" t="s">
        <v>403</v>
      </c>
      <c r="H4" s="8" t="s">
        <v>404</v>
      </c>
      <c r="I4" s="8" t="s">
        <v>405</v>
      </c>
      <c r="J4" s="8" t="s">
        <v>80</v>
      </c>
      <c r="K4" s="8" t="s">
        <v>406</v>
      </c>
      <c r="L4" s="8" t="s">
        <v>295</v>
      </c>
    </row>
    <row r="5" customFormat="false" ht="15" hidden="false" customHeight="false" outlineLevel="0" collapsed="false">
      <c r="A5" s="9" t="s">
        <v>99</v>
      </c>
      <c r="B5" s="21" t="n">
        <f aca="false">Levels!$F$9</f>
        <v>1663.3</v>
      </c>
      <c r="C5" s="21" t="n">
        <f aca="false">Levels!$G$9</f>
        <v>1668</v>
      </c>
      <c r="D5" s="27" t="n">
        <f aca="false">'Z4 WTP-Ikana'!I18</f>
        <v>20000</v>
      </c>
      <c r="E5" s="46" t="n">
        <f aca="false">'Z4 WTP-Ikana'!I18/('Z4 WTP-Ikana'!J18*3600)</f>
        <v>22</v>
      </c>
      <c r="F5" s="15" t="n">
        <f aca="false">D5*(1-E5/24)</f>
        <v>1666.66666666667</v>
      </c>
      <c r="G5" s="37" t="n">
        <v>0</v>
      </c>
      <c r="H5" s="15" t="n">
        <f aca="false">D5*G5/24</f>
        <v>0</v>
      </c>
      <c r="I5" s="15" t="n">
        <f aca="false">F5+H5</f>
        <v>1666.66666666667</v>
      </c>
      <c r="J5" s="27" t="n">
        <f aca="false">IF(Levels!$I$9="","",Levels!$I$9)</f>
        <v>3000</v>
      </c>
      <c r="K5" s="38" t="n">
        <f aca="false">IF(J5="","",J5/(D5/24))</f>
        <v>3.6</v>
      </c>
      <c r="L5" s="10" t="str">
        <f aca="false">IF(J5="","enter capacity",IF(J5&gt;=I5,"OK","TOO SMALL"))</f>
        <v>OK</v>
      </c>
    </row>
    <row r="6" customFormat="false" ht="15" hidden="false" customHeight="false" outlineLevel="0" collapsed="false">
      <c r="A6" s="9" t="s">
        <v>102</v>
      </c>
      <c r="B6" s="21" t="n">
        <f aca="false">Levels!$F$10</f>
        <v>1553</v>
      </c>
      <c r="C6" s="21" t="n">
        <f aca="false">Levels!$G$10</f>
        <v>1557</v>
      </c>
      <c r="D6" s="27" t="n">
        <f aca="false">'Z5 Ikana-Nkangamo'!I12</f>
        <v>20000</v>
      </c>
      <c r="E6" s="46" t="n">
        <f aca="false">'Z6 Nkangamo-Uhuru'!$B$7</f>
        <v>22</v>
      </c>
      <c r="F6" s="15" t="n">
        <f aca="false">D6*(1-E6/24)</f>
        <v>1666.66666666667</v>
      </c>
      <c r="G6" s="37" t="n">
        <v>0</v>
      </c>
      <c r="H6" s="15" t="n">
        <f aca="false">D6*G6/24</f>
        <v>0</v>
      </c>
      <c r="I6" s="15" t="n">
        <f aca="false">F6+H6</f>
        <v>1666.66666666667</v>
      </c>
      <c r="J6" s="27" t="n">
        <f aca="false">IF(Levels!$I$10="","",Levels!$I$10)</f>
        <v>2000</v>
      </c>
      <c r="K6" s="38" t="n">
        <f aca="false">IF(J6="","",J6/(D6/24))</f>
        <v>2.4</v>
      </c>
      <c r="L6" s="10" t="str">
        <f aca="false">IF(J6="","enter capacity",IF(J6&gt;=I6,"OK","TOO SMALL"))</f>
        <v>OK</v>
      </c>
    </row>
    <row r="7" customFormat="false" ht="15" hidden="false" customHeight="false" outlineLevel="0" collapsed="false">
      <c r="A7" s="9" t="s">
        <v>105</v>
      </c>
      <c r="B7" s="21" t="n">
        <f aca="false">Levels!$F$11</f>
        <v>1697.6</v>
      </c>
      <c r="C7" s="21" t="n">
        <f aca="false">Levels!$G$11</f>
        <v>1702.3</v>
      </c>
      <c r="D7" s="27" t="n">
        <f aca="false">'Z6 Nkangamo-Uhuru'!I21</f>
        <v>17459.82</v>
      </c>
      <c r="E7" s="46" t="n">
        <f aca="false">'Z6 Nkangamo-Uhuru'!I21/('Z6 Nkangamo-Uhuru'!J21*3600)</f>
        <v>22</v>
      </c>
      <c r="F7" s="15" t="n">
        <f aca="false">D7*(1-E7/24)</f>
        <v>1454.985</v>
      </c>
      <c r="G7" s="37" t="n">
        <v>0</v>
      </c>
      <c r="H7" s="15" t="n">
        <f aca="false">D7*G7/24</f>
        <v>0</v>
      </c>
      <c r="I7" s="15" t="n">
        <f aca="false">F7+H7</f>
        <v>1454.985</v>
      </c>
      <c r="J7" s="27" t="n">
        <f aca="false">IF(Levels!$I$11="","",Levels!$I$11)</f>
        <v>5000</v>
      </c>
      <c r="K7" s="38" t="n">
        <f aca="false">IF(J7="","",J7/(D7/24))</f>
        <v>6.87292308855418</v>
      </c>
      <c r="L7" s="10" t="str">
        <f aca="false">IF(J7="","enter capacity",IF(J7&gt;=I7,"OK","TOO SMALL"))</f>
        <v>OK</v>
      </c>
    </row>
    <row r="8" customFormat="false" ht="15" hidden="false" customHeight="false" outlineLevel="0" collapsed="false">
      <c r="A8" s="9" t="s">
        <v>108</v>
      </c>
      <c r="B8" s="21" t="n">
        <f aca="false">Levels!$F$12</f>
        <v>1703.5</v>
      </c>
      <c r="C8" s="21" t="n">
        <f aca="false">Levels!$G$12</f>
        <v>1706.5</v>
      </c>
      <c r="D8" s="27" t="n">
        <f aca="false">'Z6 Nkangamo-Uhuru'!I22</f>
        <v>371.52</v>
      </c>
      <c r="E8" s="46" t="n">
        <f aca="false">'Z6 Nkangamo-Uhuru'!I22/('Z6 Nkangamo-Uhuru'!J22*3600)</f>
        <v>22</v>
      </c>
      <c r="F8" s="15" t="n">
        <f aca="false">D8*(1-E8/24)</f>
        <v>30.96</v>
      </c>
      <c r="G8" s="37" t="n">
        <v>0</v>
      </c>
      <c r="H8" s="15" t="n">
        <f aca="false">D8*G8/24</f>
        <v>0</v>
      </c>
      <c r="I8" s="15" t="n">
        <f aca="false">F8+H8</f>
        <v>30.96</v>
      </c>
      <c r="J8" s="27" t="n">
        <f aca="false">IF(Levels!$I$12="","",Levels!$I$12)</f>
        <v>120</v>
      </c>
      <c r="K8" s="38" t="n">
        <f aca="false">IF(J8="","",J8/(D8/24))</f>
        <v>7.75193798449612</v>
      </c>
      <c r="L8" s="10" t="str">
        <f aca="false">IF(J8="","enter capacity",IF(J8&gt;=I8,"OK","TOO SMALL"))</f>
        <v>OK</v>
      </c>
    </row>
    <row r="9" customFormat="false" ht="15" hidden="false" customHeight="false" outlineLevel="0" collapsed="false">
      <c r="A9" s="9" t="s">
        <v>111</v>
      </c>
      <c r="B9" s="21" t="n">
        <f aca="false">Levels!$F$13</f>
        <v>1698.4</v>
      </c>
      <c r="C9" s="21" t="n">
        <f aca="false">Levels!$G$13</f>
        <v>1701.4</v>
      </c>
      <c r="D9" s="27" t="n">
        <f aca="false">'Z6 Nkangamo-Uhuru'!I23</f>
        <v>1546.56</v>
      </c>
      <c r="E9" s="46" t="n">
        <f aca="false">'Z6 Nkangamo-Uhuru'!I23/('Z6 Nkangamo-Uhuru'!J23*3600)</f>
        <v>22</v>
      </c>
      <c r="F9" s="15" t="n">
        <f aca="false">D9*(1-E9/24)</f>
        <v>128.88</v>
      </c>
      <c r="G9" s="37" t="n">
        <v>0</v>
      </c>
      <c r="H9" s="15" t="n">
        <f aca="false">D9*G9/24</f>
        <v>0</v>
      </c>
      <c r="I9" s="15" t="n">
        <f aca="false">F9+H9</f>
        <v>128.88</v>
      </c>
      <c r="J9" s="27" t="n">
        <f aca="false">IF(Levels!$I$13="","",Levels!$I$13)</f>
        <v>500</v>
      </c>
      <c r="K9" s="38" t="n">
        <f aca="false">IF(J9="","",J9/(D9/24))</f>
        <v>7.75915580384854</v>
      </c>
      <c r="L9" s="10" t="str">
        <f aca="false">IF(J9="","enter capacity",IF(J9&gt;=I9,"OK","TOO SMALL"))</f>
        <v>OK</v>
      </c>
    </row>
    <row r="10" customFormat="false" ht="15" hidden="false" customHeight="false" outlineLevel="0" collapsed="false">
      <c r="A10" s="9" t="s">
        <v>114</v>
      </c>
      <c r="B10" s="21" t="n">
        <f aca="false">Levels!$F$14</f>
        <v>1681.2</v>
      </c>
      <c r="C10" s="21" t="n">
        <f aca="false">Levels!$G$14</f>
        <v>1684.2</v>
      </c>
      <c r="D10" s="27" t="n">
        <f aca="false">'Z6 Nkangamo-Uhuru'!I24</f>
        <v>622.1</v>
      </c>
      <c r="E10" s="46" t="n">
        <f aca="false">'Z6 Nkangamo-Uhuru'!I24/('Z6 Nkangamo-Uhuru'!J24*3600)</f>
        <v>22</v>
      </c>
      <c r="F10" s="15" t="n">
        <f aca="false">D10*(1-E10/24)</f>
        <v>51.8416666666668</v>
      </c>
      <c r="G10" s="37" t="n">
        <v>0</v>
      </c>
      <c r="H10" s="15" t="n">
        <f aca="false">D10*G10/24</f>
        <v>0</v>
      </c>
      <c r="I10" s="15" t="n">
        <f aca="false">F10+H10</f>
        <v>51.8416666666668</v>
      </c>
      <c r="J10" s="27" t="n">
        <f aca="false">IF(Levels!$I$14="","",Levels!$I$14)</f>
        <v>200</v>
      </c>
      <c r="K10" s="38" t="n">
        <f aca="false">IF(J10="","",J10/(D10/24))</f>
        <v>7.71580131811606</v>
      </c>
      <c r="L10" s="10" t="str">
        <f aca="false">IF(J10="","enter capacity",IF(J10&gt;=I10,"OK","TOO SMALL"))</f>
        <v>OK</v>
      </c>
    </row>
    <row r="11" customFormat="false" ht="15" hidden="false" customHeight="false" outlineLevel="0" collapsed="false">
      <c r="A11" s="9" t="s">
        <v>117</v>
      </c>
      <c r="B11" s="21" t="n">
        <f aca="false">Levels!$F$15</f>
        <v>1655.7</v>
      </c>
      <c r="C11" s="21" t="n">
        <f aca="false">Levels!$G$15</f>
        <v>1658.7</v>
      </c>
      <c r="D11" s="27" t="n">
        <f aca="false">'Z7 Uhuru-Chapwa'!I13</f>
        <v>622.1</v>
      </c>
      <c r="E11" s="46" t="n">
        <f aca="false">'Z7 Uhuru-Chapwa'!I13/('Z7 Uhuru-Chapwa'!J13*3600)</f>
        <v>24</v>
      </c>
      <c r="F11" s="15" t="n">
        <f aca="false">D11*(1-E11/24)</f>
        <v>0</v>
      </c>
      <c r="G11" s="37" t="n">
        <v>0</v>
      </c>
      <c r="H11" s="15" t="n">
        <f aca="false">D11*G11/24</f>
        <v>0</v>
      </c>
      <c r="I11" s="15" t="n">
        <f aca="false">F11+H11</f>
        <v>0</v>
      </c>
      <c r="J11" s="27" t="n">
        <f aca="false">IF(Levels!$I$15="","",Levels!$I$15)</f>
        <v>200</v>
      </c>
      <c r="K11" s="38" t="n">
        <f aca="false">IF(J11="","",J11/(D11/24))</f>
        <v>7.71580131811606</v>
      </c>
      <c r="L11" s="10" t="str">
        <f aca="false">IF(J11="","enter capacity",IF(J11&gt;=I11,"OK","TOO SMALL"))</f>
        <v>OK</v>
      </c>
    </row>
    <row r="12" customFormat="false" ht="15" hidden="false" customHeight="false" outlineLevel="0" collapsed="false">
      <c r="A12" s="9" t="s">
        <v>121</v>
      </c>
      <c r="B12" s="21" t="n">
        <f aca="false">Levels!$F$16</f>
        <v>1521.4</v>
      </c>
      <c r="C12" s="21" t="n">
        <f aca="false">Levels!$G$16</f>
        <v>1524.4</v>
      </c>
      <c r="D12" s="27" t="n">
        <f aca="false">'Z7 Uhuru-Chapwa'!I14</f>
        <v>622.1</v>
      </c>
      <c r="E12" s="46" t="n">
        <f aca="false">'Z7 Uhuru-Chapwa'!I14/('Z7 Uhuru-Chapwa'!J14*3600)</f>
        <v>24</v>
      </c>
      <c r="F12" s="15" t="n">
        <f aca="false">D12*(1-E12/24)</f>
        <v>0</v>
      </c>
      <c r="G12" s="37" t="n">
        <v>0</v>
      </c>
      <c r="H12" s="15" t="n">
        <f aca="false">D12*G12/24</f>
        <v>0</v>
      </c>
      <c r="I12" s="15" t="n">
        <f aca="false">F12+H12</f>
        <v>0</v>
      </c>
      <c r="J12" s="27" t="n">
        <f aca="false">IF(Levels!$I$16="","",Levels!$I$16)</f>
        <v>200</v>
      </c>
      <c r="K12" s="38" t="n">
        <f aca="false">IF(J12="","",J12/(D12/24))</f>
        <v>7.71580131811606</v>
      </c>
      <c r="L12" s="10" t="str">
        <f aca="false">IF(J12="","enter capacity",IF(J12&gt;=I12,"OK","TOO SMALL"))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12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" t="s">
        <v>407</v>
      </c>
    </row>
    <row r="2" customFormat="false" ht="15" hidden="false" customHeight="false" outlineLevel="0" collapsed="false">
      <c r="A2" s="2" t="s">
        <v>408</v>
      </c>
    </row>
    <row r="4" customFormat="false" ht="42" hidden="false" customHeight="true" outlineLevel="0" collapsed="false">
      <c r="A4" s="8" t="s">
        <v>131</v>
      </c>
      <c r="B4" s="8" t="s">
        <v>251</v>
      </c>
      <c r="C4" s="8" t="s">
        <v>409</v>
      </c>
      <c r="D4" s="8" t="s">
        <v>410</v>
      </c>
      <c r="E4" s="8" t="s">
        <v>285</v>
      </c>
      <c r="F4" s="8" t="s">
        <v>411</v>
      </c>
      <c r="G4" s="8" t="s">
        <v>289</v>
      </c>
      <c r="H4" s="8" t="s">
        <v>288</v>
      </c>
      <c r="I4" s="8" t="s">
        <v>290</v>
      </c>
      <c r="J4" s="8" t="s">
        <v>292</v>
      </c>
      <c r="K4" s="8" t="s">
        <v>295</v>
      </c>
      <c r="L4" s="8" t="s">
        <v>412</v>
      </c>
    </row>
    <row r="5" customFormat="false" ht="15" hidden="false" customHeight="false" outlineLevel="0" collapsed="false">
      <c r="A5" s="4" t="s">
        <v>34</v>
      </c>
      <c r="B5" s="4" t="s">
        <v>272</v>
      </c>
      <c r="C5" s="47" t="n">
        <v>0</v>
      </c>
      <c r="D5" s="48" t="n">
        <v>1360.2</v>
      </c>
      <c r="E5" s="49" t="n">
        <f aca="false">D5-cover</f>
        <v>1359</v>
      </c>
      <c r="F5" s="50" t="n">
        <f aca="false">'Z1 River-Intake'!S12-'Z1 River-Intake'!P12*C5/'Z1 River-Intake'!G12</f>
        <v>1361</v>
      </c>
      <c r="G5" s="51" t="n">
        <f aca="false">'Z1 River-Intake'!$B$8-E5</f>
        <v>5.5</v>
      </c>
      <c r="H5" s="52" t="n">
        <f aca="false">F5-E5</f>
        <v>2</v>
      </c>
      <c r="I5" s="52" t="n">
        <f aca="false">MAX(H5,G5)</f>
        <v>5.5</v>
      </c>
      <c r="J5" s="4" t="str">
        <f aca="false">IFERROR("PN"&amp;SMALL(PN_list,COUNTIF(PN_list,"&lt;"&amp;I5*bar_per_m)+1),"&gt; max PN")</f>
        <v>PN10</v>
      </c>
      <c r="K5" s="4" t="str">
        <f aca="false">IF(L5="no","end at tank",IF(H5&lt;0,"NEGATIVE",IF(H5&lt;p_min-0.005,"low","OK")))</f>
        <v>end at tank</v>
      </c>
      <c r="L5" s="4" t="s">
        <v>413</v>
      </c>
    </row>
    <row r="6" customFormat="false" ht="15" hidden="false" customHeight="false" outlineLevel="0" collapsed="false">
      <c r="A6" s="4" t="s">
        <v>34</v>
      </c>
      <c r="B6" s="4" t="s">
        <v>272</v>
      </c>
      <c r="C6" s="47" t="n">
        <v>100</v>
      </c>
      <c r="D6" s="48" t="n">
        <v>1360</v>
      </c>
      <c r="E6" s="49" t="n">
        <f aca="false">D6-cover</f>
        <v>1358.8</v>
      </c>
      <c r="F6" s="50" t="n">
        <f aca="false">'Z1 River-Intake'!S12-'Z1 River-Intake'!P12*C6/'Z1 River-Intake'!G12</f>
        <v>1360.82182626586</v>
      </c>
      <c r="G6" s="51" t="n">
        <f aca="false">'Z1 River-Intake'!$B$8-E6</f>
        <v>5.70000000000005</v>
      </c>
      <c r="H6" s="52" t="n">
        <f aca="false">F6-E6</f>
        <v>2.02182626585864</v>
      </c>
      <c r="I6" s="52" t="n">
        <f aca="false">MAX(H6,G6)</f>
        <v>5.70000000000005</v>
      </c>
      <c r="J6" s="4" t="str">
        <f aca="false">IFERROR("PN"&amp;SMALL(PN_list,COUNTIF(PN_list,"&lt;"&amp;I6*bar_per_m)+1),"&gt; max PN")</f>
        <v>PN10</v>
      </c>
      <c r="K6" s="4" t="str">
        <f aca="false">IF(L6="no","end at tank",IF(H6&lt;0,"NEGATIVE",IF(H6&lt;p_min-0.005,"low","OK")))</f>
        <v>end at tank</v>
      </c>
      <c r="L6" s="4" t="s">
        <v>413</v>
      </c>
    </row>
    <row r="7" customFormat="false" ht="15" hidden="false" customHeight="false" outlineLevel="0" collapsed="false">
      <c r="A7" s="4" t="s">
        <v>36</v>
      </c>
      <c r="B7" s="4" t="s">
        <v>325</v>
      </c>
      <c r="C7" s="47" t="n">
        <v>0</v>
      </c>
      <c r="D7" s="48" t="n">
        <v>1365.94</v>
      </c>
      <c r="E7" s="49" t="n">
        <f aca="false">D7-cover</f>
        <v>1364.74</v>
      </c>
      <c r="F7" s="50" t="n">
        <f aca="false">'Z2 Intake-Grit'!S18-'Z2 Intake-Grit'!P18*C7/'Z2 Intake-Grit'!G18</f>
        <v>1369.05345212024</v>
      </c>
      <c r="G7" s="51" t="n">
        <f aca="false">'Z2 Intake-Grit'!$B$8-E7</f>
        <v>3.25999999999999</v>
      </c>
      <c r="H7" s="52" t="n">
        <f aca="false">F7-E7</f>
        <v>4.31345212024235</v>
      </c>
      <c r="I7" s="52" t="n">
        <f aca="false">MAX(H7,G7)</f>
        <v>4.31345212024235</v>
      </c>
      <c r="J7" s="4" t="str">
        <f aca="false">IFERROR("PN"&amp;SMALL(PN_list,COUNTIF(PN_list,"&lt;"&amp;I7*bar_per_m)+1),"&gt; max PN")</f>
        <v>PN10</v>
      </c>
      <c r="K7" s="4" t="str">
        <f aca="false">IF(L7="no","end at tank",IF(H7&lt;0,"NEGATIVE",IF(H7&lt;p_min-0.005,"low","OK")))</f>
        <v>end at tank</v>
      </c>
      <c r="L7" s="4" t="s">
        <v>413</v>
      </c>
    </row>
    <row r="8" customFormat="false" ht="15" hidden="false" customHeight="false" outlineLevel="0" collapsed="false">
      <c r="A8" s="4" t="s">
        <v>36</v>
      </c>
      <c r="B8" s="4" t="s">
        <v>325</v>
      </c>
      <c r="C8" s="47" t="n">
        <v>30</v>
      </c>
      <c r="D8" s="48" t="n">
        <v>1365.94</v>
      </c>
      <c r="E8" s="49" t="n">
        <f aca="false">D8-cover</f>
        <v>1364.74</v>
      </c>
      <c r="F8" s="50" t="n">
        <f aca="false">'Z2 Intake-Grit'!S18-'Z2 Intake-Grit'!P18*C8/'Z2 Intake-Grit'!G18</f>
        <v>1369</v>
      </c>
      <c r="G8" s="51" t="n">
        <f aca="false">'Z2 Intake-Grit'!$B$8-E8</f>
        <v>3.25999999999999</v>
      </c>
      <c r="H8" s="52" t="n">
        <f aca="false">F8-E8</f>
        <v>4.25999999999999</v>
      </c>
      <c r="I8" s="52" t="n">
        <f aca="false">MAX(H8,G8)</f>
        <v>4.25999999999999</v>
      </c>
      <c r="J8" s="4" t="str">
        <f aca="false">IFERROR("PN"&amp;SMALL(PN_list,COUNTIF(PN_list,"&lt;"&amp;I8*bar_per_m)+1),"&gt; max PN")</f>
        <v>PN10</v>
      </c>
      <c r="K8" s="4" t="str">
        <f aca="false">IF(L8="no","end at tank",IF(H8&lt;0,"NEGATIVE",IF(H8&lt;p_min-0.005,"low","OK")))</f>
        <v>end at tank</v>
      </c>
      <c r="L8" s="4" t="s">
        <v>413</v>
      </c>
    </row>
    <row r="9" customFormat="false" ht="15" hidden="false" customHeight="false" outlineLevel="0" collapsed="false">
      <c r="A9" s="4" t="s">
        <v>38</v>
      </c>
      <c r="B9" s="4" t="s">
        <v>356</v>
      </c>
      <c r="C9" s="47" t="n">
        <v>0</v>
      </c>
      <c r="D9" s="48" t="n">
        <v>1365.94</v>
      </c>
      <c r="E9" s="49" t="n">
        <f aca="false">D9-cover</f>
        <v>1364.74</v>
      </c>
      <c r="F9" s="50" t="n">
        <f aca="false">'Z3 Grit-WTP'!S18-'Z3 Grit-WTP'!P18*C9/'Z3 Grit-WTP'!G18</f>
        <v>1380.92160372272</v>
      </c>
      <c r="G9" s="51" t="n">
        <f aca="false">'Z3 Grit-WTP'!$B$8-E9</f>
        <v>13.26</v>
      </c>
      <c r="H9" s="52" t="n">
        <f aca="false">F9-E9</f>
        <v>16.1816037227152</v>
      </c>
      <c r="I9" s="52" t="n">
        <f aca="false">MAX(H9,G9)</f>
        <v>16.1816037227152</v>
      </c>
      <c r="J9" s="4" t="str">
        <f aca="false">IFERROR("PN"&amp;SMALL(PN_list,COUNTIF(PN_list,"&lt;"&amp;I9*bar_per_m)+1),"&gt; max PN")</f>
        <v>PN10</v>
      </c>
      <c r="K9" s="4" t="str">
        <f aca="false">IF(L9="no","end at tank",IF(H9&lt;0,"NEGATIVE",IF(H9&lt;p_min-0.005,"low","OK")))</f>
        <v>end at tank</v>
      </c>
      <c r="L9" s="4" t="s">
        <v>413</v>
      </c>
    </row>
    <row r="10" customFormat="false" ht="15" hidden="false" customHeight="false" outlineLevel="0" collapsed="false">
      <c r="A10" s="4" t="s">
        <v>38</v>
      </c>
      <c r="B10" s="4" t="s">
        <v>356</v>
      </c>
      <c r="C10" s="47" t="n">
        <v>129.83</v>
      </c>
      <c r="D10" s="48" t="n">
        <v>1365.87</v>
      </c>
      <c r="E10" s="49" t="n">
        <f aca="false">D10-cover</f>
        <v>1364.67</v>
      </c>
      <c r="F10" s="50" t="n">
        <f aca="false">'Z3 Grit-WTP'!S18-'Z3 Grit-WTP'!P18*C10/'Z3 Grit-WTP'!G18</f>
        <v>1380.69028076368</v>
      </c>
      <c r="G10" s="51" t="n">
        <f aca="false">'Z3 Grit-WTP'!$B$8-E10</f>
        <v>13.3300000000002</v>
      </c>
      <c r="H10" s="52" t="n">
        <f aca="false">F10-E10</f>
        <v>16.0202807636795</v>
      </c>
      <c r="I10" s="52" t="n">
        <f aca="false">MAX(H10,G10)</f>
        <v>16.0202807636795</v>
      </c>
      <c r="J10" s="4" t="str">
        <f aca="false">IFERROR("PN"&amp;SMALL(PN_list,COUNTIF(PN_list,"&lt;"&amp;I10*bar_per_m)+1),"&gt; max PN")</f>
        <v>PN10</v>
      </c>
      <c r="K10" s="4" t="str">
        <f aca="false">IF(L10="no","end at tank",IF(H10&lt;0,"NEGATIVE",IF(H10&lt;p_min-0.005,"low","OK")))</f>
        <v>OK</v>
      </c>
      <c r="L10" s="4" t="s">
        <v>414</v>
      </c>
    </row>
    <row r="11" customFormat="false" ht="15" hidden="false" customHeight="false" outlineLevel="0" collapsed="false">
      <c r="A11" s="4" t="s">
        <v>38</v>
      </c>
      <c r="B11" s="4" t="s">
        <v>356</v>
      </c>
      <c r="C11" s="47" t="n">
        <v>179.83</v>
      </c>
      <c r="D11" s="48" t="n">
        <v>1366.02</v>
      </c>
      <c r="E11" s="49" t="n">
        <f aca="false">D11-cover</f>
        <v>1364.82</v>
      </c>
      <c r="F11" s="50" t="n">
        <f aca="false">'Z3 Grit-WTP'!S18-'Z3 Grit-WTP'!P18*C11/'Z3 Grit-WTP'!G18</f>
        <v>1380.60119389661</v>
      </c>
      <c r="G11" s="51" t="n">
        <f aca="false">'Z3 Grit-WTP'!$B$8-E11</f>
        <v>13.1800000000001</v>
      </c>
      <c r="H11" s="52" t="n">
        <f aca="false">F11-E11</f>
        <v>15.7811938966088</v>
      </c>
      <c r="I11" s="52" t="n">
        <f aca="false">MAX(H11,G11)</f>
        <v>15.7811938966088</v>
      </c>
      <c r="J11" s="4" t="str">
        <f aca="false">IFERROR("PN"&amp;SMALL(PN_list,COUNTIF(PN_list,"&lt;"&amp;I11*bar_per_m)+1),"&gt; max PN")</f>
        <v>PN10</v>
      </c>
      <c r="K11" s="4" t="str">
        <f aca="false">IF(L11="no","end at tank",IF(H11&lt;0,"NEGATIVE",IF(H11&lt;p_min-0.005,"low","OK")))</f>
        <v>OK</v>
      </c>
      <c r="L11" s="4" t="s">
        <v>414</v>
      </c>
    </row>
    <row r="12" customFormat="false" ht="15" hidden="false" customHeight="false" outlineLevel="0" collapsed="false">
      <c r="A12" s="4" t="s">
        <v>38</v>
      </c>
      <c r="B12" s="4" t="s">
        <v>356</v>
      </c>
      <c r="C12" s="47" t="n">
        <v>229.83</v>
      </c>
      <c r="D12" s="48" t="n">
        <v>1366.08</v>
      </c>
      <c r="E12" s="49" t="n">
        <f aca="false">D12-cover</f>
        <v>1364.88</v>
      </c>
      <c r="F12" s="50" t="n">
        <f aca="false">'Z3 Grit-WTP'!S18-'Z3 Grit-WTP'!P18*C12/'Z3 Grit-WTP'!G18</f>
        <v>1380.51210702954</v>
      </c>
      <c r="G12" s="51" t="n">
        <f aca="false">'Z3 Grit-WTP'!$B$8-E12</f>
        <v>13.1200000000001</v>
      </c>
      <c r="H12" s="52" t="n">
        <f aca="false">F12-E12</f>
        <v>15.632107029538</v>
      </c>
      <c r="I12" s="52" t="n">
        <f aca="false">MAX(H12,G12)</f>
        <v>15.632107029538</v>
      </c>
      <c r="J12" s="4" t="str">
        <f aca="false">IFERROR("PN"&amp;SMALL(PN_list,COUNTIF(PN_list,"&lt;"&amp;I12*bar_per_m)+1),"&gt; max PN")</f>
        <v>PN10</v>
      </c>
      <c r="K12" s="4" t="str">
        <f aca="false">IF(L12="no","end at tank",IF(H12&lt;0,"NEGATIVE",IF(H12&lt;p_min-0.005,"low","OK")))</f>
        <v>OK</v>
      </c>
      <c r="L12" s="4" t="s">
        <v>414</v>
      </c>
    </row>
    <row r="13" customFormat="false" ht="15" hidden="false" customHeight="false" outlineLevel="0" collapsed="false">
      <c r="A13" s="4" t="s">
        <v>38</v>
      </c>
      <c r="B13" s="4" t="s">
        <v>356</v>
      </c>
      <c r="C13" s="47" t="n">
        <v>279.83</v>
      </c>
      <c r="D13" s="48" t="n">
        <v>1366.21</v>
      </c>
      <c r="E13" s="49" t="n">
        <f aca="false">D13-cover</f>
        <v>1365.01</v>
      </c>
      <c r="F13" s="50" t="n">
        <f aca="false">'Z3 Grit-WTP'!S18-'Z3 Grit-WTP'!P18*C13/'Z3 Grit-WTP'!G18</f>
        <v>1380.42302016247</v>
      </c>
      <c r="G13" s="51" t="n">
        <f aca="false">'Z3 Grit-WTP'!$B$8-E13</f>
        <v>12.99</v>
      </c>
      <c r="H13" s="52" t="n">
        <f aca="false">F13-E13</f>
        <v>15.4130201624673</v>
      </c>
      <c r="I13" s="52" t="n">
        <f aca="false">MAX(H13,G13)</f>
        <v>15.4130201624673</v>
      </c>
      <c r="J13" s="4" t="str">
        <f aca="false">IFERROR("PN"&amp;SMALL(PN_list,COUNTIF(PN_list,"&lt;"&amp;I13*bar_per_m)+1),"&gt; max PN")</f>
        <v>PN10</v>
      </c>
      <c r="K13" s="4" t="str">
        <f aca="false">IF(L13="no","end at tank",IF(H13&lt;0,"NEGATIVE",IF(H13&lt;p_min-0.005,"low","OK")))</f>
        <v>OK</v>
      </c>
      <c r="L13" s="4" t="s">
        <v>414</v>
      </c>
    </row>
    <row r="14" customFormat="false" ht="15" hidden="false" customHeight="false" outlineLevel="0" collapsed="false">
      <c r="A14" s="4" t="s">
        <v>38</v>
      </c>
      <c r="B14" s="4" t="s">
        <v>356</v>
      </c>
      <c r="C14" s="47" t="n">
        <v>329.83</v>
      </c>
      <c r="D14" s="48" t="n">
        <v>1366.33</v>
      </c>
      <c r="E14" s="49" t="n">
        <f aca="false">D14-cover</f>
        <v>1365.13</v>
      </c>
      <c r="F14" s="50" t="n">
        <f aca="false">'Z3 Grit-WTP'!S18-'Z3 Grit-WTP'!P18*C14/'Z3 Grit-WTP'!G18</f>
        <v>1380.3339332954</v>
      </c>
      <c r="G14" s="51" t="n">
        <f aca="false">'Z3 Grit-WTP'!$B$8-E14</f>
        <v>12.8700000000001</v>
      </c>
      <c r="H14" s="52" t="n">
        <f aca="false">F14-E14</f>
        <v>15.2039332953966</v>
      </c>
      <c r="I14" s="52" t="n">
        <f aca="false">MAX(H14,G14)</f>
        <v>15.2039332953966</v>
      </c>
      <c r="J14" s="4" t="str">
        <f aca="false">IFERROR("PN"&amp;SMALL(PN_list,COUNTIF(PN_list,"&lt;"&amp;I14*bar_per_m)+1),"&gt; max PN")</f>
        <v>PN10</v>
      </c>
      <c r="K14" s="4" t="str">
        <f aca="false">IF(L14="no","end at tank",IF(H14&lt;0,"NEGATIVE",IF(H14&lt;p_min-0.005,"low","OK")))</f>
        <v>OK</v>
      </c>
      <c r="L14" s="4" t="s">
        <v>414</v>
      </c>
    </row>
    <row r="15" customFormat="false" ht="15" hidden="false" customHeight="false" outlineLevel="0" collapsed="false">
      <c r="A15" s="4" t="s">
        <v>38</v>
      </c>
      <c r="B15" s="4" t="s">
        <v>356</v>
      </c>
      <c r="C15" s="47" t="n">
        <v>379.84</v>
      </c>
      <c r="D15" s="48" t="n">
        <v>1367.37</v>
      </c>
      <c r="E15" s="49" t="n">
        <f aca="false">D15-cover</f>
        <v>1366.17</v>
      </c>
      <c r="F15" s="50" t="n">
        <f aca="false">'Z3 Grit-WTP'!S18-'Z3 Grit-WTP'!P18*C15/'Z3 Grit-WTP'!G18</f>
        <v>1380.24482861095</v>
      </c>
      <c r="G15" s="51" t="n">
        <f aca="false">'Z3 Grit-WTP'!$B$8-E15</f>
        <v>11.8300000000002</v>
      </c>
      <c r="H15" s="52" t="n">
        <f aca="false">F15-E15</f>
        <v>14.0748286109526</v>
      </c>
      <c r="I15" s="52" t="n">
        <f aca="false">MAX(H15,G15)</f>
        <v>14.0748286109526</v>
      </c>
      <c r="J15" s="4" t="str">
        <f aca="false">IFERROR("PN"&amp;SMALL(PN_list,COUNTIF(PN_list,"&lt;"&amp;I15*bar_per_m)+1),"&gt; max PN")</f>
        <v>PN10</v>
      </c>
      <c r="K15" s="4" t="str">
        <f aca="false">IF(L15="no","end at tank",IF(H15&lt;0,"NEGATIVE",IF(H15&lt;p_min-0.005,"low","OK")))</f>
        <v>OK</v>
      </c>
      <c r="L15" s="4" t="s">
        <v>414</v>
      </c>
    </row>
    <row r="16" customFormat="false" ht="15" hidden="false" customHeight="false" outlineLevel="0" collapsed="false">
      <c r="A16" s="4" t="s">
        <v>38</v>
      </c>
      <c r="B16" s="4" t="s">
        <v>356</v>
      </c>
      <c r="C16" s="47" t="n">
        <v>429.85</v>
      </c>
      <c r="D16" s="48" t="n">
        <v>1368.42</v>
      </c>
      <c r="E16" s="49" t="n">
        <f aca="false">D16-cover</f>
        <v>1367.22</v>
      </c>
      <c r="F16" s="50" t="n">
        <f aca="false">'Z3 Grit-WTP'!S18-'Z3 Grit-WTP'!P18*C16/'Z3 Grit-WTP'!G18</f>
        <v>1380.15572392651</v>
      </c>
      <c r="G16" s="51" t="n">
        <f aca="false">'Z3 Grit-WTP'!$B$8-E16</f>
        <v>10.78</v>
      </c>
      <c r="H16" s="52" t="n">
        <f aca="false">F16-E16</f>
        <v>12.9357239265082</v>
      </c>
      <c r="I16" s="52" t="n">
        <f aca="false">MAX(H16,G16)</f>
        <v>12.9357239265082</v>
      </c>
      <c r="J16" s="4" t="str">
        <f aca="false">IFERROR("PN"&amp;SMALL(PN_list,COUNTIF(PN_list,"&lt;"&amp;I16*bar_per_m)+1),"&gt; max PN")</f>
        <v>PN10</v>
      </c>
      <c r="K16" s="4" t="str">
        <f aca="false">IF(L16="no","end at tank",IF(H16&lt;0,"NEGATIVE",IF(H16&lt;p_min-0.005,"low","OK")))</f>
        <v>OK</v>
      </c>
      <c r="L16" s="4" t="s">
        <v>414</v>
      </c>
    </row>
    <row r="17" customFormat="false" ht="15" hidden="false" customHeight="false" outlineLevel="0" collapsed="false">
      <c r="A17" s="4" t="s">
        <v>38</v>
      </c>
      <c r="B17" s="4" t="s">
        <v>356</v>
      </c>
      <c r="C17" s="47" t="n">
        <v>479.88</v>
      </c>
      <c r="D17" s="48" t="n">
        <v>1370.17</v>
      </c>
      <c r="E17" s="49" t="n">
        <f aca="false">D17-cover</f>
        <v>1368.97</v>
      </c>
      <c r="F17" s="50" t="n">
        <f aca="false">'Z3 Grit-WTP'!S18-'Z3 Grit-WTP'!P18*C17/'Z3 Grit-WTP'!G18</f>
        <v>1380.06658360732</v>
      </c>
      <c r="G17" s="51" t="n">
        <f aca="false">'Z3 Grit-WTP'!$B$8-E17</f>
        <v>9.02999999999997</v>
      </c>
      <c r="H17" s="52" t="n">
        <f aca="false">F17-E17</f>
        <v>11.0965836073174</v>
      </c>
      <c r="I17" s="52" t="n">
        <f aca="false">MAX(H17,G17)</f>
        <v>11.0965836073174</v>
      </c>
      <c r="J17" s="4" t="str">
        <f aca="false">IFERROR("PN"&amp;SMALL(PN_list,COUNTIF(PN_list,"&lt;"&amp;I17*bar_per_m)+1),"&gt; max PN")</f>
        <v>PN10</v>
      </c>
      <c r="K17" s="4" t="str">
        <f aca="false">IF(L17="no","end at tank",IF(H17&lt;0,"NEGATIVE",IF(H17&lt;p_min-0.005,"low","OK")))</f>
        <v>OK</v>
      </c>
      <c r="L17" s="4" t="s">
        <v>414</v>
      </c>
    </row>
    <row r="18" customFormat="false" ht="15" hidden="false" customHeight="false" outlineLevel="0" collapsed="false">
      <c r="A18" s="4" t="s">
        <v>38</v>
      </c>
      <c r="B18" s="4" t="s">
        <v>356</v>
      </c>
      <c r="C18" s="47" t="n">
        <v>529.89</v>
      </c>
      <c r="D18" s="48" t="n">
        <v>1371.2</v>
      </c>
      <c r="E18" s="49" t="n">
        <f aca="false">D18-cover</f>
        <v>1370</v>
      </c>
      <c r="F18" s="50" t="n">
        <f aca="false">'Z3 Grit-WTP'!S18-'Z3 Grit-WTP'!P18*C18/'Z3 Grit-WTP'!G18</f>
        <v>1379.97747892287</v>
      </c>
      <c r="G18" s="51" t="n">
        <f aca="false">'Z3 Grit-WTP'!$B$8-E18</f>
        <v>8</v>
      </c>
      <c r="H18" s="52" t="n">
        <f aca="false">F18-E18</f>
        <v>9.97747892287316</v>
      </c>
      <c r="I18" s="52" t="n">
        <f aca="false">MAX(H18,G18)</f>
        <v>9.97747892287316</v>
      </c>
      <c r="J18" s="4" t="str">
        <f aca="false">IFERROR("PN"&amp;SMALL(PN_list,COUNTIF(PN_list,"&lt;"&amp;I18*bar_per_m)+1),"&gt; max PN")</f>
        <v>PN10</v>
      </c>
      <c r="K18" s="4" t="str">
        <f aca="false">IF(L18="no","end at tank",IF(H18&lt;0,"NEGATIVE",IF(H18&lt;p_min-0.005,"low","OK")))</f>
        <v>OK</v>
      </c>
      <c r="L18" s="4" t="s">
        <v>414</v>
      </c>
    </row>
    <row r="19" customFormat="false" ht="15" hidden="false" customHeight="false" outlineLevel="0" collapsed="false">
      <c r="A19" s="4" t="s">
        <v>38</v>
      </c>
      <c r="B19" s="4" t="s">
        <v>356</v>
      </c>
      <c r="C19" s="47" t="n">
        <v>578.45</v>
      </c>
      <c r="D19" s="48" t="n">
        <v>1372.47</v>
      </c>
      <c r="E19" s="49" t="n">
        <f aca="false">D19-cover</f>
        <v>1371.27</v>
      </c>
      <c r="F19" s="50" t="n">
        <f aca="false">'Z3 Grit-WTP'!S18-'Z3 Grit-WTP'!P18*C19/'Z3 Grit-WTP'!G18</f>
        <v>1379.89095775757</v>
      </c>
      <c r="G19" s="51" t="n">
        <f aca="false">'Z3 Grit-WTP'!$B$8-E19</f>
        <v>6.73000000000002</v>
      </c>
      <c r="H19" s="52" t="n">
        <f aca="false">F19-E19</f>
        <v>8.62095775757416</v>
      </c>
      <c r="I19" s="52" t="n">
        <f aca="false">MAX(H19,G19)</f>
        <v>8.62095775757416</v>
      </c>
      <c r="J19" s="4" t="str">
        <f aca="false">IFERROR("PN"&amp;SMALL(PN_list,COUNTIF(PN_list,"&lt;"&amp;I19*bar_per_m)+1),"&gt; max PN")</f>
        <v>PN10</v>
      </c>
      <c r="K19" s="4" t="str">
        <f aca="false">IF(L19="no","end at tank",IF(H19&lt;0,"NEGATIVE",IF(H19&lt;p_min-0.005,"low","OK")))</f>
        <v>OK</v>
      </c>
      <c r="L19" s="4" t="s">
        <v>414</v>
      </c>
    </row>
    <row r="20" customFormat="false" ht="15" hidden="false" customHeight="false" outlineLevel="0" collapsed="false">
      <c r="A20" s="4" t="s">
        <v>38</v>
      </c>
      <c r="B20" s="4" t="s">
        <v>356</v>
      </c>
      <c r="C20" s="47" t="n">
        <v>628.45</v>
      </c>
      <c r="D20" s="48" t="n">
        <v>1371.99</v>
      </c>
      <c r="E20" s="49" t="n">
        <f aca="false">D20-cover</f>
        <v>1370.79</v>
      </c>
      <c r="F20" s="50" t="n">
        <f aca="false">'Z3 Grit-WTP'!S18-'Z3 Grit-WTP'!P18*C20/'Z3 Grit-WTP'!G18</f>
        <v>1379.8018708905</v>
      </c>
      <c r="G20" s="51" t="n">
        <f aca="false">'Z3 Grit-WTP'!$B$8-E20</f>
        <v>7.21000000000004</v>
      </c>
      <c r="H20" s="52" t="n">
        <f aca="false">F20-E20</f>
        <v>9.01187089050336</v>
      </c>
      <c r="I20" s="52" t="n">
        <f aca="false">MAX(H20,G20)</f>
        <v>9.01187089050336</v>
      </c>
      <c r="J20" s="4" t="str">
        <f aca="false">IFERROR("PN"&amp;SMALL(PN_list,COUNTIF(PN_list,"&lt;"&amp;I20*bar_per_m)+1),"&gt; max PN")</f>
        <v>PN10</v>
      </c>
      <c r="K20" s="4" t="str">
        <f aca="false">IF(L20="no","end at tank",IF(H20&lt;0,"NEGATIVE",IF(H20&lt;p_min-0.005,"low","OK")))</f>
        <v>OK</v>
      </c>
      <c r="L20" s="4" t="s">
        <v>414</v>
      </c>
    </row>
    <row r="21" customFormat="false" ht="15" hidden="false" customHeight="false" outlineLevel="0" collapsed="false">
      <c r="A21" s="4" t="s">
        <v>38</v>
      </c>
      <c r="B21" s="4" t="s">
        <v>356</v>
      </c>
      <c r="C21" s="47" t="n">
        <v>678.45</v>
      </c>
      <c r="D21" s="48" t="n">
        <v>1372.35</v>
      </c>
      <c r="E21" s="49" t="n">
        <f aca="false">D21-cover</f>
        <v>1371.15</v>
      </c>
      <c r="F21" s="50" t="n">
        <f aca="false">'Z3 Grit-WTP'!S18-'Z3 Grit-WTP'!P18*C21/'Z3 Grit-WTP'!G18</f>
        <v>1379.71278402343</v>
      </c>
      <c r="G21" s="51" t="n">
        <f aca="false">'Z3 Grit-WTP'!$B$8-E21</f>
        <v>6.85000000000014</v>
      </c>
      <c r="H21" s="52" t="n">
        <f aca="false">F21-E21</f>
        <v>8.56278402343287</v>
      </c>
      <c r="I21" s="52" t="n">
        <f aca="false">MAX(H21,G21)</f>
        <v>8.56278402343287</v>
      </c>
      <c r="J21" s="4" t="str">
        <f aca="false">IFERROR("PN"&amp;SMALL(PN_list,COUNTIF(PN_list,"&lt;"&amp;I21*bar_per_m)+1),"&gt; max PN")</f>
        <v>PN10</v>
      </c>
      <c r="K21" s="4" t="str">
        <f aca="false">IF(L21="no","end at tank",IF(H21&lt;0,"NEGATIVE",IF(H21&lt;p_min-0.005,"low","OK")))</f>
        <v>OK</v>
      </c>
      <c r="L21" s="4" t="s">
        <v>414</v>
      </c>
    </row>
    <row r="22" customFormat="false" ht="15" hidden="false" customHeight="false" outlineLevel="0" collapsed="false">
      <c r="A22" s="4" t="s">
        <v>38</v>
      </c>
      <c r="B22" s="4" t="s">
        <v>356</v>
      </c>
      <c r="C22" s="47" t="n">
        <v>728.45</v>
      </c>
      <c r="D22" s="48" t="n">
        <v>1372.37</v>
      </c>
      <c r="E22" s="49" t="n">
        <f aca="false">D22-cover</f>
        <v>1371.17</v>
      </c>
      <c r="F22" s="50" t="n">
        <f aca="false">'Z3 Grit-WTP'!S18-'Z3 Grit-WTP'!P18*C22/'Z3 Grit-WTP'!G18</f>
        <v>1379.62369715636</v>
      </c>
      <c r="G22" s="51" t="n">
        <f aca="false">'Z3 Grit-WTP'!$B$8-E22</f>
        <v>6.83000000000016</v>
      </c>
      <c r="H22" s="52" t="n">
        <f aca="false">F22-E22</f>
        <v>8.45369715636207</v>
      </c>
      <c r="I22" s="52" t="n">
        <f aca="false">MAX(H22,G22)</f>
        <v>8.45369715636207</v>
      </c>
      <c r="J22" s="4" t="str">
        <f aca="false">IFERROR("PN"&amp;SMALL(PN_list,COUNTIF(PN_list,"&lt;"&amp;I22*bar_per_m)+1),"&gt; max PN")</f>
        <v>PN10</v>
      </c>
      <c r="K22" s="4" t="str">
        <f aca="false">IF(L22="no","end at tank",IF(H22&lt;0,"NEGATIVE",IF(H22&lt;p_min-0.005,"low","OK")))</f>
        <v>OK</v>
      </c>
      <c r="L22" s="4" t="s">
        <v>414</v>
      </c>
    </row>
    <row r="23" customFormat="false" ht="15" hidden="false" customHeight="false" outlineLevel="0" collapsed="false">
      <c r="A23" s="4" t="s">
        <v>38</v>
      </c>
      <c r="B23" s="4" t="s">
        <v>356</v>
      </c>
      <c r="C23" s="47" t="n">
        <v>778.45</v>
      </c>
      <c r="D23" s="48" t="n">
        <v>1372.43</v>
      </c>
      <c r="E23" s="49" t="n">
        <f aca="false">D23-cover</f>
        <v>1371.23</v>
      </c>
      <c r="F23" s="50" t="n">
        <f aca="false">'Z3 Grit-WTP'!S18-'Z3 Grit-WTP'!P18*C23/'Z3 Grit-WTP'!G18</f>
        <v>1379.53461028929</v>
      </c>
      <c r="G23" s="51" t="n">
        <f aca="false">'Z3 Grit-WTP'!$B$8-E23</f>
        <v>6.76999999999998</v>
      </c>
      <c r="H23" s="52" t="n">
        <f aca="false">F23-E23</f>
        <v>8.3046102892913</v>
      </c>
      <c r="I23" s="52" t="n">
        <f aca="false">MAX(H23,G23)</f>
        <v>8.3046102892913</v>
      </c>
      <c r="J23" s="4" t="str">
        <f aca="false">IFERROR("PN"&amp;SMALL(PN_list,COUNTIF(PN_list,"&lt;"&amp;I23*bar_per_m)+1),"&gt; max PN")</f>
        <v>PN10</v>
      </c>
      <c r="K23" s="4" t="str">
        <f aca="false">IF(L23="no","end at tank",IF(H23&lt;0,"NEGATIVE",IF(H23&lt;p_min-0.005,"low","OK")))</f>
        <v>OK</v>
      </c>
      <c r="L23" s="4" t="s">
        <v>414</v>
      </c>
    </row>
    <row r="24" customFormat="false" ht="15" hidden="false" customHeight="false" outlineLevel="0" collapsed="false">
      <c r="A24" s="4" t="s">
        <v>38</v>
      </c>
      <c r="B24" s="4" t="s">
        <v>356</v>
      </c>
      <c r="C24" s="47" t="n">
        <v>828.45</v>
      </c>
      <c r="D24" s="48" t="n">
        <v>1372.18</v>
      </c>
      <c r="E24" s="49" t="n">
        <f aca="false">D24-cover</f>
        <v>1370.98</v>
      </c>
      <c r="F24" s="50" t="n">
        <f aca="false">'Z3 Grit-WTP'!S18-'Z3 Grit-WTP'!P18*C24/'Z3 Grit-WTP'!G18</f>
        <v>1379.44552342222</v>
      </c>
      <c r="G24" s="51" t="n">
        <f aca="false">'Z3 Grit-WTP'!$B$8-E24</f>
        <v>7.01999999999998</v>
      </c>
      <c r="H24" s="52" t="n">
        <f aca="false">F24-E24</f>
        <v>8.46552342222049</v>
      </c>
      <c r="I24" s="52" t="n">
        <f aca="false">MAX(H24,G24)</f>
        <v>8.46552342222049</v>
      </c>
      <c r="J24" s="4" t="str">
        <f aca="false">IFERROR("PN"&amp;SMALL(PN_list,COUNTIF(PN_list,"&lt;"&amp;I24*bar_per_m)+1),"&gt; max PN")</f>
        <v>PN10</v>
      </c>
      <c r="K24" s="4" t="str">
        <f aca="false">IF(L24="no","end at tank",IF(H24&lt;0,"NEGATIVE",IF(H24&lt;p_min-0.005,"low","OK")))</f>
        <v>OK</v>
      </c>
      <c r="L24" s="4" t="s">
        <v>414</v>
      </c>
    </row>
    <row r="25" customFormat="false" ht="15" hidden="false" customHeight="false" outlineLevel="0" collapsed="false">
      <c r="A25" s="4" t="s">
        <v>38</v>
      </c>
      <c r="B25" s="4" t="s">
        <v>356</v>
      </c>
      <c r="C25" s="47" t="n">
        <v>878.45</v>
      </c>
      <c r="D25" s="48" t="n">
        <v>1372.1</v>
      </c>
      <c r="E25" s="49" t="n">
        <f aca="false">D25-cover</f>
        <v>1370.9</v>
      </c>
      <c r="F25" s="50" t="n">
        <f aca="false">'Z3 Grit-WTP'!S18-'Z3 Grit-WTP'!P18*C25/'Z3 Grit-WTP'!G18</f>
        <v>1379.35643655515</v>
      </c>
      <c r="G25" s="51" t="n">
        <f aca="false">'Z3 Grit-WTP'!$B$8-E25</f>
        <v>7.10000000000014</v>
      </c>
      <c r="H25" s="52" t="n">
        <f aca="false">F25-E25</f>
        <v>8.45643655515005</v>
      </c>
      <c r="I25" s="52" t="n">
        <f aca="false">MAX(H25,G25)</f>
        <v>8.45643655515005</v>
      </c>
      <c r="J25" s="4" t="str">
        <f aca="false">IFERROR("PN"&amp;SMALL(PN_list,COUNTIF(PN_list,"&lt;"&amp;I25*bar_per_m)+1),"&gt; max PN")</f>
        <v>PN10</v>
      </c>
      <c r="K25" s="4" t="str">
        <f aca="false">IF(L25="no","end at tank",IF(H25&lt;0,"NEGATIVE",IF(H25&lt;p_min-0.005,"low","OK")))</f>
        <v>OK</v>
      </c>
      <c r="L25" s="4" t="s">
        <v>414</v>
      </c>
    </row>
    <row r="26" customFormat="false" ht="15" hidden="false" customHeight="false" outlineLevel="0" collapsed="false">
      <c r="A26" s="4" t="s">
        <v>38</v>
      </c>
      <c r="B26" s="4" t="s">
        <v>356</v>
      </c>
      <c r="C26" s="47" t="n">
        <v>928.46</v>
      </c>
      <c r="D26" s="48" t="n">
        <v>1371.84</v>
      </c>
      <c r="E26" s="49" t="n">
        <f aca="false">D26-cover</f>
        <v>1370.64</v>
      </c>
      <c r="F26" s="50" t="n">
        <f aca="false">'Z3 Grit-WTP'!S18-'Z3 Grit-WTP'!P18*C26/'Z3 Grit-WTP'!G18</f>
        <v>1379.26733187071</v>
      </c>
      <c r="G26" s="51" t="n">
        <f aca="false">'Z3 Grit-WTP'!$B$8-E26</f>
        <v>7.36000000000013</v>
      </c>
      <c r="H26" s="52" t="n">
        <f aca="false">F26-E26</f>
        <v>8.6273318707058</v>
      </c>
      <c r="I26" s="52" t="n">
        <f aca="false">MAX(H26,G26)</f>
        <v>8.6273318707058</v>
      </c>
      <c r="J26" s="4" t="str">
        <f aca="false">IFERROR("PN"&amp;SMALL(PN_list,COUNTIF(PN_list,"&lt;"&amp;I26*bar_per_m)+1),"&gt; max PN")</f>
        <v>PN10</v>
      </c>
      <c r="K26" s="4" t="str">
        <f aca="false">IF(L26="no","end at tank",IF(H26&lt;0,"NEGATIVE",IF(H26&lt;p_min-0.005,"low","OK")))</f>
        <v>OK</v>
      </c>
      <c r="L26" s="4" t="s">
        <v>414</v>
      </c>
    </row>
    <row r="27" customFormat="false" ht="15" hidden="false" customHeight="false" outlineLevel="0" collapsed="false">
      <c r="A27" s="4" t="s">
        <v>38</v>
      </c>
      <c r="B27" s="4" t="s">
        <v>356</v>
      </c>
      <c r="C27" s="47" t="n">
        <v>978.46</v>
      </c>
      <c r="D27" s="48" t="n">
        <v>1371.59</v>
      </c>
      <c r="E27" s="49" t="n">
        <f aca="false">D27-cover</f>
        <v>1370.39</v>
      </c>
      <c r="F27" s="50" t="n">
        <f aca="false">'Z3 Grit-WTP'!S18-'Z3 Grit-WTP'!P18*C27/'Z3 Grit-WTP'!G18</f>
        <v>1379.17824500364</v>
      </c>
      <c r="G27" s="51" t="n">
        <f aca="false">'Z3 Grit-WTP'!$B$8-E27</f>
        <v>7.61000000000013</v>
      </c>
      <c r="H27" s="52" t="n">
        <f aca="false">F27-E27</f>
        <v>8.78824500363521</v>
      </c>
      <c r="I27" s="52" t="n">
        <f aca="false">MAX(H27,G27)</f>
        <v>8.78824500363521</v>
      </c>
      <c r="J27" s="4" t="str">
        <f aca="false">IFERROR("PN"&amp;SMALL(PN_list,COUNTIF(PN_list,"&lt;"&amp;I27*bar_per_m)+1),"&gt; max PN")</f>
        <v>PN10</v>
      </c>
      <c r="K27" s="4" t="str">
        <f aca="false">IF(L27="no","end at tank",IF(H27&lt;0,"NEGATIVE",IF(H27&lt;p_min-0.005,"low","OK")))</f>
        <v>OK</v>
      </c>
      <c r="L27" s="4" t="s">
        <v>414</v>
      </c>
    </row>
    <row r="28" customFormat="false" ht="15" hidden="false" customHeight="false" outlineLevel="0" collapsed="false">
      <c r="A28" s="4" t="s">
        <v>38</v>
      </c>
      <c r="B28" s="4" t="s">
        <v>356</v>
      </c>
      <c r="C28" s="47" t="n">
        <v>1028.46</v>
      </c>
      <c r="D28" s="48" t="n">
        <v>1371.93</v>
      </c>
      <c r="E28" s="49" t="n">
        <f aca="false">D28-cover</f>
        <v>1370.73</v>
      </c>
      <c r="F28" s="50" t="n">
        <f aca="false">'Z3 Grit-WTP'!S18-'Z3 Grit-WTP'!P18*C28/'Z3 Grit-WTP'!G18</f>
        <v>1379.08915813656</v>
      </c>
      <c r="G28" s="51" t="n">
        <f aca="false">'Z3 Grit-WTP'!$B$8-E28</f>
        <v>7.26999999999998</v>
      </c>
      <c r="H28" s="52" t="n">
        <f aca="false">F28-E28</f>
        <v>8.35915813656425</v>
      </c>
      <c r="I28" s="52" t="n">
        <f aca="false">MAX(H28,G28)</f>
        <v>8.35915813656425</v>
      </c>
      <c r="J28" s="4" t="str">
        <f aca="false">IFERROR("PN"&amp;SMALL(PN_list,COUNTIF(PN_list,"&lt;"&amp;I28*bar_per_m)+1),"&gt; max PN")</f>
        <v>PN10</v>
      </c>
      <c r="K28" s="4" t="str">
        <f aca="false">IF(L28="no","end at tank",IF(H28&lt;0,"NEGATIVE",IF(H28&lt;p_min-0.005,"low","OK")))</f>
        <v>OK</v>
      </c>
      <c r="L28" s="4" t="s">
        <v>414</v>
      </c>
    </row>
    <row r="29" customFormat="false" ht="15" hidden="false" customHeight="false" outlineLevel="0" collapsed="false">
      <c r="A29" s="4" t="s">
        <v>38</v>
      </c>
      <c r="B29" s="4" t="s">
        <v>356</v>
      </c>
      <c r="C29" s="47" t="n">
        <v>1078.46</v>
      </c>
      <c r="D29" s="48" t="n">
        <v>1372.2</v>
      </c>
      <c r="E29" s="49" t="n">
        <f aca="false">D29-cover</f>
        <v>1371</v>
      </c>
      <c r="F29" s="50" t="n">
        <f aca="false">'Z3 Grit-WTP'!S18-'Z3 Grit-WTP'!P18*C29/'Z3 Grit-WTP'!G18</f>
        <v>1379.00007126949</v>
      </c>
      <c r="G29" s="51" t="n">
        <f aca="false">'Z3 Grit-WTP'!$B$8-E29</f>
        <v>7</v>
      </c>
      <c r="H29" s="52" t="n">
        <f aca="false">F29-E29</f>
        <v>8.00007126949367</v>
      </c>
      <c r="I29" s="52" t="n">
        <f aca="false">MAX(H29,G29)</f>
        <v>8.00007126949367</v>
      </c>
      <c r="J29" s="4" t="str">
        <f aca="false">IFERROR("PN"&amp;SMALL(PN_list,COUNTIF(PN_list,"&lt;"&amp;I29*bar_per_m)+1),"&gt; max PN")</f>
        <v>PN10</v>
      </c>
      <c r="K29" s="4" t="str">
        <f aca="false">IF(L29="no","end at tank",IF(H29&lt;0,"NEGATIVE",IF(H29&lt;p_min-0.005,"low","OK")))</f>
        <v>end at tank</v>
      </c>
      <c r="L29" s="4" t="s">
        <v>413</v>
      </c>
    </row>
    <row r="30" customFormat="false" ht="15" hidden="false" customHeight="false" outlineLevel="0" collapsed="false">
      <c r="A30" s="4" t="s">
        <v>40</v>
      </c>
      <c r="B30" s="4" t="s">
        <v>363</v>
      </c>
      <c r="C30" s="47" t="n">
        <v>0</v>
      </c>
      <c r="D30" s="48" t="n">
        <v>1372.2</v>
      </c>
      <c r="E30" s="49" t="n">
        <f aca="false">D30-cover</f>
        <v>1371</v>
      </c>
      <c r="F30" s="50" t="n">
        <f aca="false">'Z4 WTP-Ikana'!S18-'Z4 WTP-Ikana'!P18*C30/'Z4 WTP-Ikana'!G18</f>
        <v>1699.63241972156</v>
      </c>
      <c r="G30" s="51" t="n">
        <f aca="false">'Z4 WTP-Ikana'!$B$8-E30</f>
        <v>297</v>
      </c>
      <c r="H30" s="52" t="n">
        <f aca="false">F30-E30</f>
        <v>328.632419721556</v>
      </c>
      <c r="I30" s="52" t="n">
        <f aca="false">MAX(H30,G30)</f>
        <v>328.632419721556</v>
      </c>
      <c r="J30" s="4" t="str">
        <f aca="false">IFERROR("PN"&amp;SMALL(PN_list,COUNTIF(PN_list,"&lt;"&amp;I30*bar_per_m)+1),"&gt; max PN")</f>
        <v>PN40</v>
      </c>
      <c r="K30" s="4" t="str">
        <f aca="false">IF(L30="no","end at tank",IF(H30&lt;0,"NEGATIVE",IF(H30&lt;p_min-0.005,"low","OK")))</f>
        <v>end at tank</v>
      </c>
      <c r="L30" s="4" t="s">
        <v>413</v>
      </c>
    </row>
    <row r="31" customFormat="false" ht="15" hidden="false" customHeight="false" outlineLevel="0" collapsed="false">
      <c r="A31" s="4" t="s">
        <v>40</v>
      </c>
      <c r="B31" s="4" t="s">
        <v>363</v>
      </c>
      <c r="C31" s="47" t="n">
        <v>50.01</v>
      </c>
      <c r="D31" s="48" t="n">
        <v>1373.21</v>
      </c>
      <c r="E31" s="49" t="n">
        <f aca="false">D31-cover</f>
        <v>1372.01</v>
      </c>
      <c r="F31" s="50" t="n">
        <f aca="false">'Z4 WTP-Ikana'!S18-'Z4 WTP-Ikana'!P18*C31/'Z4 WTP-Ikana'!G18</f>
        <v>1699.55452088754</v>
      </c>
      <c r="G31" s="51" t="n">
        <f aca="false">'Z4 WTP-Ikana'!$B$8-E31</f>
        <v>295.99</v>
      </c>
      <c r="H31" s="52" t="n">
        <f aca="false">F31-E31</f>
        <v>327.544520887537</v>
      </c>
      <c r="I31" s="52" t="n">
        <f aca="false">MAX(H31,G31)</f>
        <v>327.544520887537</v>
      </c>
      <c r="J31" s="4" t="str">
        <f aca="false">IFERROR("PN"&amp;SMALL(PN_list,COUNTIF(PN_list,"&lt;"&amp;I31*bar_per_m)+1),"&gt; max PN")</f>
        <v>PN40</v>
      </c>
      <c r="K31" s="4" t="str">
        <f aca="false">IF(L31="no","end at tank",IF(H31&lt;0,"NEGATIVE",IF(H31&lt;p_min-0.005,"low","OK")))</f>
        <v>OK</v>
      </c>
      <c r="L31" s="4" t="s">
        <v>414</v>
      </c>
    </row>
    <row r="32" customFormat="false" ht="15" hidden="false" customHeight="false" outlineLevel="0" collapsed="false">
      <c r="A32" s="4" t="s">
        <v>40</v>
      </c>
      <c r="B32" s="4" t="s">
        <v>363</v>
      </c>
      <c r="C32" s="47" t="n">
        <v>100.02</v>
      </c>
      <c r="D32" s="48" t="n">
        <v>1374.1</v>
      </c>
      <c r="E32" s="49" t="n">
        <f aca="false">D32-cover</f>
        <v>1372.9</v>
      </c>
      <c r="F32" s="50" t="n">
        <f aca="false">'Z4 WTP-Ikana'!S18-'Z4 WTP-Ikana'!P18*C32/'Z4 WTP-Ikana'!G18</f>
        <v>1699.47662205352</v>
      </c>
      <c r="G32" s="51" t="n">
        <f aca="false">'Z4 WTP-Ikana'!$B$8-E32</f>
        <v>295.1</v>
      </c>
      <c r="H32" s="52" t="n">
        <f aca="false">F32-E32</f>
        <v>326.576622053519</v>
      </c>
      <c r="I32" s="52" t="n">
        <f aca="false">MAX(H32,G32)</f>
        <v>326.576622053519</v>
      </c>
      <c r="J32" s="4" t="str">
        <f aca="false">IFERROR("PN"&amp;SMALL(PN_list,COUNTIF(PN_list,"&lt;"&amp;I32*bar_per_m)+1),"&gt; max PN")</f>
        <v>PN40</v>
      </c>
      <c r="K32" s="4" t="str">
        <f aca="false">IF(L32="no","end at tank",IF(H32&lt;0,"NEGATIVE",IF(H32&lt;p_min-0.005,"low","OK")))</f>
        <v>OK</v>
      </c>
      <c r="L32" s="4" t="s">
        <v>414</v>
      </c>
    </row>
    <row r="33" customFormat="false" ht="15" hidden="false" customHeight="false" outlineLevel="0" collapsed="false">
      <c r="A33" s="4" t="s">
        <v>40</v>
      </c>
      <c r="B33" s="4" t="s">
        <v>363</v>
      </c>
      <c r="C33" s="47" t="n">
        <v>150.03</v>
      </c>
      <c r="D33" s="48" t="n">
        <v>1375.25</v>
      </c>
      <c r="E33" s="49" t="n">
        <f aca="false">D33-cover</f>
        <v>1374.05</v>
      </c>
      <c r="F33" s="50" t="n">
        <f aca="false">'Z4 WTP-Ikana'!S18-'Z4 WTP-Ikana'!P18*C33/'Z4 WTP-Ikana'!G18</f>
        <v>1699.3987232195</v>
      </c>
      <c r="G33" s="51" t="n">
        <f aca="false">'Z4 WTP-Ikana'!$B$8-E33</f>
        <v>293.95</v>
      </c>
      <c r="H33" s="52" t="n">
        <f aca="false">F33-E33</f>
        <v>325.3487232195</v>
      </c>
      <c r="I33" s="52" t="n">
        <f aca="false">MAX(H33,G33)</f>
        <v>325.3487232195</v>
      </c>
      <c r="J33" s="4" t="str">
        <f aca="false">IFERROR("PN"&amp;SMALL(PN_list,COUNTIF(PN_list,"&lt;"&amp;I33*bar_per_m)+1),"&gt; max PN")</f>
        <v>PN40</v>
      </c>
      <c r="K33" s="4" t="str">
        <f aca="false">IF(L33="no","end at tank",IF(H33&lt;0,"NEGATIVE",IF(H33&lt;p_min-0.005,"low","OK")))</f>
        <v>OK</v>
      </c>
      <c r="L33" s="4" t="s">
        <v>414</v>
      </c>
    </row>
    <row r="34" customFormat="false" ht="15" hidden="false" customHeight="false" outlineLevel="0" collapsed="false">
      <c r="A34" s="4" t="s">
        <v>40</v>
      </c>
      <c r="B34" s="4" t="s">
        <v>363</v>
      </c>
      <c r="C34" s="47" t="n">
        <v>200.04</v>
      </c>
      <c r="D34" s="48" t="n">
        <v>1376.32</v>
      </c>
      <c r="E34" s="49" t="n">
        <f aca="false">D34-cover</f>
        <v>1375.12</v>
      </c>
      <c r="F34" s="50" t="n">
        <f aca="false">'Z4 WTP-Ikana'!S18-'Z4 WTP-Ikana'!P18*C34/'Z4 WTP-Ikana'!G18</f>
        <v>1699.32082438548</v>
      </c>
      <c r="G34" s="51" t="n">
        <f aca="false">'Z4 WTP-Ikana'!$B$8-E34</f>
        <v>292.88</v>
      </c>
      <c r="H34" s="52" t="n">
        <f aca="false">F34-E34</f>
        <v>324.200824385482</v>
      </c>
      <c r="I34" s="52" t="n">
        <f aca="false">MAX(H34,G34)</f>
        <v>324.200824385482</v>
      </c>
      <c r="J34" s="4" t="str">
        <f aca="false">IFERROR("PN"&amp;SMALL(PN_list,COUNTIF(PN_list,"&lt;"&amp;I34*bar_per_m)+1),"&gt; max PN")</f>
        <v>PN40</v>
      </c>
      <c r="K34" s="4" t="str">
        <f aca="false">IF(L34="no","end at tank",IF(H34&lt;0,"NEGATIVE",IF(H34&lt;p_min-0.005,"low","OK")))</f>
        <v>OK</v>
      </c>
      <c r="L34" s="4" t="s">
        <v>414</v>
      </c>
    </row>
    <row r="35" customFormat="false" ht="15" hidden="false" customHeight="false" outlineLevel="0" collapsed="false">
      <c r="A35" s="4" t="s">
        <v>40</v>
      </c>
      <c r="B35" s="4" t="s">
        <v>363</v>
      </c>
      <c r="C35" s="47" t="n">
        <v>250.05</v>
      </c>
      <c r="D35" s="48" t="n">
        <v>1377.16</v>
      </c>
      <c r="E35" s="49" t="n">
        <f aca="false">D35-cover</f>
        <v>1375.96</v>
      </c>
      <c r="F35" s="50" t="n">
        <f aca="false">'Z4 WTP-Ikana'!S18-'Z4 WTP-Ikana'!P18*C35/'Z4 WTP-Ikana'!G18</f>
        <v>1699.24292555146</v>
      </c>
      <c r="G35" s="51" t="n">
        <f aca="false">'Z4 WTP-Ikana'!$B$8-E35</f>
        <v>292.04</v>
      </c>
      <c r="H35" s="52" t="n">
        <f aca="false">F35-E35</f>
        <v>323.282925551463</v>
      </c>
      <c r="I35" s="52" t="n">
        <f aca="false">MAX(H35,G35)</f>
        <v>323.282925551463</v>
      </c>
      <c r="J35" s="4" t="str">
        <f aca="false">IFERROR("PN"&amp;SMALL(PN_list,COUNTIF(PN_list,"&lt;"&amp;I35*bar_per_m)+1),"&gt; max PN")</f>
        <v>PN40</v>
      </c>
      <c r="K35" s="4" t="str">
        <f aca="false">IF(L35="no","end at tank",IF(H35&lt;0,"NEGATIVE",IF(H35&lt;p_min-0.005,"low","OK")))</f>
        <v>OK</v>
      </c>
      <c r="L35" s="4" t="s">
        <v>414</v>
      </c>
    </row>
    <row r="36" customFormat="false" ht="15" hidden="false" customHeight="false" outlineLevel="0" collapsed="false">
      <c r="A36" s="4" t="s">
        <v>40</v>
      </c>
      <c r="B36" s="4" t="s">
        <v>363</v>
      </c>
      <c r="C36" s="47" t="n">
        <v>300.08</v>
      </c>
      <c r="D36" s="48" t="n">
        <v>1378.79</v>
      </c>
      <c r="E36" s="49" t="n">
        <f aca="false">D36-cover</f>
        <v>1377.59</v>
      </c>
      <c r="F36" s="50" t="n">
        <f aca="false">'Z4 WTP-Ikana'!S18-'Z4 WTP-Ikana'!P18*C36/'Z4 WTP-Ikana'!G18</f>
        <v>1699.16499556414</v>
      </c>
      <c r="G36" s="51" t="n">
        <f aca="false">'Z4 WTP-Ikana'!$B$8-E36</f>
        <v>290.41</v>
      </c>
      <c r="H36" s="52" t="n">
        <f aca="false">F36-E36</f>
        <v>321.574995564142</v>
      </c>
      <c r="I36" s="52" t="n">
        <f aca="false">MAX(H36,G36)</f>
        <v>321.574995564142</v>
      </c>
      <c r="J36" s="4" t="str">
        <f aca="false">IFERROR("PN"&amp;SMALL(PN_list,COUNTIF(PN_list,"&lt;"&amp;I36*bar_per_m)+1),"&gt; max PN")</f>
        <v>PN40</v>
      </c>
      <c r="K36" s="4" t="str">
        <f aca="false">IF(L36="no","end at tank",IF(H36&lt;0,"NEGATIVE",IF(H36&lt;p_min-0.005,"low","OK")))</f>
        <v>OK</v>
      </c>
      <c r="L36" s="4" t="s">
        <v>414</v>
      </c>
    </row>
    <row r="37" customFormat="false" ht="15" hidden="false" customHeight="false" outlineLevel="0" collapsed="false">
      <c r="A37" s="4" t="s">
        <v>40</v>
      </c>
      <c r="B37" s="4" t="s">
        <v>363</v>
      </c>
      <c r="C37" s="47" t="n">
        <v>350.09</v>
      </c>
      <c r="D37" s="48" t="n">
        <v>1379.95</v>
      </c>
      <c r="E37" s="49" t="n">
        <f aca="false">D37-cover</f>
        <v>1378.75</v>
      </c>
      <c r="F37" s="50" t="n">
        <f aca="false">'Z4 WTP-Ikana'!S18-'Z4 WTP-Ikana'!P18*C37/'Z4 WTP-Ikana'!G18</f>
        <v>1699.08709673012</v>
      </c>
      <c r="G37" s="51" t="n">
        <f aca="false">'Z4 WTP-Ikana'!$B$8-E37</f>
        <v>289.25</v>
      </c>
      <c r="H37" s="52" t="n">
        <f aca="false">F37-E37</f>
        <v>320.337096730123</v>
      </c>
      <c r="I37" s="52" t="n">
        <f aca="false">MAX(H37,G37)</f>
        <v>320.337096730123</v>
      </c>
      <c r="J37" s="4" t="str">
        <f aca="false">IFERROR("PN"&amp;SMALL(PN_list,COUNTIF(PN_list,"&lt;"&amp;I37*bar_per_m)+1),"&gt; max PN")</f>
        <v>PN40</v>
      </c>
      <c r="K37" s="4" t="str">
        <f aca="false">IF(L37="no","end at tank",IF(H37&lt;0,"NEGATIVE",IF(H37&lt;p_min-0.005,"low","OK")))</f>
        <v>OK</v>
      </c>
      <c r="L37" s="4" t="s">
        <v>414</v>
      </c>
    </row>
    <row r="38" customFormat="false" ht="15" hidden="false" customHeight="false" outlineLevel="0" collapsed="false">
      <c r="A38" s="4" t="s">
        <v>40</v>
      </c>
      <c r="B38" s="4" t="s">
        <v>363</v>
      </c>
      <c r="C38" s="47" t="n">
        <v>400.12</v>
      </c>
      <c r="D38" s="48" t="n">
        <v>1381.63</v>
      </c>
      <c r="E38" s="49" t="n">
        <f aca="false">D38-cover</f>
        <v>1380.43</v>
      </c>
      <c r="F38" s="50" t="n">
        <f aca="false">'Z4 WTP-Ikana'!S18-'Z4 WTP-Ikana'!P18*C38/'Z4 WTP-Ikana'!G18</f>
        <v>1699.0091667428</v>
      </c>
      <c r="G38" s="51" t="n">
        <f aca="false">'Z4 WTP-Ikana'!$B$8-E38</f>
        <v>287.57</v>
      </c>
      <c r="H38" s="52" t="n">
        <f aca="false">F38-E38</f>
        <v>318.579166742802</v>
      </c>
      <c r="I38" s="52" t="n">
        <f aca="false">MAX(H38,G38)</f>
        <v>318.579166742802</v>
      </c>
      <c r="J38" s="4" t="str">
        <f aca="false">IFERROR("PN"&amp;SMALL(PN_list,COUNTIF(PN_list,"&lt;"&amp;I38*bar_per_m)+1),"&gt; max PN")</f>
        <v>PN40</v>
      </c>
      <c r="K38" s="4" t="str">
        <f aca="false">IF(L38="no","end at tank",IF(H38&lt;0,"NEGATIVE",IF(H38&lt;p_min-0.005,"low","OK")))</f>
        <v>OK</v>
      </c>
      <c r="L38" s="4" t="s">
        <v>414</v>
      </c>
    </row>
    <row r="39" customFormat="false" ht="15" hidden="false" customHeight="false" outlineLevel="0" collapsed="false">
      <c r="A39" s="4" t="s">
        <v>40</v>
      </c>
      <c r="B39" s="4" t="s">
        <v>363</v>
      </c>
      <c r="C39" s="47" t="n">
        <v>450.15</v>
      </c>
      <c r="D39" s="48" t="n">
        <v>1383.37</v>
      </c>
      <c r="E39" s="49" t="n">
        <f aca="false">D39-cover</f>
        <v>1382.17</v>
      </c>
      <c r="F39" s="50" t="n">
        <f aca="false">'Z4 WTP-Ikana'!S18-'Z4 WTP-Ikana'!P18*C39/'Z4 WTP-Ikana'!G18</f>
        <v>1698.93123675548</v>
      </c>
      <c r="G39" s="51" t="n">
        <f aca="false">'Z4 WTP-Ikana'!$B$8-E39</f>
        <v>285.83</v>
      </c>
      <c r="H39" s="52" t="n">
        <f aca="false">F39-E39</f>
        <v>316.76123675548</v>
      </c>
      <c r="I39" s="52" t="n">
        <f aca="false">MAX(H39,G39)</f>
        <v>316.76123675548</v>
      </c>
      <c r="J39" s="4" t="str">
        <f aca="false">IFERROR("PN"&amp;SMALL(PN_list,COUNTIF(PN_list,"&lt;"&amp;I39*bar_per_m)+1),"&gt; max PN")</f>
        <v>PN40</v>
      </c>
      <c r="K39" s="4" t="str">
        <f aca="false">IF(L39="no","end at tank",IF(H39&lt;0,"NEGATIVE",IF(H39&lt;p_min-0.005,"low","OK")))</f>
        <v>OK</v>
      </c>
      <c r="L39" s="4" t="s">
        <v>414</v>
      </c>
    </row>
    <row r="40" customFormat="false" ht="15" hidden="false" customHeight="false" outlineLevel="0" collapsed="false">
      <c r="A40" s="4" t="s">
        <v>40</v>
      </c>
      <c r="B40" s="4" t="s">
        <v>363</v>
      </c>
      <c r="C40" s="47" t="n">
        <v>500.16</v>
      </c>
      <c r="D40" s="48" t="n">
        <v>1384.37</v>
      </c>
      <c r="E40" s="49" t="n">
        <f aca="false">D40-cover</f>
        <v>1383.17</v>
      </c>
      <c r="F40" s="50" t="n">
        <f aca="false">'Z4 WTP-Ikana'!S18-'Z4 WTP-Ikana'!P18*C40/'Z4 WTP-Ikana'!G18</f>
        <v>1698.85333792146</v>
      </c>
      <c r="G40" s="51" t="n">
        <f aca="false">'Z4 WTP-Ikana'!$B$8-E40</f>
        <v>284.83</v>
      </c>
      <c r="H40" s="52" t="n">
        <f aca="false">F40-E40</f>
        <v>315.683337921462</v>
      </c>
      <c r="I40" s="52" t="n">
        <f aca="false">MAX(H40,G40)</f>
        <v>315.683337921462</v>
      </c>
      <c r="J40" s="4" t="str">
        <f aca="false">IFERROR("PN"&amp;SMALL(PN_list,COUNTIF(PN_list,"&lt;"&amp;I40*bar_per_m)+1),"&gt; max PN")</f>
        <v>PN40</v>
      </c>
      <c r="K40" s="4" t="str">
        <f aca="false">IF(L40="no","end at tank",IF(H40&lt;0,"NEGATIVE",IF(H40&lt;p_min-0.005,"low","OK")))</f>
        <v>OK</v>
      </c>
      <c r="L40" s="4" t="s">
        <v>414</v>
      </c>
    </row>
    <row r="41" customFormat="false" ht="15" hidden="false" customHeight="false" outlineLevel="0" collapsed="false">
      <c r="A41" s="4" t="s">
        <v>40</v>
      </c>
      <c r="B41" s="4" t="s">
        <v>363</v>
      </c>
      <c r="C41" s="47" t="n">
        <v>550.19</v>
      </c>
      <c r="D41" s="48" t="n">
        <v>1386.2</v>
      </c>
      <c r="E41" s="49" t="n">
        <f aca="false">D41-cover</f>
        <v>1385</v>
      </c>
      <c r="F41" s="50" t="n">
        <f aca="false">'Z4 WTP-Ikana'!S18-'Z4 WTP-Ikana'!P18*C41/'Z4 WTP-Ikana'!G18</f>
        <v>1698.77540793414</v>
      </c>
      <c r="G41" s="51" t="n">
        <f aca="false">'Z4 WTP-Ikana'!$B$8-E41</f>
        <v>283</v>
      </c>
      <c r="H41" s="52" t="n">
        <f aca="false">F41-E41</f>
        <v>313.77540793414</v>
      </c>
      <c r="I41" s="52" t="n">
        <f aca="false">MAX(H41,G41)</f>
        <v>313.77540793414</v>
      </c>
      <c r="J41" s="4" t="str">
        <f aca="false">IFERROR("PN"&amp;SMALL(PN_list,COUNTIF(PN_list,"&lt;"&amp;I41*bar_per_m)+1),"&gt; max PN")</f>
        <v>PN40</v>
      </c>
      <c r="K41" s="4" t="str">
        <f aca="false">IF(L41="no","end at tank",IF(H41&lt;0,"NEGATIVE",IF(H41&lt;p_min-0.005,"low","OK")))</f>
        <v>OK</v>
      </c>
      <c r="L41" s="4" t="s">
        <v>414</v>
      </c>
    </row>
    <row r="42" customFormat="false" ht="15" hidden="false" customHeight="false" outlineLevel="0" collapsed="false">
      <c r="A42" s="4" t="s">
        <v>40</v>
      </c>
      <c r="B42" s="4" t="s">
        <v>363</v>
      </c>
      <c r="C42" s="47" t="n">
        <v>600.21</v>
      </c>
      <c r="D42" s="48" t="n">
        <v>1387.64</v>
      </c>
      <c r="E42" s="49" t="n">
        <f aca="false">D42-cover</f>
        <v>1386.44</v>
      </c>
      <c r="F42" s="50" t="n">
        <f aca="false">'Z4 WTP-Ikana'!S18-'Z4 WTP-Ikana'!P18*C42/'Z4 WTP-Ikana'!G18</f>
        <v>1698.69749352347</v>
      </c>
      <c r="G42" s="51" t="n">
        <f aca="false">'Z4 WTP-Ikana'!$B$8-E42</f>
        <v>281.56</v>
      </c>
      <c r="H42" s="52" t="n">
        <f aca="false">F42-E42</f>
        <v>312.25749352347</v>
      </c>
      <c r="I42" s="52" t="n">
        <f aca="false">MAX(H42,G42)</f>
        <v>312.25749352347</v>
      </c>
      <c r="J42" s="4" t="str">
        <f aca="false">IFERROR("PN"&amp;SMALL(PN_list,COUNTIF(PN_list,"&lt;"&amp;I42*bar_per_m)+1),"&gt; max PN")</f>
        <v>PN40</v>
      </c>
      <c r="K42" s="4" t="str">
        <f aca="false">IF(L42="no","end at tank",IF(H42&lt;0,"NEGATIVE",IF(H42&lt;p_min-0.005,"low","OK")))</f>
        <v>OK</v>
      </c>
      <c r="L42" s="4" t="s">
        <v>414</v>
      </c>
    </row>
    <row r="43" customFormat="false" ht="15" hidden="false" customHeight="false" outlineLevel="0" collapsed="false">
      <c r="A43" s="4" t="s">
        <v>40</v>
      </c>
      <c r="B43" s="4" t="s">
        <v>363</v>
      </c>
      <c r="C43" s="47" t="n">
        <v>650.22</v>
      </c>
      <c r="D43" s="48" t="n">
        <v>1388.72</v>
      </c>
      <c r="E43" s="49" t="n">
        <f aca="false">D43-cover</f>
        <v>1387.52</v>
      </c>
      <c r="F43" s="50" t="n">
        <f aca="false">'Z4 WTP-Ikana'!S18-'Z4 WTP-Ikana'!P18*C43/'Z4 WTP-Ikana'!G18</f>
        <v>1698.61959468945</v>
      </c>
      <c r="G43" s="51" t="n">
        <f aca="false">'Z4 WTP-Ikana'!$B$8-E43</f>
        <v>280.48</v>
      </c>
      <c r="H43" s="52" t="n">
        <f aca="false">F43-E43</f>
        <v>311.099594689452</v>
      </c>
      <c r="I43" s="52" t="n">
        <f aca="false">MAX(H43,G43)</f>
        <v>311.099594689452</v>
      </c>
      <c r="J43" s="4" t="str">
        <f aca="false">IFERROR("PN"&amp;SMALL(PN_list,COUNTIF(PN_list,"&lt;"&amp;I43*bar_per_m)+1),"&gt; max PN")</f>
        <v>PN40</v>
      </c>
      <c r="K43" s="4" t="str">
        <f aca="false">IF(L43="no","end at tank",IF(H43&lt;0,"NEGATIVE",IF(H43&lt;p_min-0.005,"low","OK")))</f>
        <v>OK</v>
      </c>
      <c r="L43" s="4" t="s">
        <v>414</v>
      </c>
    </row>
    <row r="44" customFormat="false" ht="15" hidden="false" customHeight="false" outlineLevel="0" collapsed="false">
      <c r="A44" s="4" t="s">
        <v>40</v>
      </c>
      <c r="B44" s="4" t="s">
        <v>363</v>
      </c>
      <c r="C44" s="47" t="n">
        <v>700.24</v>
      </c>
      <c r="D44" s="48" t="n">
        <v>1389.8</v>
      </c>
      <c r="E44" s="49" t="n">
        <f aca="false">D44-cover</f>
        <v>1388.6</v>
      </c>
      <c r="F44" s="50" t="n">
        <f aca="false">'Z4 WTP-Ikana'!S18-'Z4 WTP-Ikana'!P18*C44/'Z4 WTP-Ikana'!G18</f>
        <v>1698.54168027878</v>
      </c>
      <c r="G44" s="51" t="n">
        <f aca="false">'Z4 WTP-Ikana'!$B$8-E44</f>
        <v>279.4</v>
      </c>
      <c r="H44" s="52" t="n">
        <f aca="false">F44-E44</f>
        <v>309.941680278782</v>
      </c>
      <c r="I44" s="52" t="n">
        <f aca="false">MAX(H44,G44)</f>
        <v>309.941680278782</v>
      </c>
      <c r="J44" s="4" t="str">
        <f aca="false">IFERROR("PN"&amp;SMALL(PN_list,COUNTIF(PN_list,"&lt;"&amp;I44*bar_per_m)+1),"&gt; max PN")</f>
        <v>PN40</v>
      </c>
      <c r="K44" s="4" t="str">
        <f aca="false">IF(L44="no","end at tank",IF(H44&lt;0,"NEGATIVE",IF(H44&lt;p_min-0.005,"low","OK")))</f>
        <v>OK</v>
      </c>
      <c r="L44" s="4" t="s">
        <v>414</v>
      </c>
    </row>
    <row r="45" customFormat="false" ht="15" hidden="false" customHeight="false" outlineLevel="0" collapsed="false">
      <c r="A45" s="4" t="s">
        <v>40</v>
      </c>
      <c r="B45" s="4" t="s">
        <v>363</v>
      </c>
      <c r="C45" s="47" t="n">
        <v>750.24</v>
      </c>
      <c r="D45" s="48" t="n">
        <v>1390.58</v>
      </c>
      <c r="E45" s="49" t="n">
        <f aca="false">D45-cover</f>
        <v>1389.38</v>
      </c>
      <c r="F45" s="50" t="n">
        <f aca="false">'Z4 WTP-Ikana'!S18-'Z4 WTP-Ikana'!P18*C45/'Z4 WTP-Ikana'!G18</f>
        <v>1698.46379702141</v>
      </c>
      <c r="G45" s="51" t="n">
        <f aca="false">'Z4 WTP-Ikana'!$B$8-E45</f>
        <v>278.62</v>
      </c>
      <c r="H45" s="52" t="n">
        <f aca="false">F45-E45</f>
        <v>309.083797021415</v>
      </c>
      <c r="I45" s="52" t="n">
        <f aca="false">MAX(H45,G45)</f>
        <v>309.083797021415</v>
      </c>
      <c r="J45" s="4" t="str">
        <f aca="false">IFERROR("PN"&amp;SMALL(PN_list,COUNTIF(PN_list,"&lt;"&amp;I45*bar_per_m)+1),"&gt; max PN")</f>
        <v>PN40</v>
      </c>
      <c r="K45" s="4" t="str">
        <f aca="false">IF(L45="no","end at tank",IF(H45&lt;0,"NEGATIVE",IF(H45&lt;p_min-0.005,"low","OK")))</f>
        <v>OK</v>
      </c>
      <c r="L45" s="4" t="s">
        <v>414</v>
      </c>
    </row>
    <row r="46" customFormat="false" ht="15" hidden="false" customHeight="false" outlineLevel="0" collapsed="false">
      <c r="A46" s="4" t="s">
        <v>40</v>
      </c>
      <c r="B46" s="4" t="s">
        <v>363</v>
      </c>
      <c r="C46" s="47" t="n">
        <v>800.24</v>
      </c>
      <c r="D46" s="48" t="n">
        <v>1390.97</v>
      </c>
      <c r="E46" s="49" t="n">
        <f aca="false">D46-cover</f>
        <v>1389.77</v>
      </c>
      <c r="F46" s="50" t="n">
        <f aca="false">'Z4 WTP-Ikana'!S18-'Z4 WTP-Ikana'!P18*C46/'Z4 WTP-Ikana'!G18</f>
        <v>1698.38591376405</v>
      </c>
      <c r="G46" s="51" t="n">
        <f aca="false">'Z4 WTP-Ikana'!$B$8-E46</f>
        <v>278.23</v>
      </c>
      <c r="H46" s="52" t="n">
        <f aca="false">F46-E46</f>
        <v>308.615913764048</v>
      </c>
      <c r="I46" s="52" t="n">
        <f aca="false">MAX(H46,G46)</f>
        <v>308.615913764048</v>
      </c>
      <c r="J46" s="4" t="str">
        <f aca="false">IFERROR("PN"&amp;SMALL(PN_list,COUNTIF(PN_list,"&lt;"&amp;I46*bar_per_m)+1),"&gt; max PN")</f>
        <v>PN40</v>
      </c>
      <c r="K46" s="4" t="str">
        <f aca="false">IF(L46="no","end at tank",IF(H46&lt;0,"NEGATIVE",IF(H46&lt;p_min-0.005,"low","OK")))</f>
        <v>OK</v>
      </c>
      <c r="L46" s="4" t="s">
        <v>414</v>
      </c>
    </row>
    <row r="47" customFormat="false" ht="15" hidden="false" customHeight="false" outlineLevel="0" collapsed="false">
      <c r="A47" s="4" t="s">
        <v>40</v>
      </c>
      <c r="B47" s="4" t="s">
        <v>363</v>
      </c>
      <c r="C47" s="47" t="n">
        <v>850.24</v>
      </c>
      <c r="D47" s="48" t="n">
        <v>1391.04</v>
      </c>
      <c r="E47" s="49" t="n">
        <f aca="false">D47-cover</f>
        <v>1389.84</v>
      </c>
      <c r="F47" s="50" t="n">
        <f aca="false">'Z4 WTP-Ikana'!S18-'Z4 WTP-Ikana'!P18*C47/'Z4 WTP-Ikana'!G18</f>
        <v>1698.30803050668</v>
      </c>
      <c r="G47" s="51" t="n">
        <f aca="false">'Z4 WTP-Ikana'!$B$8-E47</f>
        <v>278.16</v>
      </c>
      <c r="H47" s="52" t="n">
        <f aca="false">F47-E47</f>
        <v>308.46803050668</v>
      </c>
      <c r="I47" s="52" t="n">
        <f aca="false">MAX(H47,G47)</f>
        <v>308.46803050668</v>
      </c>
      <c r="J47" s="4" t="str">
        <f aca="false">IFERROR("PN"&amp;SMALL(PN_list,COUNTIF(PN_list,"&lt;"&amp;I47*bar_per_m)+1),"&gt; max PN")</f>
        <v>PN40</v>
      </c>
      <c r="K47" s="4" t="str">
        <f aca="false">IF(L47="no","end at tank",IF(H47&lt;0,"NEGATIVE",IF(H47&lt;p_min-0.005,"low","OK")))</f>
        <v>OK</v>
      </c>
      <c r="L47" s="4" t="s">
        <v>414</v>
      </c>
    </row>
    <row r="48" customFormat="false" ht="15" hidden="false" customHeight="false" outlineLevel="0" collapsed="false">
      <c r="A48" s="4" t="s">
        <v>40</v>
      </c>
      <c r="B48" s="4" t="s">
        <v>363</v>
      </c>
      <c r="C48" s="47" t="n">
        <v>900.24</v>
      </c>
      <c r="D48" s="48" t="n">
        <v>1390.7</v>
      </c>
      <c r="E48" s="49" t="n">
        <f aca="false">D48-cover</f>
        <v>1389.5</v>
      </c>
      <c r="F48" s="50" t="n">
        <f aca="false">'Z4 WTP-Ikana'!S18-'Z4 WTP-Ikana'!P18*C48/'Z4 WTP-Ikana'!G18</f>
        <v>1698.23014724931</v>
      </c>
      <c r="G48" s="51" t="n">
        <f aca="false">'Z4 WTP-Ikana'!$B$8-E48</f>
        <v>278.5</v>
      </c>
      <c r="H48" s="52" t="n">
        <f aca="false">F48-E48</f>
        <v>308.730147249313</v>
      </c>
      <c r="I48" s="52" t="n">
        <f aca="false">MAX(H48,G48)</f>
        <v>308.730147249313</v>
      </c>
      <c r="J48" s="4" t="str">
        <f aca="false">IFERROR("PN"&amp;SMALL(PN_list,COUNTIF(PN_list,"&lt;"&amp;I48*bar_per_m)+1),"&gt; max PN")</f>
        <v>PN40</v>
      </c>
      <c r="K48" s="4" t="str">
        <f aca="false">IF(L48="no","end at tank",IF(H48&lt;0,"NEGATIVE",IF(H48&lt;p_min-0.005,"low","OK")))</f>
        <v>OK</v>
      </c>
      <c r="L48" s="4" t="s">
        <v>414</v>
      </c>
    </row>
    <row r="49" customFormat="false" ht="15" hidden="false" customHeight="false" outlineLevel="0" collapsed="false">
      <c r="A49" s="4" t="s">
        <v>40</v>
      </c>
      <c r="B49" s="4" t="s">
        <v>363</v>
      </c>
      <c r="C49" s="47" t="n">
        <v>950.25</v>
      </c>
      <c r="D49" s="48" t="n">
        <v>1390.44</v>
      </c>
      <c r="E49" s="49" t="n">
        <f aca="false">D49-cover</f>
        <v>1389.24</v>
      </c>
      <c r="F49" s="50" t="n">
        <f aca="false">'Z4 WTP-Ikana'!S18-'Z4 WTP-Ikana'!P18*C49/'Z4 WTP-Ikana'!G18</f>
        <v>1698.15224841529</v>
      </c>
      <c r="G49" s="51" t="n">
        <f aca="false">'Z4 WTP-Ikana'!$B$8-E49</f>
        <v>278.76</v>
      </c>
      <c r="H49" s="52" t="n">
        <f aca="false">F49-E49</f>
        <v>308.912248415295</v>
      </c>
      <c r="I49" s="52" t="n">
        <f aca="false">MAX(H49,G49)</f>
        <v>308.912248415295</v>
      </c>
      <c r="J49" s="4" t="str">
        <f aca="false">IFERROR("PN"&amp;SMALL(PN_list,COUNTIF(PN_list,"&lt;"&amp;I49*bar_per_m)+1),"&gt; max PN")</f>
        <v>PN40</v>
      </c>
      <c r="K49" s="4" t="str">
        <f aca="false">IF(L49="no","end at tank",IF(H49&lt;0,"NEGATIVE",IF(H49&lt;p_min-0.005,"low","OK")))</f>
        <v>OK</v>
      </c>
      <c r="L49" s="4" t="s">
        <v>414</v>
      </c>
    </row>
    <row r="50" customFormat="false" ht="15" hidden="false" customHeight="false" outlineLevel="0" collapsed="false">
      <c r="A50" s="4" t="s">
        <v>40</v>
      </c>
      <c r="B50" s="4" t="s">
        <v>363</v>
      </c>
      <c r="C50" s="47" t="n">
        <v>1000.25</v>
      </c>
      <c r="D50" s="48" t="n">
        <v>1389.94</v>
      </c>
      <c r="E50" s="49" t="n">
        <f aca="false">D50-cover</f>
        <v>1388.74</v>
      </c>
      <c r="F50" s="50" t="n">
        <f aca="false">'Z4 WTP-Ikana'!S18-'Z4 WTP-Ikana'!P18*C50/'Z4 WTP-Ikana'!G18</f>
        <v>1698.07436515793</v>
      </c>
      <c r="G50" s="51" t="n">
        <f aca="false">'Z4 WTP-Ikana'!$B$8-E50</f>
        <v>279.26</v>
      </c>
      <c r="H50" s="52" t="n">
        <f aca="false">F50-E50</f>
        <v>309.334365157928</v>
      </c>
      <c r="I50" s="52" t="n">
        <f aca="false">MAX(H50,G50)</f>
        <v>309.334365157928</v>
      </c>
      <c r="J50" s="4" t="str">
        <f aca="false">IFERROR("PN"&amp;SMALL(PN_list,COUNTIF(PN_list,"&lt;"&amp;I50*bar_per_m)+1),"&gt; max PN")</f>
        <v>PN40</v>
      </c>
      <c r="K50" s="4" t="str">
        <f aca="false">IF(L50="no","end at tank",IF(H50&lt;0,"NEGATIVE",IF(H50&lt;p_min-0.005,"low","OK")))</f>
        <v>OK</v>
      </c>
      <c r="L50" s="4" t="s">
        <v>414</v>
      </c>
    </row>
    <row r="51" customFormat="false" ht="15" hidden="false" customHeight="false" outlineLevel="0" collapsed="false">
      <c r="A51" s="4" t="s">
        <v>40</v>
      </c>
      <c r="B51" s="4" t="s">
        <v>363</v>
      </c>
      <c r="C51" s="47" t="n">
        <v>1050.25</v>
      </c>
      <c r="D51" s="48" t="n">
        <v>1389.31</v>
      </c>
      <c r="E51" s="49" t="n">
        <f aca="false">D51-cover</f>
        <v>1388.11</v>
      </c>
      <c r="F51" s="50" t="n">
        <f aca="false">'Z4 WTP-Ikana'!S18-'Z4 WTP-Ikana'!P18*C51/'Z4 WTP-Ikana'!G18</f>
        <v>1697.99648190056</v>
      </c>
      <c r="G51" s="51" t="n">
        <f aca="false">'Z4 WTP-Ikana'!$B$8-E51</f>
        <v>279.89</v>
      </c>
      <c r="H51" s="52" t="n">
        <f aca="false">F51-E51</f>
        <v>309.886481900561</v>
      </c>
      <c r="I51" s="52" t="n">
        <f aca="false">MAX(H51,G51)</f>
        <v>309.886481900561</v>
      </c>
      <c r="J51" s="4" t="str">
        <f aca="false">IFERROR("PN"&amp;SMALL(PN_list,COUNTIF(PN_list,"&lt;"&amp;I51*bar_per_m)+1),"&gt; max PN")</f>
        <v>PN40</v>
      </c>
      <c r="K51" s="4" t="str">
        <f aca="false">IF(L51="no","end at tank",IF(H51&lt;0,"NEGATIVE",IF(H51&lt;p_min-0.005,"low","OK")))</f>
        <v>OK</v>
      </c>
      <c r="L51" s="4" t="s">
        <v>414</v>
      </c>
    </row>
    <row r="52" customFormat="false" ht="15" hidden="false" customHeight="false" outlineLevel="0" collapsed="false">
      <c r="A52" s="4" t="s">
        <v>40</v>
      </c>
      <c r="B52" s="4" t="s">
        <v>363</v>
      </c>
      <c r="C52" s="47" t="n">
        <v>1100.26</v>
      </c>
      <c r="D52" s="48" t="n">
        <v>1388.49</v>
      </c>
      <c r="E52" s="49" t="n">
        <f aca="false">D52-cover</f>
        <v>1387.29</v>
      </c>
      <c r="F52" s="50" t="n">
        <f aca="false">'Z4 WTP-Ikana'!S18-'Z4 WTP-Ikana'!P18*C52/'Z4 WTP-Ikana'!G18</f>
        <v>1697.91858306654</v>
      </c>
      <c r="G52" s="51" t="n">
        <f aca="false">'Z4 WTP-Ikana'!$B$8-E52</f>
        <v>280.71</v>
      </c>
      <c r="H52" s="52" t="n">
        <f aca="false">F52-E52</f>
        <v>310.628583066542</v>
      </c>
      <c r="I52" s="52" t="n">
        <f aca="false">MAX(H52,G52)</f>
        <v>310.628583066542</v>
      </c>
      <c r="J52" s="4" t="str">
        <f aca="false">IFERROR("PN"&amp;SMALL(PN_list,COUNTIF(PN_list,"&lt;"&amp;I52*bar_per_m)+1),"&gt; max PN")</f>
        <v>PN40</v>
      </c>
      <c r="K52" s="4" t="str">
        <f aca="false">IF(L52="no","end at tank",IF(H52&lt;0,"NEGATIVE",IF(H52&lt;p_min-0.005,"low","OK")))</f>
        <v>OK</v>
      </c>
      <c r="L52" s="4" t="s">
        <v>414</v>
      </c>
    </row>
    <row r="53" customFormat="false" ht="15" hidden="false" customHeight="false" outlineLevel="0" collapsed="false">
      <c r="A53" s="4" t="s">
        <v>40</v>
      </c>
      <c r="B53" s="4" t="s">
        <v>363</v>
      </c>
      <c r="C53" s="47" t="n">
        <v>1150.26</v>
      </c>
      <c r="D53" s="48" t="n">
        <v>1388.22</v>
      </c>
      <c r="E53" s="49" t="n">
        <f aca="false">D53-cover</f>
        <v>1387.02</v>
      </c>
      <c r="F53" s="50" t="n">
        <f aca="false">'Z4 WTP-Ikana'!S18-'Z4 WTP-Ikana'!P18*C53/'Z4 WTP-Ikana'!G18</f>
        <v>1697.84069980918</v>
      </c>
      <c r="G53" s="51" t="n">
        <f aca="false">'Z4 WTP-Ikana'!$B$8-E53</f>
        <v>280.98</v>
      </c>
      <c r="H53" s="52" t="n">
        <f aca="false">F53-E53</f>
        <v>310.820699809175</v>
      </c>
      <c r="I53" s="52" t="n">
        <f aca="false">MAX(H53,G53)</f>
        <v>310.820699809175</v>
      </c>
      <c r="J53" s="4" t="str">
        <f aca="false">IFERROR("PN"&amp;SMALL(PN_list,COUNTIF(PN_list,"&lt;"&amp;I53*bar_per_m)+1),"&gt; max PN")</f>
        <v>PN40</v>
      </c>
      <c r="K53" s="4" t="str">
        <f aca="false">IF(L53="no","end at tank",IF(H53&lt;0,"NEGATIVE",IF(H53&lt;p_min-0.005,"low","OK")))</f>
        <v>OK</v>
      </c>
      <c r="L53" s="4" t="s">
        <v>414</v>
      </c>
    </row>
    <row r="54" customFormat="false" ht="15" hidden="false" customHeight="false" outlineLevel="0" collapsed="false">
      <c r="A54" s="4" t="s">
        <v>40</v>
      </c>
      <c r="B54" s="4" t="s">
        <v>363</v>
      </c>
      <c r="C54" s="47" t="n">
        <v>1200.26</v>
      </c>
      <c r="D54" s="48" t="n">
        <v>1387.99</v>
      </c>
      <c r="E54" s="49" t="n">
        <f aca="false">D54-cover</f>
        <v>1386.79</v>
      </c>
      <c r="F54" s="50" t="n">
        <f aca="false">'Z4 WTP-Ikana'!S18-'Z4 WTP-Ikana'!P18*C54/'Z4 WTP-Ikana'!G18</f>
        <v>1697.76281655181</v>
      </c>
      <c r="G54" s="51" t="n">
        <f aca="false">'Z4 WTP-Ikana'!$B$8-E54</f>
        <v>281.21</v>
      </c>
      <c r="H54" s="52" t="n">
        <f aca="false">F54-E54</f>
        <v>310.972816551808</v>
      </c>
      <c r="I54" s="52" t="n">
        <f aca="false">MAX(H54,G54)</f>
        <v>310.972816551808</v>
      </c>
      <c r="J54" s="4" t="str">
        <f aca="false">IFERROR("PN"&amp;SMALL(PN_list,COUNTIF(PN_list,"&lt;"&amp;I54*bar_per_m)+1),"&gt; max PN")</f>
        <v>PN40</v>
      </c>
      <c r="K54" s="4" t="str">
        <f aca="false">IF(L54="no","end at tank",IF(H54&lt;0,"NEGATIVE",IF(H54&lt;p_min-0.005,"low","OK")))</f>
        <v>OK</v>
      </c>
      <c r="L54" s="4" t="s">
        <v>414</v>
      </c>
    </row>
    <row r="55" customFormat="false" ht="15" hidden="false" customHeight="false" outlineLevel="0" collapsed="false">
      <c r="A55" s="4" t="s">
        <v>40</v>
      </c>
      <c r="B55" s="4" t="s">
        <v>363</v>
      </c>
      <c r="C55" s="47" t="n">
        <v>1250.26</v>
      </c>
      <c r="D55" s="48" t="n">
        <v>1388.63</v>
      </c>
      <c r="E55" s="49" t="n">
        <f aca="false">D55-cover</f>
        <v>1387.43</v>
      </c>
      <c r="F55" s="50" t="n">
        <f aca="false">'Z4 WTP-Ikana'!S18-'Z4 WTP-Ikana'!P18*C55/'Z4 WTP-Ikana'!G18</f>
        <v>1697.68493329444</v>
      </c>
      <c r="G55" s="51" t="n">
        <f aca="false">'Z4 WTP-Ikana'!$B$8-E55</f>
        <v>280.57</v>
      </c>
      <c r="H55" s="52" t="n">
        <f aca="false">F55-E55</f>
        <v>310.254933294441</v>
      </c>
      <c r="I55" s="52" t="n">
        <f aca="false">MAX(H55,G55)</f>
        <v>310.254933294441</v>
      </c>
      <c r="J55" s="4" t="str">
        <f aca="false">IFERROR("PN"&amp;SMALL(PN_list,COUNTIF(PN_list,"&lt;"&amp;I55*bar_per_m)+1),"&gt; max PN")</f>
        <v>PN40</v>
      </c>
      <c r="K55" s="4" t="str">
        <f aca="false">IF(L55="no","end at tank",IF(H55&lt;0,"NEGATIVE",IF(H55&lt;p_min-0.005,"low","OK")))</f>
        <v>OK</v>
      </c>
      <c r="L55" s="4" t="s">
        <v>414</v>
      </c>
    </row>
    <row r="56" customFormat="false" ht="15" hidden="false" customHeight="false" outlineLevel="0" collapsed="false">
      <c r="A56" s="4" t="s">
        <v>40</v>
      </c>
      <c r="B56" s="4" t="s">
        <v>363</v>
      </c>
      <c r="C56" s="47" t="n">
        <v>1300.28</v>
      </c>
      <c r="D56" s="48" t="n">
        <v>1389.69</v>
      </c>
      <c r="E56" s="49" t="n">
        <f aca="false">D56-cover</f>
        <v>1388.49</v>
      </c>
      <c r="F56" s="50" t="n">
        <f aca="false">'Z4 WTP-Ikana'!S18-'Z4 WTP-Ikana'!P18*C56/'Z4 WTP-Ikana'!G18</f>
        <v>1697.60701888377</v>
      </c>
      <c r="G56" s="51" t="n">
        <f aca="false">'Z4 WTP-Ikana'!$B$8-E56</f>
        <v>279.51</v>
      </c>
      <c r="H56" s="52" t="n">
        <f aca="false">F56-E56</f>
        <v>309.117018883771</v>
      </c>
      <c r="I56" s="52" t="n">
        <f aca="false">MAX(H56,G56)</f>
        <v>309.117018883771</v>
      </c>
      <c r="J56" s="4" t="str">
        <f aca="false">IFERROR("PN"&amp;SMALL(PN_list,COUNTIF(PN_list,"&lt;"&amp;I56*bar_per_m)+1),"&gt; max PN")</f>
        <v>PN40</v>
      </c>
      <c r="K56" s="4" t="str">
        <f aca="false">IF(L56="no","end at tank",IF(H56&lt;0,"NEGATIVE",IF(H56&lt;p_min-0.005,"low","OK")))</f>
        <v>OK</v>
      </c>
      <c r="L56" s="4" t="s">
        <v>414</v>
      </c>
    </row>
    <row r="57" customFormat="false" ht="15" hidden="false" customHeight="false" outlineLevel="0" collapsed="false">
      <c r="A57" s="4" t="s">
        <v>40</v>
      </c>
      <c r="B57" s="4" t="s">
        <v>363</v>
      </c>
      <c r="C57" s="47" t="n">
        <v>1350.28</v>
      </c>
      <c r="D57" s="48" t="n">
        <v>1390.51</v>
      </c>
      <c r="E57" s="49" t="n">
        <f aca="false">D57-cover</f>
        <v>1389.31</v>
      </c>
      <c r="F57" s="50" t="n">
        <f aca="false">'Z4 WTP-Ikana'!S18-'Z4 WTP-Ikana'!P18*C57/'Z4 WTP-Ikana'!G18</f>
        <v>1697.5291356264</v>
      </c>
      <c r="G57" s="51" t="n">
        <f aca="false">'Z4 WTP-Ikana'!$B$8-E57</f>
        <v>278.69</v>
      </c>
      <c r="H57" s="52" t="n">
        <f aca="false">F57-E57</f>
        <v>308.219135626404</v>
      </c>
      <c r="I57" s="52" t="n">
        <f aca="false">MAX(H57,G57)</f>
        <v>308.219135626404</v>
      </c>
      <c r="J57" s="4" t="str">
        <f aca="false">IFERROR("PN"&amp;SMALL(PN_list,COUNTIF(PN_list,"&lt;"&amp;I57*bar_per_m)+1),"&gt; max PN")</f>
        <v>PN40</v>
      </c>
      <c r="K57" s="4" t="str">
        <f aca="false">IF(L57="no","end at tank",IF(H57&lt;0,"NEGATIVE",IF(H57&lt;p_min-0.005,"low","OK")))</f>
        <v>OK</v>
      </c>
      <c r="L57" s="4" t="s">
        <v>414</v>
      </c>
    </row>
    <row r="58" customFormat="false" ht="15" hidden="false" customHeight="false" outlineLevel="0" collapsed="false">
      <c r="A58" s="4" t="s">
        <v>40</v>
      </c>
      <c r="B58" s="4" t="s">
        <v>363</v>
      </c>
      <c r="C58" s="47" t="n">
        <v>1400.3</v>
      </c>
      <c r="D58" s="48" t="n">
        <v>1391.89</v>
      </c>
      <c r="E58" s="49" t="n">
        <f aca="false">D58-cover</f>
        <v>1390.69</v>
      </c>
      <c r="F58" s="50" t="n">
        <f aca="false">'Z4 WTP-Ikana'!S18-'Z4 WTP-Ikana'!P18*C58/'Z4 WTP-Ikana'!G18</f>
        <v>1697.45122121573</v>
      </c>
      <c r="G58" s="51" t="n">
        <f aca="false">'Z4 WTP-Ikana'!$B$8-E58</f>
        <v>277.31</v>
      </c>
      <c r="H58" s="52" t="n">
        <f aca="false">F58-E58</f>
        <v>306.761221215734</v>
      </c>
      <c r="I58" s="52" t="n">
        <f aca="false">MAX(H58,G58)</f>
        <v>306.761221215734</v>
      </c>
      <c r="J58" s="4" t="str">
        <f aca="false">IFERROR("PN"&amp;SMALL(PN_list,COUNTIF(PN_list,"&lt;"&amp;I58*bar_per_m)+1),"&gt; max PN")</f>
        <v>PN40</v>
      </c>
      <c r="K58" s="4" t="str">
        <f aca="false">IF(L58="no","end at tank",IF(H58&lt;0,"NEGATIVE",IF(H58&lt;p_min-0.005,"low","OK")))</f>
        <v>OK</v>
      </c>
      <c r="L58" s="4" t="s">
        <v>414</v>
      </c>
    </row>
    <row r="59" customFormat="false" ht="15" hidden="false" customHeight="false" outlineLevel="0" collapsed="false">
      <c r="A59" s="4" t="s">
        <v>40</v>
      </c>
      <c r="B59" s="4" t="s">
        <v>363</v>
      </c>
      <c r="C59" s="47" t="n">
        <v>1450.32</v>
      </c>
      <c r="D59" s="48" t="n">
        <v>1393.24</v>
      </c>
      <c r="E59" s="49" t="n">
        <f aca="false">D59-cover</f>
        <v>1392.04</v>
      </c>
      <c r="F59" s="50" t="n">
        <f aca="false">'Z4 WTP-Ikana'!S18-'Z4 WTP-Ikana'!P18*C59/'Z4 WTP-Ikana'!G18</f>
        <v>1697.37330680506</v>
      </c>
      <c r="G59" s="51" t="n">
        <f aca="false">'Z4 WTP-Ikana'!$B$8-E59</f>
        <v>275.96</v>
      </c>
      <c r="H59" s="52" t="n">
        <f aca="false">F59-E59</f>
        <v>305.333306805064</v>
      </c>
      <c r="I59" s="52" t="n">
        <f aca="false">MAX(H59,G59)</f>
        <v>305.333306805064</v>
      </c>
      <c r="J59" s="4" t="str">
        <f aca="false">IFERROR("PN"&amp;SMALL(PN_list,COUNTIF(PN_list,"&lt;"&amp;I59*bar_per_m)+1),"&gt; max PN")</f>
        <v>PN30</v>
      </c>
      <c r="K59" s="4" t="str">
        <f aca="false">IF(L59="no","end at tank",IF(H59&lt;0,"NEGATIVE",IF(H59&lt;p_min-0.005,"low","OK")))</f>
        <v>OK</v>
      </c>
      <c r="L59" s="4" t="s">
        <v>414</v>
      </c>
    </row>
    <row r="60" customFormat="false" ht="15" hidden="false" customHeight="false" outlineLevel="0" collapsed="false">
      <c r="A60" s="4" t="s">
        <v>40</v>
      </c>
      <c r="B60" s="4" t="s">
        <v>363</v>
      </c>
      <c r="C60" s="47" t="n">
        <v>1500.35</v>
      </c>
      <c r="D60" s="48" t="n">
        <v>1394.99</v>
      </c>
      <c r="E60" s="49" t="n">
        <f aca="false">D60-cover</f>
        <v>1393.79</v>
      </c>
      <c r="F60" s="50" t="n">
        <f aca="false">'Z4 WTP-Ikana'!S18-'Z4 WTP-Ikana'!P18*C60/'Z4 WTP-Ikana'!G18</f>
        <v>1697.29537681774</v>
      </c>
      <c r="G60" s="51" t="n">
        <f aca="false">'Z4 WTP-Ikana'!$B$8-E60</f>
        <v>274.21</v>
      </c>
      <c r="H60" s="52" t="n">
        <f aca="false">F60-E60</f>
        <v>303.505376817742</v>
      </c>
      <c r="I60" s="52" t="n">
        <f aca="false">MAX(H60,G60)</f>
        <v>303.505376817742</v>
      </c>
      <c r="J60" s="4" t="str">
        <f aca="false">IFERROR("PN"&amp;SMALL(PN_list,COUNTIF(PN_list,"&lt;"&amp;I60*bar_per_m)+1),"&gt; max PN")</f>
        <v>PN30</v>
      </c>
      <c r="K60" s="4" t="str">
        <f aca="false">IF(L60="no","end at tank",IF(H60&lt;0,"NEGATIVE",IF(H60&lt;p_min-0.005,"low","OK")))</f>
        <v>OK</v>
      </c>
      <c r="L60" s="4" t="s">
        <v>414</v>
      </c>
    </row>
    <row r="61" customFormat="false" ht="15" hidden="false" customHeight="false" outlineLevel="0" collapsed="false">
      <c r="A61" s="4" t="s">
        <v>40</v>
      </c>
      <c r="B61" s="4" t="s">
        <v>363</v>
      </c>
      <c r="C61" s="47" t="n">
        <v>1550.39</v>
      </c>
      <c r="D61" s="48" t="n">
        <v>1396.88</v>
      </c>
      <c r="E61" s="49" t="n">
        <f aca="false">D61-cover</f>
        <v>1395.68</v>
      </c>
      <c r="F61" s="50" t="n">
        <f aca="false">'Z4 WTP-Ikana'!S18-'Z4 WTP-Ikana'!P18*C61/'Z4 WTP-Ikana'!G18</f>
        <v>1697.21743125377</v>
      </c>
      <c r="G61" s="51" t="n">
        <f aca="false">'Z4 WTP-Ikana'!$B$8-E61</f>
        <v>272.32</v>
      </c>
      <c r="H61" s="52" t="n">
        <f aca="false">F61-E61</f>
        <v>301.537431253769</v>
      </c>
      <c r="I61" s="52" t="n">
        <f aca="false">MAX(H61,G61)</f>
        <v>301.537431253769</v>
      </c>
      <c r="J61" s="4" t="str">
        <f aca="false">IFERROR("PN"&amp;SMALL(PN_list,COUNTIF(PN_list,"&lt;"&amp;I61*bar_per_m)+1),"&gt; max PN")</f>
        <v>PN30</v>
      </c>
      <c r="K61" s="4" t="str">
        <f aca="false">IF(L61="no","end at tank",IF(H61&lt;0,"NEGATIVE",IF(H61&lt;p_min-0.005,"low","OK")))</f>
        <v>OK</v>
      </c>
      <c r="L61" s="4" t="s">
        <v>414</v>
      </c>
    </row>
    <row r="62" customFormat="false" ht="15" hidden="false" customHeight="false" outlineLevel="0" collapsed="false">
      <c r="A62" s="4" t="s">
        <v>40</v>
      </c>
      <c r="B62" s="4" t="s">
        <v>363</v>
      </c>
      <c r="C62" s="47" t="n">
        <v>1600.4</v>
      </c>
      <c r="D62" s="48" t="n">
        <v>1398.17</v>
      </c>
      <c r="E62" s="49" t="n">
        <f aca="false">D62-cover</f>
        <v>1396.97</v>
      </c>
      <c r="F62" s="50" t="n">
        <f aca="false">'Z4 WTP-Ikana'!S18-'Z4 WTP-Ikana'!P18*C62/'Z4 WTP-Ikana'!G18</f>
        <v>1697.13953241975</v>
      </c>
      <c r="G62" s="51" t="n">
        <f aca="false">'Z4 WTP-Ikana'!$B$8-E62</f>
        <v>271.03</v>
      </c>
      <c r="H62" s="52" t="n">
        <f aca="false">F62-E62</f>
        <v>300.169532419751</v>
      </c>
      <c r="I62" s="52" t="n">
        <f aca="false">MAX(H62,G62)</f>
        <v>300.169532419751</v>
      </c>
      <c r="J62" s="4" t="str">
        <f aca="false">IFERROR("PN"&amp;SMALL(PN_list,COUNTIF(PN_list,"&lt;"&amp;I62*bar_per_m)+1),"&gt; max PN")</f>
        <v>PN30</v>
      </c>
      <c r="K62" s="4" t="str">
        <f aca="false">IF(L62="no","end at tank",IF(H62&lt;0,"NEGATIVE",IF(H62&lt;p_min-0.005,"low","OK")))</f>
        <v>OK</v>
      </c>
      <c r="L62" s="4" t="s">
        <v>414</v>
      </c>
    </row>
    <row r="63" customFormat="false" ht="15" hidden="false" customHeight="false" outlineLevel="0" collapsed="false">
      <c r="A63" s="4" t="s">
        <v>40</v>
      </c>
      <c r="B63" s="4" t="s">
        <v>363</v>
      </c>
      <c r="C63" s="47" t="n">
        <v>1650.41</v>
      </c>
      <c r="D63" s="48" t="n">
        <v>1398.98</v>
      </c>
      <c r="E63" s="49" t="n">
        <f aca="false">D63-cover</f>
        <v>1397.78</v>
      </c>
      <c r="F63" s="50" t="n">
        <f aca="false">'Z4 WTP-Ikana'!S18-'Z4 WTP-Ikana'!P18*C63/'Z4 WTP-Ikana'!G18</f>
        <v>1697.06163358573</v>
      </c>
      <c r="G63" s="51" t="n">
        <f aca="false">'Z4 WTP-Ikana'!$B$8-E63</f>
        <v>270.22</v>
      </c>
      <c r="H63" s="52" t="n">
        <f aca="false">F63-E63</f>
        <v>299.281633585732</v>
      </c>
      <c r="I63" s="52" t="n">
        <f aca="false">MAX(H63,G63)</f>
        <v>299.281633585732</v>
      </c>
      <c r="J63" s="4" t="str">
        <f aca="false">IFERROR("PN"&amp;SMALL(PN_list,COUNTIF(PN_list,"&lt;"&amp;I63*bar_per_m)+1),"&gt; max PN")</f>
        <v>PN30</v>
      </c>
      <c r="K63" s="4" t="str">
        <f aca="false">IF(L63="no","end at tank",IF(H63&lt;0,"NEGATIVE",IF(H63&lt;p_min-0.005,"low","OK")))</f>
        <v>OK</v>
      </c>
      <c r="L63" s="4" t="s">
        <v>414</v>
      </c>
    </row>
    <row r="64" customFormat="false" ht="15" hidden="false" customHeight="false" outlineLevel="0" collapsed="false">
      <c r="A64" s="4" t="s">
        <v>40</v>
      </c>
      <c r="B64" s="4" t="s">
        <v>363</v>
      </c>
      <c r="C64" s="47" t="n">
        <v>1700.42</v>
      </c>
      <c r="D64" s="48" t="n">
        <v>1399.83</v>
      </c>
      <c r="E64" s="49" t="n">
        <f aca="false">D64-cover</f>
        <v>1398.63</v>
      </c>
      <c r="F64" s="50" t="n">
        <f aca="false">'Z4 WTP-Ikana'!S18-'Z4 WTP-Ikana'!P18*C64/'Z4 WTP-Ikana'!G18</f>
        <v>1696.98373475171</v>
      </c>
      <c r="G64" s="51" t="n">
        <f aca="false">'Z4 WTP-Ikana'!$B$8-E64</f>
        <v>269.37</v>
      </c>
      <c r="H64" s="52" t="n">
        <f aca="false">F64-E64</f>
        <v>298.353734751714</v>
      </c>
      <c r="I64" s="52" t="n">
        <f aca="false">MAX(H64,G64)</f>
        <v>298.353734751714</v>
      </c>
      <c r="J64" s="4" t="str">
        <f aca="false">IFERROR("PN"&amp;SMALL(PN_list,COUNTIF(PN_list,"&lt;"&amp;I64*bar_per_m)+1),"&gt; max PN")</f>
        <v>PN30</v>
      </c>
      <c r="K64" s="4" t="str">
        <f aca="false">IF(L64="no","end at tank",IF(H64&lt;0,"NEGATIVE",IF(H64&lt;p_min-0.005,"low","OK")))</f>
        <v>OK</v>
      </c>
      <c r="L64" s="4" t="s">
        <v>414</v>
      </c>
    </row>
    <row r="65" customFormat="false" ht="15" hidden="false" customHeight="false" outlineLevel="0" collapsed="false">
      <c r="A65" s="4" t="s">
        <v>40</v>
      </c>
      <c r="B65" s="4" t="s">
        <v>363</v>
      </c>
      <c r="C65" s="47" t="n">
        <v>1750.42</v>
      </c>
      <c r="D65" s="48" t="n">
        <v>1400.71</v>
      </c>
      <c r="E65" s="49" t="n">
        <f aca="false">D65-cover</f>
        <v>1399.51</v>
      </c>
      <c r="F65" s="50" t="n">
        <f aca="false">'Z4 WTP-Ikana'!S18-'Z4 WTP-Ikana'!P18*C65/'Z4 WTP-Ikana'!G18</f>
        <v>1696.90585149435</v>
      </c>
      <c r="G65" s="51" t="n">
        <f aca="false">'Z4 WTP-Ikana'!$B$8-E65</f>
        <v>268.49</v>
      </c>
      <c r="H65" s="52" t="n">
        <f aca="false">F65-E65</f>
        <v>297.395851494347</v>
      </c>
      <c r="I65" s="52" t="n">
        <f aca="false">MAX(H65,G65)</f>
        <v>297.395851494347</v>
      </c>
      <c r="J65" s="4" t="str">
        <f aca="false">IFERROR("PN"&amp;SMALL(PN_list,COUNTIF(PN_list,"&lt;"&amp;I65*bar_per_m)+1),"&gt; max PN")</f>
        <v>PN30</v>
      </c>
      <c r="K65" s="4" t="str">
        <f aca="false">IF(L65="no","end at tank",IF(H65&lt;0,"NEGATIVE",IF(H65&lt;p_min-0.005,"low","OK")))</f>
        <v>OK</v>
      </c>
      <c r="L65" s="4" t="s">
        <v>414</v>
      </c>
    </row>
    <row r="66" customFormat="false" ht="15" hidden="false" customHeight="false" outlineLevel="0" collapsed="false">
      <c r="A66" s="4" t="s">
        <v>40</v>
      </c>
      <c r="B66" s="4" t="s">
        <v>363</v>
      </c>
      <c r="C66" s="47" t="n">
        <v>1800.43</v>
      </c>
      <c r="D66" s="48" t="n">
        <v>1401.28</v>
      </c>
      <c r="E66" s="49" t="n">
        <f aca="false">D66-cover</f>
        <v>1400.08</v>
      </c>
      <c r="F66" s="50" t="n">
        <f aca="false">'Z4 WTP-Ikana'!S18-'Z4 WTP-Ikana'!P18*C66/'Z4 WTP-Ikana'!G18</f>
        <v>1696.82795266033</v>
      </c>
      <c r="G66" s="51" t="n">
        <f aca="false">'Z4 WTP-Ikana'!$B$8-E66</f>
        <v>267.92</v>
      </c>
      <c r="H66" s="52" t="n">
        <f aca="false">F66-E66</f>
        <v>296.747952660328</v>
      </c>
      <c r="I66" s="52" t="n">
        <f aca="false">MAX(H66,G66)</f>
        <v>296.747952660328</v>
      </c>
      <c r="J66" s="4" t="str">
        <f aca="false">IFERROR("PN"&amp;SMALL(PN_list,COUNTIF(PN_list,"&lt;"&amp;I66*bar_per_m)+1),"&gt; max PN")</f>
        <v>PN30</v>
      </c>
      <c r="K66" s="4" t="str">
        <f aca="false">IF(L66="no","end at tank",IF(H66&lt;0,"NEGATIVE",IF(H66&lt;p_min-0.005,"low","OK")))</f>
        <v>OK</v>
      </c>
      <c r="L66" s="4" t="s">
        <v>414</v>
      </c>
    </row>
    <row r="67" customFormat="false" ht="15" hidden="false" customHeight="false" outlineLevel="0" collapsed="false">
      <c r="A67" s="4" t="s">
        <v>40</v>
      </c>
      <c r="B67" s="4" t="s">
        <v>363</v>
      </c>
      <c r="C67" s="47" t="n">
        <v>1850.44</v>
      </c>
      <c r="D67" s="48" t="n">
        <v>1402.51</v>
      </c>
      <c r="E67" s="49" t="n">
        <f aca="false">D67-cover</f>
        <v>1401.31</v>
      </c>
      <c r="F67" s="50" t="n">
        <f aca="false">'Z4 WTP-Ikana'!S18-'Z4 WTP-Ikana'!P18*C67/'Z4 WTP-Ikana'!G18</f>
        <v>1696.75005382631</v>
      </c>
      <c r="G67" s="51" t="n">
        <f aca="false">'Z4 WTP-Ikana'!$B$8-E67</f>
        <v>266.69</v>
      </c>
      <c r="H67" s="52" t="n">
        <f aca="false">F67-E67</f>
        <v>295.44005382631</v>
      </c>
      <c r="I67" s="52" t="n">
        <f aca="false">MAX(H67,G67)</f>
        <v>295.44005382631</v>
      </c>
      <c r="J67" s="4" t="str">
        <f aca="false">IFERROR("PN"&amp;SMALL(PN_list,COUNTIF(PN_list,"&lt;"&amp;I67*bar_per_m)+1),"&gt; max PN")</f>
        <v>PN30</v>
      </c>
      <c r="K67" s="4" t="str">
        <f aca="false">IF(L67="no","end at tank",IF(H67&lt;0,"NEGATIVE",IF(H67&lt;p_min-0.005,"low","OK")))</f>
        <v>OK</v>
      </c>
      <c r="L67" s="4" t="s">
        <v>414</v>
      </c>
    </row>
    <row r="68" customFormat="false" ht="15" hidden="false" customHeight="false" outlineLevel="0" collapsed="false">
      <c r="A68" s="4" t="s">
        <v>40</v>
      </c>
      <c r="B68" s="4" t="s">
        <v>363</v>
      </c>
      <c r="C68" s="47" t="n">
        <v>1886.63</v>
      </c>
      <c r="D68" s="48" t="n">
        <v>1403.71</v>
      </c>
      <c r="E68" s="49" t="n">
        <f aca="false">D68-cover</f>
        <v>1402.51</v>
      </c>
      <c r="F68" s="50" t="n">
        <f aca="false">'Z4 WTP-Ikana'!S18-'Z4 WTP-Ikana'!P18*C68/'Z4 WTP-Ikana'!G18</f>
        <v>1696.69368192463</v>
      </c>
      <c r="G68" s="51" t="n">
        <f aca="false">'Z4 WTP-Ikana'!$B$8-E68</f>
        <v>265.49</v>
      </c>
      <c r="H68" s="52" t="n">
        <f aca="false">F68-E68</f>
        <v>294.183681924627</v>
      </c>
      <c r="I68" s="52" t="n">
        <f aca="false">MAX(H68,G68)</f>
        <v>294.183681924627</v>
      </c>
      <c r="J68" s="4" t="str">
        <f aca="false">IFERROR("PN"&amp;SMALL(PN_list,COUNTIF(PN_list,"&lt;"&amp;I68*bar_per_m)+1),"&gt; max PN")</f>
        <v>PN30</v>
      </c>
      <c r="K68" s="4" t="str">
        <f aca="false">IF(L68="no","end at tank",IF(H68&lt;0,"NEGATIVE",IF(H68&lt;p_min-0.005,"low","OK")))</f>
        <v>OK</v>
      </c>
      <c r="L68" s="4" t="s">
        <v>414</v>
      </c>
    </row>
    <row r="69" customFormat="false" ht="15" hidden="false" customHeight="false" outlineLevel="0" collapsed="false">
      <c r="A69" s="4" t="s">
        <v>40</v>
      </c>
      <c r="B69" s="4" t="s">
        <v>363</v>
      </c>
      <c r="C69" s="47" t="n">
        <v>1936.63</v>
      </c>
      <c r="D69" s="48" t="n">
        <v>1403.85</v>
      </c>
      <c r="E69" s="49" t="n">
        <f aca="false">D69-cover</f>
        <v>1402.65</v>
      </c>
      <c r="F69" s="50" t="n">
        <f aca="false">'Z4 WTP-Ikana'!S18-'Z4 WTP-Ikana'!P18*C69/'Z4 WTP-Ikana'!G18</f>
        <v>1696.61579866726</v>
      </c>
      <c r="G69" s="51" t="n">
        <f aca="false">'Z4 WTP-Ikana'!$B$8-E69</f>
        <v>265.35</v>
      </c>
      <c r="H69" s="52" t="n">
        <f aca="false">F69-E69</f>
        <v>293.96579866726</v>
      </c>
      <c r="I69" s="52" t="n">
        <f aca="false">MAX(H69,G69)</f>
        <v>293.96579866726</v>
      </c>
      <c r="J69" s="4" t="str">
        <f aca="false">IFERROR("PN"&amp;SMALL(PN_list,COUNTIF(PN_list,"&lt;"&amp;I69*bar_per_m)+1),"&gt; max PN")</f>
        <v>PN30</v>
      </c>
      <c r="K69" s="4" t="str">
        <f aca="false">IF(L69="no","end at tank",IF(H69&lt;0,"NEGATIVE",IF(H69&lt;p_min-0.005,"low","OK")))</f>
        <v>OK</v>
      </c>
      <c r="L69" s="4" t="s">
        <v>414</v>
      </c>
    </row>
    <row r="70" customFormat="false" ht="15" hidden="false" customHeight="false" outlineLevel="0" collapsed="false">
      <c r="A70" s="4" t="s">
        <v>40</v>
      </c>
      <c r="B70" s="4" t="s">
        <v>363</v>
      </c>
      <c r="C70" s="47" t="n">
        <v>1986.66</v>
      </c>
      <c r="D70" s="48" t="n">
        <v>1402.19</v>
      </c>
      <c r="E70" s="49" t="n">
        <f aca="false">D70-cover</f>
        <v>1400.99</v>
      </c>
      <c r="F70" s="50" t="n">
        <f aca="false">'Z4 WTP-Ikana'!S18-'Z4 WTP-Ikana'!P18*C70/'Z4 WTP-Ikana'!G18</f>
        <v>1696.53786867994</v>
      </c>
      <c r="G70" s="51" t="n">
        <f aca="false">'Z4 WTP-Ikana'!$B$8-E70</f>
        <v>267.01</v>
      </c>
      <c r="H70" s="52" t="n">
        <f aca="false">F70-E70</f>
        <v>295.547868679939</v>
      </c>
      <c r="I70" s="52" t="n">
        <f aca="false">MAX(H70,G70)</f>
        <v>295.547868679939</v>
      </c>
      <c r="J70" s="4" t="str">
        <f aca="false">IFERROR("PN"&amp;SMALL(PN_list,COUNTIF(PN_list,"&lt;"&amp;I70*bar_per_m)+1),"&gt; max PN")</f>
        <v>PN30</v>
      </c>
      <c r="K70" s="4" t="str">
        <f aca="false">IF(L70="no","end at tank",IF(H70&lt;0,"NEGATIVE",IF(H70&lt;p_min-0.005,"low","OK")))</f>
        <v>OK</v>
      </c>
      <c r="L70" s="4" t="s">
        <v>414</v>
      </c>
    </row>
    <row r="71" customFormat="false" ht="15" hidden="false" customHeight="false" outlineLevel="0" collapsed="false">
      <c r="A71" s="4" t="s">
        <v>40</v>
      </c>
      <c r="B71" s="4" t="s">
        <v>363</v>
      </c>
      <c r="C71" s="47" t="n">
        <v>2036.66</v>
      </c>
      <c r="D71" s="48" t="n">
        <v>1402.74</v>
      </c>
      <c r="E71" s="49" t="n">
        <f aca="false">D71-cover</f>
        <v>1401.54</v>
      </c>
      <c r="F71" s="50" t="n">
        <f aca="false">'Z4 WTP-Ikana'!S18-'Z4 WTP-Ikana'!P18*C71/'Z4 WTP-Ikana'!G18</f>
        <v>1696.45998542257</v>
      </c>
      <c r="G71" s="51" t="n">
        <f aca="false">'Z4 WTP-Ikana'!$B$8-E71</f>
        <v>266.46</v>
      </c>
      <c r="H71" s="52" t="n">
        <f aca="false">F71-E71</f>
        <v>294.919985422572</v>
      </c>
      <c r="I71" s="52" t="n">
        <f aca="false">MAX(H71,G71)</f>
        <v>294.919985422572</v>
      </c>
      <c r="J71" s="4" t="str">
        <f aca="false">IFERROR("PN"&amp;SMALL(PN_list,COUNTIF(PN_list,"&lt;"&amp;I71*bar_per_m)+1),"&gt; max PN")</f>
        <v>PN30</v>
      </c>
      <c r="K71" s="4" t="str">
        <f aca="false">IF(L71="no","end at tank",IF(H71&lt;0,"NEGATIVE",IF(H71&lt;p_min-0.005,"low","OK")))</f>
        <v>OK</v>
      </c>
      <c r="L71" s="4" t="s">
        <v>414</v>
      </c>
    </row>
    <row r="72" customFormat="false" ht="15" hidden="false" customHeight="false" outlineLevel="0" collapsed="false">
      <c r="A72" s="4" t="s">
        <v>40</v>
      </c>
      <c r="B72" s="4" t="s">
        <v>363</v>
      </c>
      <c r="C72" s="47" t="n">
        <v>2086.68</v>
      </c>
      <c r="D72" s="48" t="n">
        <v>1404.09</v>
      </c>
      <c r="E72" s="49" t="n">
        <f aca="false">D72-cover</f>
        <v>1402.89</v>
      </c>
      <c r="F72" s="50" t="n">
        <f aca="false">'Z4 WTP-Ikana'!S18-'Z4 WTP-Ikana'!P18*C72/'Z4 WTP-Ikana'!G18</f>
        <v>1696.3820710119</v>
      </c>
      <c r="G72" s="51" t="n">
        <f aca="false">'Z4 WTP-Ikana'!$B$8-E72</f>
        <v>265.11</v>
      </c>
      <c r="H72" s="52" t="n">
        <f aca="false">F72-E72</f>
        <v>293.492071011902</v>
      </c>
      <c r="I72" s="52" t="n">
        <f aca="false">MAX(H72,G72)</f>
        <v>293.492071011902</v>
      </c>
      <c r="J72" s="4" t="str">
        <f aca="false">IFERROR("PN"&amp;SMALL(PN_list,COUNTIF(PN_list,"&lt;"&amp;I72*bar_per_m)+1),"&gt; max PN")</f>
        <v>PN30</v>
      </c>
      <c r="K72" s="4" t="str">
        <f aca="false">IF(L72="no","end at tank",IF(H72&lt;0,"NEGATIVE",IF(H72&lt;p_min-0.005,"low","OK")))</f>
        <v>OK</v>
      </c>
      <c r="L72" s="4" t="s">
        <v>414</v>
      </c>
    </row>
    <row r="73" customFormat="false" ht="15" hidden="false" customHeight="false" outlineLevel="0" collapsed="false">
      <c r="A73" s="4" t="s">
        <v>40</v>
      </c>
      <c r="B73" s="4" t="s">
        <v>363</v>
      </c>
      <c r="C73" s="47" t="n">
        <v>2136.7</v>
      </c>
      <c r="D73" s="48" t="n">
        <v>1405.49</v>
      </c>
      <c r="E73" s="49" t="n">
        <f aca="false">D73-cover</f>
        <v>1404.29</v>
      </c>
      <c r="F73" s="50" t="n">
        <f aca="false">'Z4 WTP-Ikana'!S18-'Z4 WTP-Ikana'!P18*C73/'Z4 WTP-Ikana'!G18</f>
        <v>1696.30415660123</v>
      </c>
      <c r="G73" s="51" t="n">
        <f aca="false">'Z4 WTP-Ikana'!$B$8-E73</f>
        <v>263.71</v>
      </c>
      <c r="H73" s="52" t="n">
        <f aca="false">F73-E73</f>
        <v>292.014156601232</v>
      </c>
      <c r="I73" s="52" t="n">
        <f aca="false">MAX(H73,G73)</f>
        <v>292.014156601232</v>
      </c>
      <c r="J73" s="4" t="str">
        <f aca="false">IFERROR("PN"&amp;SMALL(PN_list,COUNTIF(PN_list,"&lt;"&amp;I73*bar_per_m)+1),"&gt; max PN")</f>
        <v>PN30</v>
      </c>
      <c r="K73" s="4" t="str">
        <f aca="false">IF(L73="no","end at tank",IF(H73&lt;0,"NEGATIVE",IF(H73&lt;p_min-0.005,"low","OK")))</f>
        <v>OK</v>
      </c>
      <c r="L73" s="4" t="s">
        <v>414</v>
      </c>
    </row>
    <row r="74" customFormat="false" ht="15" hidden="false" customHeight="false" outlineLevel="0" collapsed="false">
      <c r="A74" s="4" t="s">
        <v>40</v>
      </c>
      <c r="B74" s="4" t="s">
        <v>363</v>
      </c>
      <c r="C74" s="47" t="n">
        <v>2186.73</v>
      </c>
      <c r="D74" s="48" t="n">
        <v>1407.13</v>
      </c>
      <c r="E74" s="49" t="n">
        <f aca="false">D74-cover</f>
        <v>1405.93</v>
      </c>
      <c r="F74" s="50" t="n">
        <f aca="false">'Z4 WTP-Ikana'!S18-'Z4 WTP-Ikana'!P18*C74/'Z4 WTP-Ikana'!G18</f>
        <v>1696.22622661391</v>
      </c>
      <c r="G74" s="51" t="n">
        <f aca="false">'Z4 WTP-Ikana'!$B$8-E74</f>
        <v>262.07</v>
      </c>
      <c r="H74" s="52" t="n">
        <f aca="false">F74-E74</f>
        <v>290.29622661391</v>
      </c>
      <c r="I74" s="52" t="n">
        <f aca="false">MAX(H74,G74)</f>
        <v>290.29622661391</v>
      </c>
      <c r="J74" s="4" t="str">
        <f aca="false">IFERROR("PN"&amp;SMALL(PN_list,COUNTIF(PN_list,"&lt;"&amp;I74*bar_per_m)+1),"&gt; max PN")</f>
        <v>PN30</v>
      </c>
      <c r="K74" s="4" t="str">
        <f aca="false">IF(L74="no","end at tank",IF(H74&lt;0,"NEGATIVE",IF(H74&lt;p_min-0.005,"low","OK")))</f>
        <v>OK</v>
      </c>
      <c r="L74" s="4" t="s">
        <v>414</v>
      </c>
    </row>
    <row r="75" customFormat="false" ht="15" hidden="false" customHeight="false" outlineLevel="0" collapsed="false">
      <c r="A75" s="4" t="s">
        <v>40</v>
      </c>
      <c r="B75" s="4" t="s">
        <v>363</v>
      </c>
      <c r="C75" s="47" t="n">
        <v>2236.7</v>
      </c>
      <c r="D75" s="48" t="n">
        <v>1406.31</v>
      </c>
      <c r="E75" s="49" t="n">
        <f aca="false">D75-cover</f>
        <v>1405.11</v>
      </c>
      <c r="F75" s="50" t="n">
        <f aca="false">'Z4 WTP-Ikana'!S18-'Z4 WTP-Ikana'!P18*C75/'Z4 WTP-Ikana'!G18</f>
        <v>1696.1483900865</v>
      </c>
      <c r="G75" s="51" t="n">
        <f aca="false">'Z4 WTP-Ikana'!$B$8-E75</f>
        <v>262.89</v>
      </c>
      <c r="H75" s="52" t="n">
        <f aca="false">F75-E75</f>
        <v>291.038390086498</v>
      </c>
      <c r="I75" s="52" t="n">
        <f aca="false">MAX(H75,G75)</f>
        <v>291.038390086498</v>
      </c>
      <c r="J75" s="4" t="str">
        <f aca="false">IFERROR("PN"&amp;SMALL(PN_list,COUNTIF(PN_list,"&lt;"&amp;I75*bar_per_m)+1),"&gt; max PN")</f>
        <v>PN30</v>
      </c>
      <c r="K75" s="4" t="str">
        <f aca="false">IF(L75="no","end at tank",IF(H75&lt;0,"NEGATIVE",IF(H75&lt;p_min-0.005,"low","OK")))</f>
        <v>OK</v>
      </c>
      <c r="L75" s="4" t="s">
        <v>414</v>
      </c>
    </row>
    <row r="76" customFormat="false" ht="15" hidden="false" customHeight="false" outlineLevel="0" collapsed="false">
      <c r="A76" s="4" t="s">
        <v>40</v>
      </c>
      <c r="B76" s="4" t="s">
        <v>363</v>
      </c>
      <c r="C76" s="47" t="n">
        <v>2339.16</v>
      </c>
      <c r="D76" s="48" t="n">
        <v>1406.47</v>
      </c>
      <c r="E76" s="49" t="n">
        <f aca="false">D76-cover</f>
        <v>1405.27</v>
      </c>
      <c r="F76" s="50" t="n">
        <f aca="false">'Z4 WTP-Ikana'!S18-'Z4 WTP-Ikana'!P18*C76/'Z4 WTP-Ikana'!G18</f>
        <v>1695.9887917155</v>
      </c>
      <c r="G76" s="51" t="n">
        <f aca="false">'Z4 WTP-Ikana'!$B$8-E76</f>
        <v>262.73</v>
      </c>
      <c r="H76" s="52" t="n">
        <f aca="false">F76-E76</f>
        <v>290.718791715501</v>
      </c>
      <c r="I76" s="52" t="n">
        <f aca="false">MAX(H76,G76)</f>
        <v>290.718791715501</v>
      </c>
      <c r="J76" s="4" t="str">
        <f aca="false">IFERROR("PN"&amp;SMALL(PN_list,COUNTIF(PN_list,"&lt;"&amp;I76*bar_per_m)+1),"&gt; max PN")</f>
        <v>PN30</v>
      </c>
      <c r="K76" s="4" t="str">
        <f aca="false">IF(L76="no","end at tank",IF(H76&lt;0,"NEGATIVE",IF(H76&lt;p_min-0.005,"low","OK")))</f>
        <v>OK</v>
      </c>
      <c r="L76" s="4" t="s">
        <v>414</v>
      </c>
    </row>
    <row r="77" customFormat="false" ht="15" hidden="false" customHeight="false" outlineLevel="0" collapsed="false">
      <c r="A77" s="4" t="s">
        <v>40</v>
      </c>
      <c r="B77" s="4" t="s">
        <v>363</v>
      </c>
      <c r="C77" s="47" t="n">
        <v>2389.16</v>
      </c>
      <c r="D77" s="48" t="n">
        <v>1406</v>
      </c>
      <c r="E77" s="49" t="n">
        <f aca="false">D77-cover</f>
        <v>1404.8</v>
      </c>
      <c r="F77" s="50" t="n">
        <f aca="false">'Z4 WTP-Ikana'!S18-'Z4 WTP-Ikana'!P18*C77/'Z4 WTP-Ikana'!G18</f>
        <v>1695.91090845813</v>
      </c>
      <c r="G77" s="51" t="n">
        <f aca="false">'Z4 WTP-Ikana'!$B$8-E77</f>
        <v>263.2</v>
      </c>
      <c r="H77" s="52" t="n">
        <f aca="false">F77-E77</f>
        <v>291.110908458134</v>
      </c>
      <c r="I77" s="52" t="n">
        <f aca="false">MAX(H77,G77)</f>
        <v>291.110908458134</v>
      </c>
      <c r="J77" s="4" t="str">
        <f aca="false">IFERROR("PN"&amp;SMALL(PN_list,COUNTIF(PN_list,"&lt;"&amp;I77*bar_per_m)+1),"&gt; max PN")</f>
        <v>PN30</v>
      </c>
      <c r="K77" s="4" t="str">
        <f aca="false">IF(L77="no","end at tank",IF(H77&lt;0,"NEGATIVE",IF(H77&lt;p_min-0.005,"low","OK")))</f>
        <v>OK</v>
      </c>
      <c r="L77" s="4" t="s">
        <v>414</v>
      </c>
    </row>
    <row r="78" customFormat="false" ht="15" hidden="false" customHeight="false" outlineLevel="0" collapsed="false">
      <c r="A78" s="4" t="s">
        <v>40</v>
      </c>
      <c r="B78" s="4" t="s">
        <v>363</v>
      </c>
      <c r="C78" s="47" t="n">
        <v>2439.25</v>
      </c>
      <c r="D78" s="48" t="n">
        <v>1403.04</v>
      </c>
      <c r="E78" s="49" t="n">
        <f aca="false">D78-cover</f>
        <v>1401.84</v>
      </c>
      <c r="F78" s="50" t="n">
        <f aca="false">'Z4 WTP-Ikana'!S18-'Z4 WTP-Ikana'!P18*C78/'Z4 WTP-Ikana'!G18</f>
        <v>1695.8328850109</v>
      </c>
      <c r="G78" s="51" t="n">
        <f aca="false">'Z4 WTP-Ikana'!$B$8-E78</f>
        <v>266.16</v>
      </c>
      <c r="H78" s="52" t="n">
        <f aca="false">F78-E78</f>
        <v>293.992885010904</v>
      </c>
      <c r="I78" s="52" t="n">
        <f aca="false">MAX(H78,G78)</f>
        <v>293.992885010904</v>
      </c>
      <c r="J78" s="4" t="str">
        <f aca="false">IFERROR("PN"&amp;SMALL(PN_list,COUNTIF(PN_list,"&lt;"&amp;I78*bar_per_m)+1),"&gt; max PN")</f>
        <v>PN30</v>
      </c>
      <c r="K78" s="4" t="str">
        <f aca="false">IF(L78="no","end at tank",IF(H78&lt;0,"NEGATIVE",IF(H78&lt;p_min-0.005,"low","OK")))</f>
        <v>OK</v>
      </c>
      <c r="L78" s="4" t="s">
        <v>414</v>
      </c>
    </row>
    <row r="79" customFormat="false" ht="15" hidden="false" customHeight="false" outlineLevel="0" collapsed="false">
      <c r="A79" s="4" t="s">
        <v>40</v>
      </c>
      <c r="B79" s="4" t="s">
        <v>363</v>
      </c>
      <c r="C79" s="47" t="n">
        <v>2489.25</v>
      </c>
      <c r="D79" s="48" t="n">
        <v>1403.22</v>
      </c>
      <c r="E79" s="49" t="n">
        <f aca="false">D79-cover</f>
        <v>1402.02</v>
      </c>
      <c r="F79" s="50" t="n">
        <f aca="false">'Z4 WTP-Ikana'!S18-'Z4 WTP-Ikana'!P18*C79/'Z4 WTP-Ikana'!G18</f>
        <v>1695.75500175354</v>
      </c>
      <c r="G79" s="51" t="n">
        <f aca="false">'Z4 WTP-Ikana'!$B$8-E79</f>
        <v>265.98</v>
      </c>
      <c r="H79" s="52" t="n">
        <f aca="false">F79-E79</f>
        <v>293.735001753536</v>
      </c>
      <c r="I79" s="52" t="n">
        <f aca="false">MAX(H79,G79)</f>
        <v>293.735001753536</v>
      </c>
      <c r="J79" s="4" t="str">
        <f aca="false">IFERROR("PN"&amp;SMALL(PN_list,COUNTIF(PN_list,"&lt;"&amp;I79*bar_per_m)+1),"&gt; max PN")</f>
        <v>PN30</v>
      </c>
      <c r="K79" s="4" t="str">
        <f aca="false">IF(L79="no","end at tank",IF(H79&lt;0,"NEGATIVE",IF(H79&lt;p_min-0.005,"low","OK")))</f>
        <v>OK</v>
      </c>
      <c r="L79" s="4" t="s">
        <v>414</v>
      </c>
    </row>
    <row r="80" customFormat="false" ht="15" hidden="false" customHeight="false" outlineLevel="0" collapsed="false">
      <c r="A80" s="4" t="s">
        <v>40</v>
      </c>
      <c r="B80" s="4" t="s">
        <v>363</v>
      </c>
      <c r="C80" s="47" t="n">
        <v>2539.26</v>
      </c>
      <c r="D80" s="48" t="n">
        <v>1403.75</v>
      </c>
      <c r="E80" s="49" t="n">
        <f aca="false">D80-cover</f>
        <v>1402.55</v>
      </c>
      <c r="F80" s="50" t="n">
        <f aca="false">'Z4 WTP-Ikana'!S18-'Z4 WTP-Ikana'!P18*C80/'Z4 WTP-Ikana'!G18</f>
        <v>1695.67710291952</v>
      </c>
      <c r="G80" s="51" t="n">
        <f aca="false">'Z4 WTP-Ikana'!$B$8-E80</f>
        <v>265.45</v>
      </c>
      <c r="H80" s="52" t="n">
        <f aca="false">F80-E80</f>
        <v>293.127102919518</v>
      </c>
      <c r="I80" s="52" t="n">
        <f aca="false">MAX(H80,G80)</f>
        <v>293.127102919518</v>
      </c>
      <c r="J80" s="4" t="str">
        <f aca="false">IFERROR("PN"&amp;SMALL(PN_list,COUNTIF(PN_list,"&lt;"&amp;I80*bar_per_m)+1),"&gt; max PN")</f>
        <v>PN30</v>
      </c>
      <c r="K80" s="4" t="str">
        <f aca="false">IF(L80="no","end at tank",IF(H80&lt;0,"NEGATIVE",IF(H80&lt;p_min-0.005,"low","OK")))</f>
        <v>OK</v>
      </c>
      <c r="L80" s="4" t="s">
        <v>414</v>
      </c>
    </row>
    <row r="81" customFormat="false" ht="15" hidden="false" customHeight="false" outlineLevel="0" collapsed="false">
      <c r="A81" s="4" t="s">
        <v>40</v>
      </c>
      <c r="B81" s="4" t="s">
        <v>363</v>
      </c>
      <c r="C81" s="47" t="n">
        <v>2589.26</v>
      </c>
      <c r="D81" s="48" t="n">
        <v>1403.8</v>
      </c>
      <c r="E81" s="49" t="n">
        <f aca="false">D81-cover</f>
        <v>1402.6</v>
      </c>
      <c r="F81" s="50" t="n">
        <f aca="false">'Z4 WTP-Ikana'!S18-'Z4 WTP-Ikana'!P18*C81/'Z4 WTP-Ikana'!G18</f>
        <v>1695.59921966215</v>
      </c>
      <c r="G81" s="51" t="n">
        <f aca="false">'Z4 WTP-Ikana'!$B$8-E81</f>
        <v>265.4</v>
      </c>
      <c r="H81" s="52" t="n">
        <f aca="false">F81-E81</f>
        <v>292.999219662151</v>
      </c>
      <c r="I81" s="52" t="n">
        <f aca="false">MAX(H81,G81)</f>
        <v>292.999219662151</v>
      </c>
      <c r="J81" s="4" t="str">
        <f aca="false">IFERROR("PN"&amp;SMALL(PN_list,COUNTIF(PN_list,"&lt;"&amp;I81*bar_per_m)+1),"&gt; max PN")</f>
        <v>PN30</v>
      </c>
      <c r="K81" s="4" t="str">
        <f aca="false">IF(L81="no","end at tank",IF(H81&lt;0,"NEGATIVE",IF(H81&lt;p_min-0.005,"low","OK")))</f>
        <v>OK</v>
      </c>
      <c r="L81" s="4" t="s">
        <v>414</v>
      </c>
    </row>
    <row r="82" customFormat="false" ht="15" hidden="false" customHeight="false" outlineLevel="0" collapsed="false">
      <c r="A82" s="4" t="s">
        <v>40</v>
      </c>
      <c r="B82" s="4" t="s">
        <v>363</v>
      </c>
      <c r="C82" s="47" t="n">
        <v>2626.71</v>
      </c>
      <c r="D82" s="48" t="n">
        <v>1402.97</v>
      </c>
      <c r="E82" s="49" t="n">
        <f aca="false">D82-cover</f>
        <v>1401.77</v>
      </c>
      <c r="F82" s="50" t="n">
        <f aca="false">'Z4 WTP-Ikana'!S18-'Z4 WTP-Ikana'!P18*C82/'Z4 WTP-Ikana'!G18</f>
        <v>1695.54088510238</v>
      </c>
      <c r="G82" s="51" t="n">
        <f aca="false">'Z4 WTP-Ikana'!$B$8-E82</f>
        <v>266.23</v>
      </c>
      <c r="H82" s="52" t="n">
        <f aca="false">F82-E82</f>
        <v>293.770885102383</v>
      </c>
      <c r="I82" s="52" t="n">
        <f aca="false">MAX(H82,G82)</f>
        <v>293.770885102383</v>
      </c>
      <c r="J82" s="4" t="str">
        <f aca="false">IFERROR("PN"&amp;SMALL(PN_list,COUNTIF(PN_list,"&lt;"&amp;I82*bar_per_m)+1),"&gt; max PN")</f>
        <v>PN30</v>
      </c>
      <c r="K82" s="4" t="str">
        <f aca="false">IF(L82="no","end at tank",IF(H82&lt;0,"NEGATIVE",IF(H82&lt;p_min-0.005,"low","OK")))</f>
        <v>OK</v>
      </c>
      <c r="L82" s="4" t="s">
        <v>414</v>
      </c>
    </row>
    <row r="83" customFormat="false" ht="15" hidden="false" customHeight="false" outlineLevel="0" collapsed="false">
      <c r="A83" s="4" t="s">
        <v>40</v>
      </c>
      <c r="B83" s="4" t="s">
        <v>363</v>
      </c>
      <c r="C83" s="47" t="n">
        <v>2676.72</v>
      </c>
      <c r="D83" s="48" t="n">
        <v>1403.86</v>
      </c>
      <c r="E83" s="49" t="n">
        <f aca="false">D83-cover</f>
        <v>1402.66</v>
      </c>
      <c r="F83" s="50" t="n">
        <f aca="false">'Z4 WTP-Ikana'!S18-'Z4 WTP-Ikana'!P18*C83/'Z4 WTP-Ikana'!G18</f>
        <v>1695.46298626836</v>
      </c>
      <c r="G83" s="51" t="n">
        <f aca="false">'Z4 WTP-Ikana'!$B$8-E83</f>
        <v>265.34</v>
      </c>
      <c r="H83" s="52" t="n">
        <f aca="false">F83-E83</f>
        <v>292.802986268365</v>
      </c>
      <c r="I83" s="52" t="n">
        <f aca="false">MAX(H83,G83)</f>
        <v>292.802986268365</v>
      </c>
      <c r="J83" s="4" t="str">
        <f aca="false">IFERROR("PN"&amp;SMALL(PN_list,COUNTIF(PN_list,"&lt;"&amp;I83*bar_per_m)+1),"&gt; max PN")</f>
        <v>PN30</v>
      </c>
      <c r="K83" s="4" t="str">
        <f aca="false">IF(L83="no","end at tank",IF(H83&lt;0,"NEGATIVE",IF(H83&lt;p_min-0.005,"low","OK")))</f>
        <v>OK</v>
      </c>
      <c r="L83" s="4" t="s">
        <v>414</v>
      </c>
    </row>
    <row r="84" customFormat="false" ht="15" hidden="false" customHeight="false" outlineLevel="0" collapsed="false">
      <c r="A84" s="4" t="s">
        <v>40</v>
      </c>
      <c r="B84" s="4" t="s">
        <v>363</v>
      </c>
      <c r="C84" s="47" t="n">
        <v>2726.72</v>
      </c>
      <c r="D84" s="48" t="n">
        <v>1404.24</v>
      </c>
      <c r="E84" s="49" t="n">
        <f aca="false">D84-cover</f>
        <v>1403.04</v>
      </c>
      <c r="F84" s="50" t="n">
        <f aca="false">'Z4 WTP-Ikana'!S18-'Z4 WTP-Ikana'!P18*C84/'Z4 WTP-Ikana'!G18</f>
        <v>1695.385103011</v>
      </c>
      <c r="G84" s="51" t="n">
        <f aca="false">'Z4 WTP-Ikana'!$B$8-E84</f>
        <v>264.96</v>
      </c>
      <c r="H84" s="52" t="n">
        <f aca="false">F84-E84</f>
        <v>292.345103010997</v>
      </c>
      <c r="I84" s="52" t="n">
        <f aca="false">MAX(H84,G84)</f>
        <v>292.345103010997</v>
      </c>
      <c r="J84" s="4" t="str">
        <f aca="false">IFERROR("PN"&amp;SMALL(PN_list,COUNTIF(PN_list,"&lt;"&amp;I84*bar_per_m)+1),"&gt; max PN")</f>
        <v>PN30</v>
      </c>
      <c r="K84" s="4" t="str">
        <f aca="false">IF(L84="no","end at tank",IF(H84&lt;0,"NEGATIVE",IF(H84&lt;p_min-0.005,"low","OK")))</f>
        <v>OK</v>
      </c>
      <c r="L84" s="4" t="s">
        <v>414</v>
      </c>
    </row>
    <row r="85" customFormat="false" ht="15" hidden="false" customHeight="false" outlineLevel="0" collapsed="false">
      <c r="A85" s="4" t="s">
        <v>40</v>
      </c>
      <c r="B85" s="4" t="s">
        <v>363</v>
      </c>
      <c r="C85" s="47" t="n">
        <v>2776.74</v>
      </c>
      <c r="D85" s="48" t="n">
        <v>1405.35</v>
      </c>
      <c r="E85" s="49" t="n">
        <f aca="false">D85-cover</f>
        <v>1404.15</v>
      </c>
      <c r="F85" s="50" t="n">
        <f aca="false">'Z4 WTP-Ikana'!S18-'Z4 WTP-Ikana'!P18*C85/'Z4 WTP-Ikana'!G18</f>
        <v>1695.30718860033</v>
      </c>
      <c r="G85" s="51" t="n">
        <f aca="false">'Z4 WTP-Ikana'!$B$8-E85</f>
        <v>263.85</v>
      </c>
      <c r="H85" s="52" t="n">
        <f aca="false">F85-E85</f>
        <v>291.157188600327</v>
      </c>
      <c r="I85" s="52" t="n">
        <f aca="false">MAX(H85,G85)</f>
        <v>291.157188600327</v>
      </c>
      <c r="J85" s="4" t="str">
        <f aca="false">IFERROR("PN"&amp;SMALL(PN_list,COUNTIF(PN_list,"&lt;"&amp;I85*bar_per_m)+1),"&gt; max PN")</f>
        <v>PN30</v>
      </c>
      <c r="K85" s="4" t="str">
        <f aca="false">IF(L85="no","end at tank",IF(H85&lt;0,"NEGATIVE",IF(H85&lt;p_min-0.005,"low","OK")))</f>
        <v>OK</v>
      </c>
      <c r="L85" s="4" t="s">
        <v>414</v>
      </c>
    </row>
    <row r="86" customFormat="false" ht="15" hidden="false" customHeight="false" outlineLevel="0" collapsed="false">
      <c r="A86" s="4" t="s">
        <v>40</v>
      </c>
      <c r="B86" s="4" t="s">
        <v>363</v>
      </c>
      <c r="C86" s="47" t="n">
        <v>2826.74</v>
      </c>
      <c r="D86" s="48" t="n">
        <v>1405.88</v>
      </c>
      <c r="E86" s="49" t="n">
        <f aca="false">D86-cover</f>
        <v>1404.68</v>
      </c>
      <c r="F86" s="50" t="n">
        <f aca="false">'Z4 WTP-Ikana'!S18-'Z4 WTP-Ikana'!P18*C86/'Z4 WTP-Ikana'!G18</f>
        <v>1695.22930534296</v>
      </c>
      <c r="G86" s="51" t="n">
        <f aca="false">'Z4 WTP-Ikana'!$B$8-E86</f>
        <v>263.32</v>
      </c>
      <c r="H86" s="52" t="n">
        <f aca="false">F86-E86</f>
        <v>290.54930534296</v>
      </c>
      <c r="I86" s="52" t="n">
        <f aca="false">MAX(H86,G86)</f>
        <v>290.54930534296</v>
      </c>
      <c r="J86" s="4" t="str">
        <f aca="false">IFERROR("PN"&amp;SMALL(PN_list,COUNTIF(PN_list,"&lt;"&amp;I86*bar_per_m)+1),"&gt; max PN")</f>
        <v>PN30</v>
      </c>
      <c r="K86" s="4" t="str">
        <f aca="false">IF(L86="no","end at tank",IF(H86&lt;0,"NEGATIVE",IF(H86&lt;p_min-0.005,"low","OK")))</f>
        <v>OK</v>
      </c>
      <c r="L86" s="4" t="s">
        <v>414</v>
      </c>
    </row>
    <row r="87" customFormat="false" ht="15" hidden="false" customHeight="false" outlineLevel="0" collapsed="false">
      <c r="A87" s="4" t="s">
        <v>40</v>
      </c>
      <c r="B87" s="4" t="s">
        <v>363</v>
      </c>
      <c r="C87" s="47" t="n">
        <v>2876.75</v>
      </c>
      <c r="D87" s="48" t="n">
        <v>1406.79</v>
      </c>
      <c r="E87" s="49" t="n">
        <f aca="false">D87-cover</f>
        <v>1405.59</v>
      </c>
      <c r="F87" s="50" t="n">
        <f aca="false">'Z4 WTP-Ikana'!S18-'Z4 WTP-Ikana'!P18*C87/'Z4 WTP-Ikana'!G18</f>
        <v>1695.15140650894</v>
      </c>
      <c r="G87" s="51" t="n">
        <f aca="false">'Z4 WTP-Ikana'!$B$8-E87</f>
        <v>262.41</v>
      </c>
      <c r="H87" s="52" t="n">
        <f aca="false">F87-E87</f>
        <v>289.561406508942</v>
      </c>
      <c r="I87" s="52" t="n">
        <f aca="false">MAX(H87,G87)</f>
        <v>289.561406508942</v>
      </c>
      <c r="J87" s="4" t="str">
        <f aca="false">IFERROR("PN"&amp;SMALL(PN_list,COUNTIF(PN_list,"&lt;"&amp;I87*bar_per_m)+1),"&gt; max PN")</f>
        <v>PN30</v>
      </c>
      <c r="K87" s="4" t="str">
        <f aca="false">IF(L87="no","end at tank",IF(H87&lt;0,"NEGATIVE",IF(H87&lt;p_min-0.005,"low","OK")))</f>
        <v>OK</v>
      </c>
      <c r="L87" s="4" t="s">
        <v>414</v>
      </c>
    </row>
    <row r="88" customFormat="false" ht="15" hidden="false" customHeight="false" outlineLevel="0" collapsed="false">
      <c r="A88" s="4" t="s">
        <v>40</v>
      </c>
      <c r="B88" s="4" t="s">
        <v>363</v>
      </c>
      <c r="C88" s="47" t="n">
        <v>2926.75</v>
      </c>
      <c r="D88" s="48" t="n">
        <v>1406.98</v>
      </c>
      <c r="E88" s="49" t="n">
        <f aca="false">D88-cover</f>
        <v>1405.78</v>
      </c>
      <c r="F88" s="50" t="n">
        <f aca="false">'Z4 WTP-Ikana'!S18-'Z4 WTP-Ikana'!P18*C88/'Z4 WTP-Ikana'!G18</f>
        <v>1695.07352325157</v>
      </c>
      <c r="G88" s="51" t="n">
        <f aca="false">'Z4 WTP-Ikana'!$B$8-E88</f>
        <v>262.22</v>
      </c>
      <c r="H88" s="52" t="n">
        <f aca="false">F88-E88</f>
        <v>289.293523251575</v>
      </c>
      <c r="I88" s="52" t="n">
        <f aca="false">MAX(H88,G88)</f>
        <v>289.293523251575</v>
      </c>
      <c r="J88" s="4" t="str">
        <f aca="false">IFERROR("PN"&amp;SMALL(PN_list,COUNTIF(PN_list,"&lt;"&amp;I88*bar_per_m)+1),"&gt; max PN")</f>
        <v>PN30</v>
      </c>
      <c r="K88" s="4" t="str">
        <f aca="false">IF(L88="no","end at tank",IF(H88&lt;0,"NEGATIVE",IF(H88&lt;p_min-0.005,"low","OK")))</f>
        <v>OK</v>
      </c>
      <c r="L88" s="4" t="s">
        <v>414</v>
      </c>
    </row>
    <row r="89" customFormat="false" ht="15" hidden="false" customHeight="false" outlineLevel="0" collapsed="false">
      <c r="A89" s="4" t="s">
        <v>40</v>
      </c>
      <c r="B89" s="4" t="s">
        <v>363</v>
      </c>
      <c r="C89" s="47" t="n">
        <v>2976.75</v>
      </c>
      <c r="D89" s="48" t="n">
        <v>1407.6</v>
      </c>
      <c r="E89" s="49" t="n">
        <f aca="false">D89-cover</f>
        <v>1406.4</v>
      </c>
      <c r="F89" s="50" t="n">
        <f aca="false">'Z4 WTP-Ikana'!S18-'Z4 WTP-Ikana'!P18*C89/'Z4 WTP-Ikana'!G18</f>
        <v>1694.99563999421</v>
      </c>
      <c r="G89" s="51" t="n">
        <f aca="false">'Z4 WTP-Ikana'!$B$8-E89</f>
        <v>261.6</v>
      </c>
      <c r="H89" s="52" t="n">
        <f aca="false">F89-E89</f>
        <v>288.595639994208</v>
      </c>
      <c r="I89" s="52" t="n">
        <f aca="false">MAX(H89,G89)</f>
        <v>288.595639994208</v>
      </c>
      <c r="J89" s="4" t="str">
        <f aca="false">IFERROR("PN"&amp;SMALL(PN_list,COUNTIF(PN_list,"&lt;"&amp;I89*bar_per_m)+1),"&gt; max PN")</f>
        <v>PN30</v>
      </c>
      <c r="K89" s="4" t="str">
        <f aca="false">IF(L89="no","end at tank",IF(H89&lt;0,"NEGATIVE",IF(H89&lt;p_min-0.005,"low","OK")))</f>
        <v>OK</v>
      </c>
      <c r="L89" s="4" t="s">
        <v>414</v>
      </c>
    </row>
    <row r="90" customFormat="false" ht="15" hidden="false" customHeight="false" outlineLevel="0" collapsed="false">
      <c r="A90" s="4" t="s">
        <v>40</v>
      </c>
      <c r="B90" s="4" t="s">
        <v>363</v>
      </c>
      <c r="C90" s="47" t="n">
        <v>3026.75</v>
      </c>
      <c r="D90" s="48" t="n">
        <v>1407.88</v>
      </c>
      <c r="E90" s="49" t="n">
        <f aca="false">D90-cover</f>
        <v>1406.68</v>
      </c>
      <c r="F90" s="50" t="n">
        <f aca="false">'Z4 WTP-Ikana'!S18-'Z4 WTP-Ikana'!P18*C90/'Z4 WTP-Ikana'!G18</f>
        <v>1694.91775673684</v>
      </c>
      <c r="G90" s="51" t="n">
        <f aca="false">'Z4 WTP-Ikana'!$B$8-E90</f>
        <v>261.32</v>
      </c>
      <c r="H90" s="52" t="n">
        <f aca="false">F90-E90</f>
        <v>288.23775673684</v>
      </c>
      <c r="I90" s="52" t="n">
        <f aca="false">MAX(H90,G90)</f>
        <v>288.23775673684</v>
      </c>
      <c r="J90" s="4" t="str">
        <f aca="false">IFERROR("PN"&amp;SMALL(PN_list,COUNTIF(PN_list,"&lt;"&amp;I90*bar_per_m)+1),"&gt; max PN")</f>
        <v>PN30</v>
      </c>
      <c r="K90" s="4" t="str">
        <f aca="false">IF(L90="no","end at tank",IF(H90&lt;0,"NEGATIVE",IF(H90&lt;p_min-0.005,"low","OK")))</f>
        <v>OK</v>
      </c>
      <c r="L90" s="4" t="s">
        <v>414</v>
      </c>
    </row>
    <row r="91" customFormat="false" ht="15" hidden="false" customHeight="false" outlineLevel="0" collapsed="false">
      <c r="A91" s="4" t="s">
        <v>40</v>
      </c>
      <c r="B91" s="4" t="s">
        <v>363</v>
      </c>
      <c r="C91" s="47" t="n">
        <v>3076.76</v>
      </c>
      <c r="D91" s="48" t="n">
        <v>1408.59</v>
      </c>
      <c r="E91" s="49" t="n">
        <f aca="false">D91-cover</f>
        <v>1407.39</v>
      </c>
      <c r="F91" s="50" t="n">
        <f aca="false">'Z4 WTP-Ikana'!S18-'Z4 WTP-Ikana'!P18*C91/'Z4 WTP-Ikana'!G18</f>
        <v>1694.83985790282</v>
      </c>
      <c r="G91" s="51" t="n">
        <f aca="false">'Z4 WTP-Ikana'!$B$8-E91</f>
        <v>260.61</v>
      </c>
      <c r="H91" s="52" t="n">
        <f aca="false">F91-E91</f>
        <v>287.449857902822</v>
      </c>
      <c r="I91" s="52" t="n">
        <f aca="false">MAX(H91,G91)</f>
        <v>287.449857902822</v>
      </c>
      <c r="J91" s="4" t="str">
        <f aca="false">IFERROR("PN"&amp;SMALL(PN_list,COUNTIF(PN_list,"&lt;"&amp;I91*bar_per_m)+1),"&gt; max PN")</f>
        <v>PN30</v>
      </c>
      <c r="K91" s="4" t="str">
        <f aca="false">IF(L91="no","end at tank",IF(H91&lt;0,"NEGATIVE",IF(H91&lt;p_min-0.005,"low","OK")))</f>
        <v>OK</v>
      </c>
      <c r="L91" s="4" t="s">
        <v>414</v>
      </c>
    </row>
    <row r="92" customFormat="false" ht="15" hidden="false" customHeight="false" outlineLevel="0" collapsed="false">
      <c r="A92" s="4" t="s">
        <v>40</v>
      </c>
      <c r="B92" s="4" t="s">
        <v>363</v>
      </c>
      <c r="C92" s="47" t="n">
        <v>3126.76</v>
      </c>
      <c r="D92" s="48" t="n">
        <v>1409.33</v>
      </c>
      <c r="E92" s="49" t="n">
        <f aca="false">D92-cover</f>
        <v>1408.13</v>
      </c>
      <c r="F92" s="50" t="n">
        <f aca="false">'Z4 WTP-Ikana'!S18-'Z4 WTP-Ikana'!P18*C92/'Z4 WTP-Ikana'!G18</f>
        <v>1694.76197464545</v>
      </c>
      <c r="G92" s="51" t="n">
        <f aca="false">'Z4 WTP-Ikana'!$B$8-E92</f>
        <v>259.87</v>
      </c>
      <c r="H92" s="52" t="n">
        <f aca="false">F92-E92</f>
        <v>286.631974645455</v>
      </c>
      <c r="I92" s="52" t="n">
        <f aca="false">MAX(H92,G92)</f>
        <v>286.631974645455</v>
      </c>
      <c r="J92" s="4" t="str">
        <f aca="false">IFERROR("PN"&amp;SMALL(PN_list,COUNTIF(PN_list,"&lt;"&amp;I92*bar_per_m)+1),"&gt; max PN")</f>
        <v>PN30</v>
      </c>
      <c r="K92" s="4" t="str">
        <f aca="false">IF(L92="no","end at tank",IF(H92&lt;0,"NEGATIVE",IF(H92&lt;p_min-0.005,"low","OK")))</f>
        <v>OK</v>
      </c>
      <c r="L92" s="4" t="s">
        <v>414</v>
      </c>
    </row>
    <row r="93" customFormat="false" ht="15" hidden="false" customHeight="false" outlineLevel="0" collapsed="false">
      <c r="A93" s="4" t="s">
        <v>40</v>
      </c>
      <c r="B93" s="4" t="s">
        <v>363</v>
      </c>
      <c r="C93" s="47" t="n">
        <v>3176.77</v>
      </c>
      <c r="D93" s="48" t="n">
        <v>1410.25</v>
      </c>
      <c r="E93" s="49" t="n">
        <f aca="false">D93-cover</f>
        <v>1409.05</v>
      </c>
      <c r="F93" s="50" t="n">
        <f aca="false">'Z4 WTP-Ikana'!S18-'Z4 WTP-Ikana'!P18*C93/'Z4 WTP-Ikana'!G18</f>
        <v>1694.68407581144</v>
      </c>
      <c r="G93" s="51" t="n">
        <f aca="false">'Z4 WTP-Ikana'!$B$8-E93</f>
        <v>258.95</v>
      </c>
      <c r="H93" s="52" t="n">
        <f aca="false">F93-E93</f>
        <v>285.634075811436</v>
      </c>
      <c r="I93" s="52" t="n">
        <f aca="false">MAX(H93,G93)</f>
        <v>285.634075811436</v>
      </c>
      <c r="J93" s="4" t="str">
        <f aca="false">IFERROR("PN"&amp;SMALL(PN_list,COUNTIF(PN_list,"&lt;"&amp;I93*bar_per_m)+1),"&gt; max PN")</f>
        <v>PN30</v>
      </c>
      <c r="K93" s="4" t="str">
        <f aca="false">IF(L93="no","end at tank",IF(H93&lt;0,"NEGATIVE",IF(H93&lt;p_min-0.005,"low","OK")))</f>
        <v>OK</v>
      </c>
      <c r="L93" s="4" t="s">
        <v>414</v>
      </c>
    </row>
    <row r="94" customFormat="false" ht="15" hidden="false" customHeight="false" outlineLevel="0" collapsed="false">
      <c r="A94" s="4" t="s">
        <v>40</v>
      </c>
      <c r="B94" s="4" t="s">
        <v>363</v>
      </c>
      <c r="C94" s="47" t="n">
        <v>3226.78</v>
      </c>
      <c r="D94" s="48" t="n">
        <v>1410.87</v>
      </c>
      <c r="E94" s="49" t="n">
        <f aca="false">D94-cover</f>
        <v>1409.67</v>
      </c>
      <c r="F94" s="50" t="n">
        <f aca="false">'Z4 WTP-Ikana'!S18-'Z4 WTP-Ikana'!P18*C94/'Z4 WTP-Ikana'!G18</f>
        <v>1694.60617697742</v>
      </c>
      <c r="G94" s="51" t="n">
        <f aca="false">'Z4 WTP-Ikana'!$B$8-E94</f>
        <v>258.33</v>
      </c>
      <c r="H94" s="52" t="n">
        <f aca="false">F94-E94</f>
        <v>284.936176977418</v>
      </c>
      <c r="I94" s="52" t="n">
        <f aca="false">MAX(H94,G94)</f>
        <v>284.936176977418</v>
      </c>
      <c r="J94" s="4" t="str">
        <f aca="false">IFERROR("PN"&amp;SMALL(PN_list,COUNTIF(PN_list,"&lt;"&amp;I94*bar_per_m)+1),"&gt; max PN")</f>
        <v>PN30</v>
      </c>
      <c r="K94" s="4" t="str">
        <f aca="false">IF(L94="no","end at tank",IF(H94&lt;0,"NEGATIVE",IF(H94&lt;p_min-0.005,"low","OK")))</f>
        <v>OK</v>
      </c>
      <c r="L94" s="4" t="s">
        <v>414</v>
      </c>
    </row>
    <row r="95" customFormat="false" ht="15" hidden="false" customHeight="false" outlineLevel="0" collapsed="false">
      <c r="A95" s="4" t="s">
        <v>40</v>
      </c>
      <c r="B95" s="4" t="s">
        <v>363</v>
      </c>
      <c r="C95" s="47" t="n">
        <v>3276.78</v>
      </c>
      <c r="D95" s="48" t="n">
        <v>1411.46</v>
      </c>
      <c r="E95" s="49" t="n">
        <f aca="false">D95-cover</f>
        <v>1410.26</v>
      </c>
      <c r="F95" s="50" t="n">
        <f aca="false">'Z4 WTP-Ikana'!S18-'Z4 WTP-Ikana'!P18*C95/'Z4 WTP-Ikana'!G18</f>
        <v>1694.52829372005</v>
      </c>
      <c r="G95" s="51" t="n">
        <f aca="false">'Z4 WTP-Ikana'!$B$8-E95</f>
        <v>257.74</v>
      </c>
      <c r="H95" s="52" t="n">
        <f aca="false">F95-E95</f>
        <v>284.268293720051</v>
      </c>
      <c r="I95" s="52" t="n">
        <f aca="false">MAX(H95,G95)</f>
        <v>284.268293720051</v>
      </c>
      <c r="J95" s="4" t="str">
        <f aca="false">IFERROR("PN"&amp;SMALL(PN_list,COUNTIF(PN_list,"&lt;"&amp;I95*bar_per_m)+1),"&gt; max PN")</f>
        <v>PN30</v>
      </c>
      <c r="K95" s="4" t="str">
        <f aca="false">IF(L95="no","end at tank",IF(H95&lt;0,"NEGATIVE",IF(H95&lt;p_min-0.005,"low","OK")))</f>
        <v>OK</v>
      </c>
      <c r="L95" s="4" t="s">
        <v>414</v>
      </c>
    </row>
    <row r="96" customFormat="false" ht="15" hidden="false" customHeight="false" outlineLevel="0" collapsed="false">
      <c r="A96" s="4" t="s">
        <v>40</v>
      </c>
      <c r="B96" s="4" t="s">
        <v>363</v>
      </c>
      <c r="C96" s="47" t="n">
        <v>3326.79</v>
      </c>
      <c r="D96" s="48" t="n">
        <v>1412.28</v>
      </c>
      <c r="E96" s="49" t="n">
        <f aca="false">D96-cover</f>
        <v>1411.08</v>
      </c>
      <c r="F96" s="50" t="n">
        <f aca="false">'Z4 WTP-Ikana'!S18-'Z4 WTP-Ikana'!P18*C96/'Z4 WTP-Ikana'!G18</f>
        <v>1694.45039488603</v>
      </c>
      <c r="G96" s="51" t="n">
        <f aca="false">'Z4 WTP-Ikana'!$B$8-E96</f>
        <v>256.92</v>
      </c>
      <c r="H96" s="52" t="n">
        <f aca="false">F96-E96</f>
        <v>283.370394886032</v>
      </c>
      <c r="I96" s="52" t="n">
        <f aca="false">MAX(H96,G96)</f>
        <v>283.370394886032</v>
      </c>
      <c r="J96" s="4" t="str">
        <f aca="false">IFERROR("PN"&amp;SMALL(PN_list,COUNTIF(PN_list,"&lt;"&amp;I96*bar_per_m)+1),"&gt; max PN")</f>
        <v>PN30</v>
      </c>
      <c r="K96" s="4" t="str">
        <f aca="false">IF(L96="no","end at tank",IF(H96&lt;0,"NEGATIVE",IF(H96&lt;p_min-0.005,"low","OK")))</f>
        <v>OK</v>
      </c>
      <c r="L96" s="4" t="s">
        <v>414</v>
      </c>
    </row>
    <row r="97" customFormat="false" ht="15" hidden="false" customHeight="false" outlineLevel="0" collapsed="false">
      <c r="A97" s="4" t="s">
        <v>40</v>
      </c>
      <c r="B97" s="4" t="s">
        <v>363</v>
      </c>
      <c r="C97" s="47" t="n">
        <v>3376.79</v>
      </c>
      <c r="D97" s="48" t="n">
        <v>1412.95</v>
      </c>
      <c r="E97" s="49" t="n">
        <f aca="false">D97-cover</f>
        <v>1411.75</v>
      </c>
      <c r="F97" s="50" t="n">
        <f aca="false">'Z4 WTP-Ikana'!S18-'Z4 WTP-Ikana'!P18*C97/'Z4 WTP-Ikana'!G18</f>
        <v>1694.37251162867</v>
      </c>
      <c r="G97" s="51" t="n">
        <f aca="false">'Z4 WTP-Ikana'!$B$8-E97</f>
        <v>256.25</v>
      </c>
      <c r="H97" s="52" t="n">
        <f aca="false">F97-E97</f>
        <v>282.622511628665</v>
      </c>
      <c r="I97" s="52" t="n">
        <f aca="false">MAX(H97,G97)</f>
        <v>282.622511628665</v>
      </c>
      <c r="J97" s="4" t="str">
        <f aca="false">IFERROR("PN"&amp;SMALL(PN_list,COUNTIF(PN_list,"&lt;"&amp;I97*bar_per_m)+1),"&gt; max PN")</f>
        <v>PN30</v>
      </c>
      <c r="K97" s="4" t="str">
        <f aca="false">IF(L97="no","end at tank",IF(H97&lt;0,"NEGATIVE",IF(H97&lt;p_min-0.005,"low","OK")))</f>
        <v>OK</v>
      </c>
      <c r="L97" s="4" t="s">
        <v>414</v>
      </c>
    </row>
    <row r="98" customFormat="false" ht="15" hidden="false" customHeight="false" outlineLevel="0" collapsed="false">
      <c r="A98" s="4" t="s">
        <v>40</v>
      </c>
      <c r="B98" s="4" t="s">
        <v>363</v>
      </c>
      <c r="C98" s="47" t="n">
        <v>3426.79</v>
      </c>
      <c r="D98" s="48" t="n">
        <v>1413.43</v>
      </c>
      <c r="E98" s="49" t="n">
        <f aca="false">D98-cover</f>
        <v>1412.23</v>
      </c>
      <c r="F98" s="50" t="n">
        <f aca="false">'Z4 WTP-Ikana'!S18-'Z4 WTP-Ikana'!P18*C98/'Z4 WTP-Ikana'!G18</f>
        <v>1694.2946283713</v>
      </c>
      <c r="G98" s="51" t="n">
        <f aca="false">'Z4 WTP-Ikana'!$B$8-E98</f>
        <v>255.77</v>
      </c>
      <c r="H98" s="52" t="n">
        <f aca="false">F98-E98</f>
        <v>282.064628371298</v>
      </c>
      <c r="I98" s="52" t="n">
        <f aca="false">MAX(H98,G98)</f>
        <v>282.064628371298</v>
      </c>
      <c r="J98" s="4" t="str">
        <f aca="false">IFERROR("PN"&amp;SMALL(PN_list,COUNTIF(PN_list,"&lt;"&amp;I98*bar_per_m)+1),"&gt; max PN")</f>
        <v>PN30</v>
      </c>
      <c r="K98" s="4" t="str">
        <f aca="false">IF(L98="no","end at tank",IF(H98&lt;0,"NEGATIVE",IF(H98&lt;p_min-0.005,"low","OK")))</f>
        <v>OK</v>
      </c>
      <c r="L98" s="4" t="s">
        <v>414</v>
      </c>
    </row>
    <row r="99" customFormat="false" ht="15" hidden="false" customHeight="false" outlineLevel="0" collapsed="false">
      <c r="A99" s="4" t="s">
        <v>40</v>
      </c>
      <c r="B99" s="4" t="s">
        <v>363</v>
      </c>
      <c r="C99" s="47" t="n">
        <v>3476.8</v>
      </c>
      <c r="D99" s="48" t="n">
        <v>1414.25</v>
      </c>
      <c r="E99" s="49" t="n">
        <f aca="false">D99-cover</f>
        <v>1413.05</v>
      </c>
      <c r="F99" s="50" t="n">
        <f aca="false">'Z4 WTP-Ikana'!S18-'Z4 WTP-Ikana'!P18*C99/'Z4 WTP-Ikana'!G18</f>
        <v>1694.21672953728</v>
      </c>
      <c r="G99" s="51" t="n">
        <f aca="false">'Z4 WTP-Ikana'!$B$8-E99</f>
        <v>254.95</v>
      </c>
      <c r="H99" s="52" t="n">
        <f aca="false">F99-E99</f>
        <v>281.16672953728</v>
      </c>
      <c r="I99" s="52" t="n">
        <f aca="false">MAX(H99,G99)</f>
        <v>281.16672953728</v>
      </c>
      <c r="J99" s="4" t="str">
        <f aca="false">IFERROR("PN"&amp;SMALL(PN_list,COUNTIF(PN_list,"&lt;"&amp;I99*bar_per_m)+1),"&gt; max PN")</f>
        <v>PN30</v>
      </c>
      <c r="K99" s="4" t="str">
        <f aca="false">IF(L99="no","end at tank",IF(H99&lt;0,"NEGATIVE",IF(H99&lt;p_min-0.005,"low","OK")))</f>
        <v>OK</v>
      </c>
      <c r="L99" s="4" t="s">
        <v>414</v>
      </c>
    </row>
    <row r="100" customFormat="false" ht="15" hidden="false" customHeight="false" outlineLevel="0" collapsed="false">
      <c r="A100" s="4" t="s">
        <v>40</v>
      </c>
      <c r="B100" s="4" t="s">
        <v>363</v>
      </c>
      <c r="C100" s="47" t="n">
        <v>3526.8</v>
      </c>
      <c r="D100" s="48" t="n">
        <v>1414.68</v>
      </c>
      <c r="E100" s="49" t="n">
        <f aca="false">D100-cover</f>
        <v>1413.48</v>
      </c>
      <c r="F100" s="50" t="n">
        <f aca="false">'Z4 WTP-Ikana'!S18-'Z4 WTP-Ikana'!P18*C100/'Z4 WTP-Ikana'!G18</f>
        <v>1694.13884627991</v>
      </c>
      <c r="G100" s="51" t="n">
        <f aca="false">'Z4 WTP-Ikana'!$B$8-E100</f>
        <v>254.52</v>
      </c>
      <c r="H100" s="52" t="n">
        <f aca="false">F100-E100</f>
        <v>280.658846279912</v>
      </c>
      <c r="I100" s="52" t="n">
        <f aca="false">MAX(H100,G100)</f>
        <v>280.658846279912</v>
      </c>
      <c r="J100" s="4" t="str">
        <f aca="false">IFERROR("PN"&amp;SMALL(PN_list,COUNTIF(PN_list,"&lt;"&amp;I100*bar_per_m)+1),"&gt; max PN")</f>
        <v>PN30</v>
      </c>
      <c r="K100" s="4" t="str">
        <f aca="false">IF(L100="no","end at tank",IF(H100&lt;0,"NEGATIVE",IF(H100&lt;p_min-0.005,"low","OK")))</f>
        <v>OK</v>
      </c>
      <c r="L100" s="4" t="s">
        <v>414</v>
      </c>
    </row>
    <row r="101" customFormat="false" ht="15" hidden="false" customHeight="false" outlineLevel="0" collapsed="false">
      <c r="A101" s="4" t="s">
        <v>40</v>
      </c>
      <c r="B101" s="4" t="s">
        <v>363</v>
      </c>
      <c r="C101" s="47" t="n">
        <v>3576.14</v>
      </c>
      <c r="D101" s="48" t="n">
        <v>1415.15</v>
      </c>
      <c r="E101" s="49" t="n">
        <f aca="false">D101-cover</f>
        <v>1413.95</v>
      </c>
      <c r="F101" s="50" t="n">
        <f aca="false">'Z4 WTP-Ikana'!S18-'Z4 WTP-Ikana'!P18*C101/'Z4 WTP-Ikana'!G18</f>
        <v>1694.06199108154</v>
      </c>
      <c r="G101" s="51" t="n">
        <f aca="false">'Z4 WTP-Ikana'!$B$8-E101</f>
        <v>254.05</v>
      </c>
      <c r="H101" s="52" t="n">
        <f aca="false">F101-E101</f>
        <v>280.111991081543</v>
      </c>
      <c r="I101" s="52" t="n">
        <f aca="false">MAX(H101,G101)</f>
        <v>280.111991081543</v>
      </c>
      <c r="J101" s="4" t="str">
        <f aca="false">IFERROR("PN"&amp;SMALL(PN_list,COUNTIF(PN_list,"&lt;"&amp;I101*bar_per_m)+1),"&gt; max PN")</f>
        <v>PN30</v>
      </c>
      <c r="K101" s="4" t="str">
        <f aca="false">IF(L101="no","end at tank",IF(H101&lt;0,"NEGATIVE",IF(H101&lt;p_min-0.005,"low","OK")))</f>
        <v>OK</v>
      </c>
      <c r="L101" s="4" t="s">
        <v>414</v>
      </c>
    </row>
    <row r="102" customFormat="false" ht="15" hidden="false" customHeight="false" outlineLevel="0" collapsed="false">
      <c r="A102" s="4" t="s">
        <v>40</v>
      </c>
      <c r="B102" s="4" t="s">
        <v>363</v>
      </c>
      <c r="C102" s="47" t="n">
        <v>3626.14</v>
      </c>
      <c r="D102" s="48" t="n">
        <v>1415.51</v>
      </c>
      <c r="E102" s="49" t="n">
        <f aca="false">D102-cover</f>
        <v>1414.31</v>
      </c>
      <c r="F102" s="50" t="n">
        <f aca="false">'Z4 WTP-Ikana'!S18-'Z4 WTP-Ikana'!P18*C102/'Z4 WTP-Ikana'!G18</f>
        <v>1693.98410782418</v>
      </c>
      <c r="G102" s="51" t="n">
        <f aca="false">'Z4 WTP-Ikana'!$B$8-E102</f>
        <v>253.69</v>
      </c>
      <c r="H102" s="52" t="n">
        <f aca="false">F102-E102</f>
        <v>279.674107824176</v>
      </c>
      <c r="I102" s="52" t="n">
        <f aca="false">MAX(H102,G102)</f>
        <v>279.674107824176</v>
      </c>
      <c r="J102" s="4" t="str">
        <f aca="false">IFERROR("PN"&amp;SMALL(PN_list,COUNTIF(PN_list,"&lt;"&amp;I102*bar_per_m)+1),"&gt; max PN")</f>
        <v>PN30</v>
      </c>
      <c r="K102" s="4" t="str">
        <f aca="false">IF(L102="no","end at tank",IF(H102&lt;0,"NEGATIVE",IF(H102&lt;p_min-0.005,"low","OK")))</f>
        <v>OK</v>
      </c>
      <c r="L102" s="4" t="s">
        <v>414</v>
      </c>
    </row>
    <row r="103" customFormat="false" ht="15" hidden="false" customHeight="false" outlineLevel="0" collapsed="false">
      <c r="A103" s="4" t="s">
        <v>40</v>
      </c>
      <c r="B103" s="4" t="s">
        <v>363</v>
      </c>
      <c r="C103" s="47" t="n">
        <v>3676.14</v>
      </c>
      <c r="D103" s="48" t="n">
        <v>1415.48</v>
      </c>
      <c r="E103" s="49" t="n">
        <f aca="false">D103-cover</f>
        <v>1414.28</v>
      </c>
      <c r="F103" s="50" t="n">
        <f aca="false">'Z4 WTP-Ikana'!S18-'Z4 WTP-Ikana'!P18*C103/'Z4 WTP-Ikana'!G18</f>
        <v>1693.90622456681</v>
      </c>
      <c r="G103" s="51" t="n">
        <f aca="false">'Z4 WTP-Ikana'!$B$8-E103</f>
        <v>253.72</v>
      </c>
      <c r="H103" s="52" t="n">
        <f aca="false">F103-E103</f>
        <v>279.626224566809</v>
      </c>
      <c r="I103" s="52" t="n">
        <f aca="false">MAX(H103,G103)</f>
        <v>279.626224566809</v>
      </c>
      <c r="J103" s="4" t="str">
        <f aca="false">IFERROR("PN"&amp;SMALL(PN_list,COUNTIF(PN_list,"&lt;"&amp;I103*bar_per_m)+1),"&gt; max PN")</f>
        <v>PN30</v>
      </c>
      <c r="K103" s="4" t="str">
        <f aca="false">IF(L103="no","end at tank",IF(H103&lt;0,"NEGATIVE",IF(H103&lt;p_min-0.005,"low","OK")))</f>
        <v>OK</v>
      </c>
      <c r="L103" s="4" t="s">
        <v>414</v>
      </c>
    </row>
    <row r="104" customFormat="false" ht="15" hidden="false" customHeight="false" outlineLevel="0" collapsed="false">
      <c r="A104" s="4" t="s">
        <v>40</v>
      </c>
      <c r="B104" s="4" t="s">
        <v>363</v>
      </c>
      <c r="C104" s="47" t="n">
        <v>3726.15</v>
      </c>
      <c r="D104" s="48" t="n">
        <v>1415.18</v>
      </c>
      <c r="E104" s="49" t="n">
        <f aca="false">D104-cover</f>
        <v>1413.98</v>
      </c>
      <c r="F104" s="50" t="n">
        <f aca="false">'Z4 WTP-Ikana'!S18-'Z4 WTP-Ikana'!P18*C104/'Z4 WTP-Ikana'!G18</f>
        <v>1693.82832573279</v>
      </c>
      <c r="G104" s="51" t="n">
        <f aca="false">'Z4 WTP-Ikana'!$B$8-E104</f>
        <v>254.02</v>
      </c>
      <c r="H104" s="52" t="n">
        <f aca="false">F104-E104</f>
        <v>279.84832573279</v>
      </c>
      <c r="I104" s="52" t="n">
        <f aca="false">MAX(H104,G104)</f>
        <v>279.84832573279</v>
      </c>
      <c r="J104" s="4" t="str">
        <f aca="false">IFERROR("PN"&amp;SMALL(PN_list,COUNTIF(PN_list,"&lt;"&amp;I104*bar_per_m)+1),"&gt; max PN")</f>
        <v>PN30</v>
      </c>
      <c r="K104" s="4" t="str">
        <f aca="false">IF(L104="no","end at tank",IF(H104&lt;0,"NEGATIVE",IF(H104&lt;p_min-0.005,"low","OK")))</f>
        <v>OK</v>
      </c>
      <c r="L104" s="4" t="s">
        <v>414</v>
      </c>
    </row>
    <row r="105" customFormat="false" ht="15" hidden="false" customHeight="false" outlineLevel="0" collapsed="false">
      <c r="A105" s="4" t="s">
        <v>40</v>
      </c>
      <c r="B105" s="4" t="s">
        <v>363</v>
      </c>
      <c r="C105" s="47" t="n">
        <v>3776.15</v>
      </c>
      <c r="D105" s="48" t="n">
        <v>1414.66</v>
      </c>
      <c r="E105" s="49" t="n">
        <f aca="false">D105-cover</f>
        <v>1413.46</v>
      </c>
      <c r="F105" s="50" t="n">
        <f aca="false">'Z4 WTP-Ikana'!S18-'Z4 WTP-Ikana'!P18*C105/'Z4 WTP-Ikana'!G18</f>
        <v>1693.75044247542</v>
      </c>
      <c r="G105" s="51" t="n">
        <f aca="false">'Z4 WTP-Ikana'!$B$8-E105</f>
        <v>254.54</v>
      </c>
      <c r="H105" s="52" t="n">
        <f aca="false">F105-E105</f>
        <v>280.290442475423</v>
      </c>
      <c r="I105" s="52" t="n">
        <f aca="false">MAX(H105,G105)</f>
        <v>280.290442475423</v>
      </c>
      <c r="J105" s="4" t="str">
        <f aca="false">IFERROR("PN"&amp;SMALL(PN_list,COUNTIF(PN_list,"&lt;"&amp;I105*bar_per_m)+1),"&gt; max PN")</f>
        <v>PN30</v>
      </c>
      <c r="K105" s="4" t="str">
        <f aca="false">IF(L105="no","end at tank",IF(H105&lt;0,"NEGATIVE",IF(H105&lt;p_min-0.005,"low","OK")))</f>
        <v>OK</v>
      </c>
      <c r="L105" s="4" t="s">
        <v>414</v>
      </c>
    </row>
    <row r="106" customFormat="false" ht="15" hidden="false" customHeight="false" outlineLevel="0" collapsed="false">
      <c r="A106" s="4" t="s">
        <v>40</v>
      </c>
      <c r="B106" s="4" t="s">
        <v>363</v>
      </c>
      <c r="C106" s="47" t="n">
        <v>3826.15</v>
      </c>
      <c r="D106" s="48" t="n">
        <v>1414.13</v>
      </c>
      <c r="E106" s="49" t="n">
        <f aca="false">D106-cover</f>
        <v>1412.93</v>
      </c>
      <c r="F106" s="50" t="n">
        <f aca="false">'Z4 WTP-Ikana'!S18-'Z4 WTP-Ikana'!P18*C106/'Z4 WTP-Ikana'!G18</f>
        <v>1693.67255921806</v>
      </c>
      <c r="G106" s="51" t="n">
        <f aca="false">'Z4 WTP-Ikana'!$B$8-E106</f>
        <v>255.07</v>
      </c>
      <c r="H106" s="52" t="n">
        <f aca="false">F106-E106</f>
        <v>280.742559218056</v>
      </c>
      <c r="I106" s="52" t="n">
        <f aca="false">MAX(H106,G106)</f>
        <v>280.742559218056</v>
      </c>
      <c r="J106" s="4" t="str">
        <f aca="false">IFERROR("PN"&amp;SMALL(PN_list,COUNTIF(PN_list,"&lt;"&amp;I106*bar_per_m)+1),"&gt; max PN")</f>
        <v>PN30</v>
      </c>
      <c r="K106" s="4" t="str">
        <f aca="false">IF(L106="no","end at tank",IF(H106&lt;0,"NEGATIVE",IF(H106&lt;p_min-0.005,"low","OK")))</f>
        <v>OK</v>
      </c>
      <c r="L106" s="4" t="s">
        <v>414</v>
      </c>
    </row>
    <row r="107" customFormat="false" ht="15" hidden="false" customHeight="false" outlineLevel="0" collapsed="false">
      <c r="A107" s="4" t="s">
        <v>40</v>
      </c>
      <c r="B107" s="4" t="s">
        <v>363</v>
      </c>
      <c r="C107" s="47" t="n">
        <v>3876.16</v>
      </c>
      <c r="D107" s="48" t="n">
        <v>1413.3</v>
      </c>
      <c r="E107" s="49" t="n">
        <f aca="false">D107-cover</f>
        <v>1412.1</v>
      </c>
      <c r="F107" s="50" t="n">
        <f aca="false">'Z4 WTP-Ikana'!S18-'Z4 WTP-Ikana'!P18*C107/'Z4 WTP-Ikana'!G18</f>
        <v>1693.59466038404</v>
      </c>
      <c r="G107" s="51" t="n">
        <f aca="false">'Z4 WTP-Ikana'!$B$8-E107</f>
        <v>255.9</v>
      </c>
      <c r="H107" s="52" t="n">
        <f aca="false">F107-E107</f>
        <v>281.494660384037</v>
      </c>
      <c r="I107" s="52" t="n">
        <f aca="false">MAX(H107,G107)</f>
        <v>281.494660384037</v>
      </c>
      <c r="J107" s="4" t="str">
        <f aca="false">IFERROR("PN"&amp;SMALL(PN_list,COUNTIF(PN_list,"&lt;"&amp;I107*bar_per_m)+1),"&gt; max PN")</f>
        <v>PN30</v>
      </c>
      <c r="K107" s="4" t="str">
        <f aca="false">IF(L107="no","end at tank",IF(H107&lt;0,"NEGATIVE",IF(H107&lt;p_min-0.005,"low","OK")))</f>
        <v>OK</v>
      </c>
      <c r="L107" s="4" t="s">
        <v>414</v>
      </c>
    </row>
    <row r="108" customFormat="false" ht="15" hidden="false" customHeight="false" outlineLevel="0" collapsed="false">
      <c r="A108" s="4" t="s">
        <v>40</v>
      </c>
      <c r="B108" s="4" t="s">
        <v>363</v>
      </c>
      <c r="C108" s="47" t="n">
        <v>3926.16</v>
      </c>
      <c r="D108" s="48" t="n">
        <v>1412.71</v>
      </c>
      <c r="E108" s="49" t="n">
        <f aca="false">D108-cover</f>
        <v>1411.51</v>
      </c>
      <c r="F108" s="50" t="n">
        <f aca="false">'Z4 WTP-Ikana'!S18-'Z4 WTP-Ikana'!P18*C108/'Z4 WTP-Ikana'!G18</f>
        <v>1693.51677712667</v>
      </c>
      <c r="G108" s="51" t="n">
        <f aca="false">'Z4 WTP-Ikana'!$B$8-E108</f>
        <v>256.49</v>
      </c>
      <c r="H108" s="52" t="n">
        <f aca="false">F108-E108</f>
        <v>282.00677712667</v>
      </c>
      <c r="I108" s="52" t="n">
        <f aca="false">MAX(H108,G108)</f>
        <v>282.00677712667</v>
      </c>
      <c r="J108" s="4" t="str">
        <f aca="false">IFERROR("PN"&amp;SMALL(PN_list,COUNTIF(PN_list,"&lt;"&amp;I108*bar_per_m)+1),"&gt; max PN")</f>
        <v>PN30</v>
      </c>
      <c r="K108" s="4" t="str">
        <f aca="false">IF(L108="no","end at tank",IF(H108&lt;0,"NEGATIVE",IF(H108&lt;p_min-0.005,"low","OK")))</f>
        <v>OK</v>
      </c>
      <c r="L108" s="4" t="s">
        <v>414</v>
      </c>
    </row>
    <row r="109" customFormat="false" ht="15" hidden="false" customHeight="false" outlineLevel="0" collapsed="false">
      <c r="A109" s="4" t="s">
        <v>40</v>
      </c>
      <c r="B109" s="4" t="s">
        <v>363</v>
      </c>
      <c r="C109" s="47" t="n">
        <v>3976.17</v>
      </c>
      <c r="D109" s="48" t="n">
        <v>1411.74</v>
      </c>
      <c r="E109" s="49" t="n">
        <f aca="false">D109-cover</f>
        <v>1410.54</v>
      </c>
      <c r="F109" s="50" t="n">
        <f aca="false">'Z4 WTP-Ikana'!S18-'Z4 WTP-Ikana'!P18*C109/'Z4 WTP-Ikana'!G18</f>
        <v>1693.43887829265</v>
      </c>
      <c r="G109" s="51" t="n">
        <f aca="false">'Z4 WTP-Ikana'!$B$8-E109</f>
        <v>257.46</v>
      </c>
      <c r="H109" s="52" t="n">
        <f aca="false">F109-E109</f>
        <v>282.898878292652</v>
      </c>
      <c r="I109" s="52" t="n">
        <f aca="false">MAX(H109,G109)</f>
        <v>282.898878292652</v>
      </c>
      <c r="J109" s="4" t="str">
        <f aca="false">IFERROR("PN"&amp;SMALL(PN_list,COUNTIF(PN_list,"&lt;"&amp;I109*bar_per_m)+1),"&gt; max PN")</f>
        <v>PN30</v>
      </c>
      <c r="K109" s="4" t="str">
        <f aca="false">IF(L109="no","end at tank",IF(H109&lt;0,"NEGATIVE",IF(H109&lt;p_min-0.005,"low","OK")))</f>
        <v>OK</v>
      </c>
      <c r="L109" s="4" t="s">
        <v>414</v>
      </c>
    </row>
    <row r="110" customFormat="false" ht="15" hidden="false" customHeight="false" outlineLevel="0" collapsed="false">
      <c r="A110" s="4" t="s">
        <v>40</v>
      </c>
      <c r="B110" s="4" t="s">
        <v>363</v>
      </c>
      <c r="C110" s="47" t="n">
        <v>4026.18</v>
      </c>
      <c r="D110" s="48" t="n">
        <v>1410.83</v>
      </c>
      <c r="E110" s="49" t="n">
        <f aca="false">D110-cover</f>
        <v>1409.63</v>
      </c>
      <c r="F110" s="50" t="n">
        <f aca="false">'Z4 WTP-Ikana'!S18-'Z4 WTP-Ikana'!P18*C110/'Z4 WTP-Ikana'!G18</f>
        <v>1693.36097945863</v>
      </c>
      <c r="G110" s="51" t="n">
        <f aca="false">'Z4 WTP-Ikana'!$B$8-E110</f>
        <v>258.37</v>
      </c>
      <c r="H110" s="52" t="n">
        <f aca="false">F110-E110</f>
        <v>283.730979458633</v>
      </c>
      <c r="I110" s="52" t="n">
        <f aca="false">MAX(H110,G110)</f>
        <v>283.730979458633</v>
      </c>
      <c r="J110" s="4" t="str">
        <f aca="false">IFERROR("PN"&amp;SMALL(PN_list,COUNTIF(PN_list,"&lt;"&amp;I110*bar_per_m)+1),"&gt; max PN")</f>
        <v>PN30</v>
      </c>
      <c r="K110" s="4" t="str">
        <f aca="false">IF(L110="no","end at tank",IF(H110&lt;0,"NEGATIVE",IF(H110&lt;p_min-0.005,"low","OK")))</f>
        <v>OK</v>
      </c>
      <c r="L110" s="4" t="s">
        <v>414</v>
      </c>
    </row>
    <row r="111" customFormat="false" ht="15" hidden="false" customHeight="false" outlineLevel="0" collapsed="false">
      <c r="A111" s="4" t="s">
        <v>40</v>
      </c>
      <c r="B111" s="4" t="s">
        <v>363</v>
      </c>
      <c r="C111" s="47" t="n">
        <v>4076.19</v>
      </c>
      <c r="D111" s="48" t="n">
        <v>1409.98</v>
      </c>
      <c r="E111" s="49" t="n">
        <f aca="false">D111-cover</f>
        <v>1408.78</v>
      </c>
      <c r="F111" s="50" t="n">
        <f aca="false">'Z4 WTP-Ikana'!S18-'Z4 WTP-Ikana'!P18*C111/'Z4 WTP-Ikana'!G18</f>
        <v>1693.28308062461</v>
      </c>
      <c r="G111" s="51" t="n">
        <f aca="false">'Z4 WTP-Ikana'!$B$8-E111</f>
        <v>259.22</v>
      </c>
      <c r="H111" s="52" t="n">
        <f aca="false">F111-E111</f>
        <v>284.503080624615</v>
      </c>
      <c r="I111" s="52" t="n">
        <f aca="false">MAX(H111,G111)</f>
        <v>284.503080624615</v>
      </c>
      <c r="J111" s="4" t="str">
        <f aca="false">IFERROR("PN"&amp;SMALL(PN_list,COUNTIF(PN_list,"&lt;"&amp;I111*bar_per_m)+1),"&gt; max PN")</f>
        <v>PN30</v>
      </c>
      <c r="K111" s="4" t="str">
        <f aca="false">IF(L111="no","end at tank",IF(H111&lt;0,"NEGATIVE",IF(H111&lt;p_min-0.005,"low","OK")))</f>
        <v>OK</v>
      </c>
      <c r="L111" s="4" t="s">
        <v>414</v>
      </c>
    </row>
    <row r="112" customFormat="false" ht="15" hidden="false" customHeight="false" outlineLevel="0" collapsed="false">
      <c r="A112" s="4" t="s">
        <v>40</v>
      </c>
      <c r="B112" s="4" t="s">
        <v>363</v>
      </c>
      <c r="C112" s="47" t="n">
        <v>4126.19</v>
      </c>
      <c r="D112" s="48" t="n">
        <v>1409.52</v>
      </c>
      <c r="E112" s="49" t="n">
        <f aca="false">D112-cover</f>
        <v>1408.32</v>
      </c>
      <c r="F112" s="50" t="n">
        <f aca="false">'Z4 WTP-Ikana'!S18-'Z4 WTP-Ikana'!P18*C112/'Z4 WTP-Ikana'!G18</f>
        <v>1693.20519736725</v>
      </c>
      <c r="G112" s="51" t="n">
        <f aca="false">'Z4 WTP-Ikana'!$B$8-E112</f>
        <v>259.68</v>
      </c>
      <c r="H112" s="52" t="n">
        <f aca="false">F112-E112</f>
        <v>284.885197367247</v>
      </c>
      <c r="I112" s="52" t="n">
        <f aca="false">MAX(H112,G112)</f>
        <v>284.885197367247</v>
      </c>
      <c r="J112" s="4" t="str">
        <f aca="false">IFERROR("PN"&amp;SMALL(PN_list,COUNTIF(PN_list,"&lt;"&amp;I112*bar_per_m)+1),"&gt; max PN")</f>
        <v>PN30</v>
      </c>
      <c r="K112" s="4" t="str">
        <f aca="false">IF(L112="no","end at tank",IF(H112&lt;0,"NEGATIVE",IF(H112&lt;p_min-0.005,"low","OK")))</f>
        <v>OK</v>
      </c>
      <c r="L112" s="4" t="s">
        <v>414</v>
      </c>
    </row>
    <row r="113" customFormat="false" ht="15" hidden="false" customHeight="false" outlineLevel="0" collapsed="false">
      <c r="A113" s="4" t="s">
        <v>40</v>
      </c>
      <c r="B113" s="4" t="s">
        <v>363</v>
      </c>
      <c r="C113" s="47" t="n">
        <v>4176.2</v>
      </c>
      <c r="D113" s="48" t="n">
        <v>1408.29</v>
      </c>
      <c r="E113" s="49" t="n">
        <f aca="false">D113-cover</f>
        <v>1407.09</v>
      </c>
      <c r="F113" s="50" t="n">
        <f aca="false">'Z4 WTP-Ikana'!S18-'Z4 WTP-Ikana'!P18*C113/'Z4 WTP-Ikana'!G18</f>
        <v>1693.12729853323</v>
      </c>
      <c r="G113" s="51" t="n">
        <f aca="false">'Z4 WTP-Ikana'!$B$8-E113</f>
        <v>260.91</v>
      </c>
      <c r="H113" s="52" t="n">
        <f aca="false">F113-E113</f>
        <v>286.037298533229</v>
      </c>
      <c r="I113" s="52" t="n">
        <f aca="false">MAX(H113,G113)</f>
        <v>286.037298533229</v>
      </c>
      <c r="J113" s="4" t="str">
        <f aca="false">IFERROR("PN"&amp;SMALL(PN_list,COUNTIF(PN_list,"&lt;"&amp;I113*bar_per_m)+1),"&gt; max PN")</f>
        <v>PN30</v>
      </c>
      <c r="K113" s="4" t="str">
        <f aca="false">IF(L113="no","end at tank",IF(H113&lt;0,"NEGATIVE",IF(H113&lt;p_min-0.005,"low","OK")))</f>
        <v>OK</v>
      </c>
      <c r="L113" s="4" t="s">
        <v>414</v>
      </c>
    </row>
    <row r="114" customFormat="false" ht="15" hidden="false" customHeight="false" outlineLevel="0" collapsed="false">
      <c r="A114" s="4" t="s">
        <v>40</v>
      </c>
      <c r="B114" s="4" t="s">
        <v>363</v>
      </c>
      <c r="C114" s="47" t="n">
        <v>4226.21</v>
      </c>
      <c r="D114" s="48" t="n">
        <v>1407.4</v>
      </c>
      <c r="E114" s="49" t="n">
        <f aca="false">D114-cover</f>
        <v>1406.2</v>
      </c>
      <c r="F114" s="50" t="n">
        <f aca="false">'Z4 WTP-Ikana'!S18-'Z4 WTP-Ikana'!P18*C114/'Z4 WTP-Ikana'!G18</f>
        <v>1693.04939969921</v>
      </c>
      <c r="G114" s="51" t="n">
        <f aca="false">'Z4 WTP-Ikana'!$B$8-E114</f>
        <v>261.8</v>
      </c>
      <c r="H114" s="52" t="n">
        <f aca="false">F114-E114</f>
        <v>286.84939969921</v>
      </c>
      <c r="I114" s="52" t="n">
        <f aca="false">MAX(H114,G114)</f>
        <v>286.84939969921</v>
      </c>
      <c r="J114" s="4" t="str">
        <f aca="false">IFERROR("PN"&amp;SMALL(PN_list,COUNTIF(PN_list,"&lt;"&amp;I114*bar_per_m)+1),"&gt; max PN")</f>
        <v>PN30</v>
      </c>
      <c r="K114" s="4" t="str">
        <f aca="false">IF(L114="no","end at tank",IF(H114&lt;0,"NEGATIVE",IF(H114&lt;p_min-0.005,"low","OK")))</f>
        <v>OK</v>
      </c>
      <c r="L114" s="4" t="s">
        <v>414</v>
      </c>
    </row>
    <row r="115" customFormat="false" ht="15" hidden="false" customHeight="false" outlineLevel="0" collapsed="false">
      <c r="A115" s="4" t="s">
        <v>40</v>
      </c>
      <c r="B115" s="4" t="s">
        <v>363</v>
      </c>
      <c r="C115" s="47" t="n">
        <v>4276.22</v>
      </c>
      <c r="D115" s="48" t="n">
        <v>1406.76</v>
      </c>
      <c r="E115" s="49" t="n">
        <f aca="false">D115-cover</f>
        <v>1405.56</v>
      </c>
      <c r="F115" s="50" t="n">
        <f aca="false">'Z4 WTP-Ikana'!S18-'Z4 WTP-Ikana'!P18*C115/'Z4 WTP-Ikana'!G18</f>
        <v>1692.97150086519</v>
      </c>
      <c r="G115" s="51" t="n">
        <f aca="false">'Z4 WTP-Ikana'!$B$8-E115</f>
        <v>262.44</v>
      </c>
      <c r="H115" s="52" t="n">
        <f aca="false">F115-E115</f>
        <v>287.411500865192</v>
      </c>
      <c r="I115" s="52" t="n">
        <f aca="false">MAX(H115,G115)</f>
        <v>287.411500865192</v>
      </c>
      <c r="J115" s="4" t="str">
        <f aca="false">IFERROR("PN"&amp;SMALL(PN_list,COUNTIF(PN_list,"&lt;"&amp;I115*bar_per_m)+1),"&gt; max PN")</f>
        <v>PN30</v>
      </c>
      <c r="K115" s="4" t="str">
        <f aca="false">IF(L115="no","end at tank",IF(H115&lt;0,"NEGATIVE",IF(H115&lt;p_min-0.005,"low","OK")))</f>
        <v>OK</v>
      </c>
      <c r="L115" s="4" t="s">
        <v>414</v>
      </c>
    </row>
    <row r="116" customFormat="false" ht="15" hidden="false" customHeight="false" outlineLevel="0" collapsed="false">
      <c r="A116" s="4" t="s">
        <v>40</v>
      </c>
      <c r="B116" s="4" t="s">
        <v>363</v>
      </c>
      <c r="C116" s="47" t="n">
        <v>4326.23</v>
      </c>
      <c r="D116" s="48" t="n">
        <v>1405.66</v>
      </c>
      <c r="E116" s="49" t="n">
        <f aca="false">D116-cover</f>
        <v>1404.46</v>
      </c>
      <c r="F116" s="50" t="n">
        <f aca="false">'Z4 WTP-Ikana'!S18-'Z4 WTP-Ikana'!P18*C116/'Z4 WTP-Ikana'!G18</f>
        <v>1692.89360203117</v>
      </c>
      <c r="G116" s="51" t="n">
        <f aca="false">'Z4 WTP-Ikana'!$B$8-E116</f>
        <v>263.54</v>
      </c>
      <c r="H116" s="52" t="n">
        <f aca="false">F116-E116</f>
        <v>288.433602031173</v>
      </c>
      <c r="I116" s="52" t="n">
        <f aca="false">MAX(H116,G116)</f>
        <v>288.433602031173</v>
      </c>
      <c r="J116" s="4" t="str">
        <f aca="false">IFERROR("PN"&amp;SMALL(PN_list,COUNTIF(PN_list,"&lt;"&amp;I116*bar_per_m)+1),"&gt; max PN")</f>
        <v>PN30</v>
      </c>
      <c r="K116" s="4" t="str">
        <f aca="false">IF(L116="no","end at tank",IF(H116&lt;0,"NEGATIVE",IF(H116&lt;p_min-0.005,"low","OK")))</f>
        <v>OK</v>
      </c>
      <c r="L116" s="4" t="s">
        <v>414</v>
      </c>
    </row>
    <row r="117" customFormat="false" ht="15" hidden="false" customHeight="false" outlineLevel="0" collapsed="false">
      <c r="A117" s="4" t="s">
        <v>40</v>
      </c>
      <c r="B117" s="4" t="s">
        <v>363</v>
      </c>
      <c r="C117" s="47" t="n">
        <v>4376.23</v>
      </c>
      <c r="D117" s="48" t="n">
        <v>1405.1</v>
      </c>
      <c r="E117" s="49" t="n">
        <f aca="false">D117-cover</f>
        <v>1403.9</v>
      </c>
      <c r="F117" s="50" t="n">
        <f aca="false">'Z4 WTP-Ikana'!S18-'Z4 WTP-Ikana'!P18*C117/'Z4 WTP-Ikana'!G18</f>
        <v>1692.81571877381</v>
      </c>
      <c r="G117" s="51" t="n">
        <f aca="false">'Z4 WTP-Ikana'!$B$8-E117</f>
        <v>264.1</v>
      </c>
      <c r="H117" s="52" t="n">
        <f aca="false">F117-E117</f>
        <v>288.915718773807</v>
      </c>
      <c r="I117" s="52" t="n">
        <f aca="false">MAX(H117,G117)</f>
        <v>288.915718773807</v>
      </c>
      <c r="J117" s="4" t="str">
        <f aca="false">IFERROR("PN"&amp;SMALL(PN_list,COUNTIF(PN_list,"&lt;"&amp;I117*bar_per_m)+1),"&gt; max PN")</f>
        <v>PN30</v>
      </c>
      <c r="K117" s="4" t="str">
        <f aca="false">IF(L117="no","end at tank",IF(H117&lt;0,"NEGATIVE",IF(H117&lt;p_min-0.005,"low","OK")))</f>
        <v>OK</v>
      </c>
      <c r="L117" s="4" t="s">
        <v>414</v>
      </c>
    </row>
    <row r="118" customFormat="false" ht="15" hidden="false" customHeight="false" outlineLevel="0" collapsed="false">
      <c r="A118" s="4" t="s">
        <v>40</v>
      </c>
      <c r="B118" s="4" t="s">
        <v>363</v>
      </c>
      <c r="C118" s="47" t="n">
        <v>4426.23</v>
      </c>
      <c r="D118" s="48" t="n">
        <v>1404.58</v>
      </c>
      <c r="E118" s="49" t="n">
        <f aca="false">D118-cover</f>
        <v>1403.38</v>
      </c>
      <c r="F118" s="50" t="n">
        <f aca="false">'Z4 WTP-Ikana'!S18-'Z4 WTP-Ikana'!P18*C118/'Z4 WTP-Ikana'!G18</f>
        <v>1692.73783551644</v>
      </c>
      <c r="G118" s="51" t="n">
        <f aca="false">'Z4 WTP-Ikana'!$B$8-E118</f>
        <v>264.62</v>
      </c>
      <c r="H118" s="52" t="n">
        <f aca="false">F118-E118</f>
        <v>289.357835516439</v>
      </c>
      <c r="I118" s="52" t="n">
        <f aca="false">MAX(H118,G118)</f>
        <v>289.357835516439</v>
      </c>
      <c r="J118" s="4" t="str">
        <f aca="false">IFERROR("PN"&amp;SMALL(PN_list,COUNTIF(PN_list,"&lt;"&amp;I118*bar_per_m)+1),"&gt; max PN")</f>
        <v>PN30</v>
      </c>
      <c r="K118" s="4" t="str">
        <f aca="false">IF(L118="no","end at tank",IF(H118&lt;0,"NEGATIVE",IF(H118&lt;p_min-0.005,"low","OK")))</f>
        <v>OK</v>
      </c>
      <c r="L118" s="4" t="s">
        <v>414</v>
      </c>
    </row>
    <row r="119" customFormat="false" ht="15" hidden="false" customHeight="false" outlineLevel="0" collapsed="false">
      <c r="A119" s="4" t="s">
        <v>40</v>
      </c>
      <c r="B119" s="4" t="s">
        <v>363</v>
      </c>
      <c r="C119" s="47" t="n">
        <v>4476.23</v>
      </c>
      <c r="D119" s="48" t="n">
        <v>1404.75</v>
      </c>
      <c r="E119" s="49" t="n">
        <f aca="false">D119-cover</f>
        <v>1403.55</v>
      </c>
      <c r="F119" s="50" t="n">
        <f aca="false">'Z4 WTP-Ikana'!S18-'Z4 WTP-Ikana'!P18*C119/'Z4 WTP-Ikana'!G18</f>
        <v>1692.65995225907</v>
      </c>
      <c r="G119" s="51" t="n">
        <f aca="false">'Z4 WTP-Ikana'!$B$8-E119</f>
        <v>264.45</v>
      </c>
      <c r="H119" s="52" t="n">
        <f aca="false">F119-E119</f>
        <v>289.109952259072</v>
      </c>
      <c r="I119" s="52" t="n">
        <f aca="false">MAX(H119,G119)</f>
        <v>289.109952259072</v>
      </c>
      <c r="J119" s="4" t="str">
        <f aca="false">IFERROR("PN"&amp;SMALL(PN_list,COUNTIF(PN_list,"&lt;"&amp;I119*bar_per_m)+1),"&gt; max PN")</f>
        <v>PN30</v>
      </c>
      <c r="K119" s="4" t="str">
        <f aca="false">IF(L119="no","end at tank",IF(H119&lt;0,"NEGATIVE",IF(H119&lt;p_min-0.005,"low","OK")))</f>
        <v>OK</v>
      </c>
      <c r="L119" s="4" t="s">
        <v>414</v>
      </c>
    </row>
    <row r="120" customFormat="false" ht="15" hidden="false" customHeight="false" outlineLevel="0" collapsed="false">
      <c r="A120" s="4" t="s">
        <v>40</v>
      </c>
      <c r="B120" s="4" t="s">
        <v>363</v>
      </c>
      <c r="C120" s="47" t="n">
        <v>4526.23</v>
      </c>
      <c r="D120" s="48" t="n">
        <v>1404.56</v>
      </c>
      <c r="E120" s="49" t="n">
        <f aca="false">D120-cover</f>
        <v>1403.36</v>
      </c>
      <c r="F120" s="50" t="n">
        <f aca="false">'Z4 WTP-Ikana'!S18-'Z4 WTP-Ikana'!P18*C120/'Z4 WTP-Ikana'!G18</f>
        <v>1692.58206900171</v>
      </c>
      <c r="G120" s="51" t="n">
        <f aca="false">'Z4 WTP-Ikana'!$B$8-E120</f>
        <v>264.64</v>
      </c>
      <c r="H120" s="52" t="n">
        <f aca="false">F120-E120</f>
        <v>289.222069001705</v>
      </c>
      <c r="I120" s="52" t="n">
        <f aca="false">MAX(H120,G120)</f>
        <v>289.222069001705</v>
      </c>
      <c r="J120" s="4" t="str">
        <f aca="false">IFERROR("PN"&amp;SMALL(PN_list,COUNTIF(PN_list,"&lt;"&amp;I120*bar_per_m)+1),"&gt; max PN")</f>
        <v>PN30</v>
      </c>
      <c r="K120" s="4" t="str">
        <f aca="false">IF(L120="no","end at tank",IF(H120&lt;0,"NEGATIVE",IF(H120&lt;p_min-0.005,"low","OK")))</f>
        <v>OK</v>
      </c>
      <c r="L120" s="4" t="s">
        <v>414</v>
      </c>
    </row>
    <row r="121" customFormat="false" ht="15" hidden="false" customHeight="false" outlineLevel="0" collapsed="false">
      <c r="A121" s="4" t="s">
        <v>40</v>
      </c>
      <c r="B121" s="4" t="s">
        <v>363</v>
      </c>
      <c r="C121" s="47" t="n">
        <v>4576.23</v>
      </c>
      <c r="D121" s="48" t="n">
        <v>1404.66</v>
      </c>
      <c r="E121" s="49" t="n">
        <f aca="false">D121-cover</f>
        <v>1403.46</v>
      </c>
      <c r="F121" s="50" t="n">
        <f aca="false">'Z4 WTP-Ikana'!S18-'Z4 WTP-Ikana'!P18*C121/'Z4 WTP-Ikana'!G18</f>
        <v>1692.50418574434</v>
      </c>
      <c r="G121" s="51" t="n">
        <f aca="false">'Z4 WTP-Ikana'!$B$8-E121</f>
        <v>264.54</v>
      </c>
      <c r="H121" s="52" t="n">
        <f aca="false">F121-E121</f>
        <v>289.044185744338</v>
      </c>
      <c r="I121" s="52" t="n">
        <f aca="false">MAX(H121,G121)</f>
        <v>289.044185744338</v>
      </c>
      <c r="J121" s="4" t="str">
        <f aca="false">IFERROR("PN"&amp;SMALL(PN_list,COUNTIF(PN_list,"&lt;"&amp;I121*bar_per_m)+1),"&gt; max PN")</f>
        <v>PN30</v>
      </c>
      <c r="K121" s="4" t="str">
        <f aca="false">IF(L121="no","end at tank",IF(H121&lt;0,"NEGATIVE",IF(H121&lt;p_min-0.005,"low","OK")))</f>
        <v>OK</v>
      </c>
      <c r="L121" s="4" t="s">
        <v>414</v>
      </c>
    </row>
    <row r="122" customFormat="false" ht="15" hidden="false" customHeight="false" outlineLevel="0" collapsed="false">
      <c r="A122" s="4" t="s">
        <v>40</v>
      </c>
      <c r="B122" s="4" t="s">
        <v>363</v>
      </c>
      <c r="C122" s="47" t="n">
        <v>4626.23</v>
      </c>
      <c r="D122" s="48" t="n">
        <v>1404.89</v>
      </c>
      <c r="E122" s="49" t="n">
        <f aca="false">D122-cover</f>
        <v>1403.69</v>
      </c>
      <c r="F122" s="50" t="n">
        <f aca="false">'Z4 WTP-Ikana'!S18-'Z4 WTP-Ikana'!P18*C122/'Z4 WTP-Ikana'!G18</f>
        <v>1692.42630248697</v>
      </c>
      <c r="G122" s="51" t="n">
        <f aca="false">'Z4 WTP-Ikana'!$B$8-E122</f>
        <v>264.31</v>
      </c>
      <c r="H122" s="52" t="n">
        <f aca="false">F122-E122</f>
        <v>288.736302486971</v>
      </c>
      <c r="I122" s="52" t="n">
        <f aca="false">MAX(H122,G122)</f>
        <v>288.736302486971</v>
      </c>
      <c r="J122" s="4" t="str">
        <f aca="false">IFERROR("PN"&amp;SMALL(PN_list,COUNTIF(PN_list,"&lt;"&amp;I122*bar_per_m)+1),"&gt; max PN")</f>
        <v>PN30</v>
      </c>
      <c r="K122" s="4" t="str">
        <f aca="false">IF(L122="no","end at tank",IF(H122&lt;0,"NEGATIVE",IF(H122&lt;p_min-0.005,"low","OK")))</f>
        <v>OK</v>
      </c>
      <c r="L122" s="4" t="s">
        <v>414</v>
      </c>
    </row>
    <row r="123" customFormat="false" ht="15" hidden="false" customHeight="false" outlineLevel="0" collapsed="false">
      <c r="A123" s="4" t="s">
        <v>40</v>
      </c>
      <c r="B123" s="4" t="s">
        <v>363</v>
      </c>
      <c r="C123" s="47" t="n">
        <v>4676.23</v>
      </c>
      <c r="D123" s="48" t="n">
        <v>1404.9</v>
      </c>
      <c r="E123" s="49" t="n">
        <f aca="false">D123-cover</f>
        <v>1403.7</v>
      </c>
      <c r="F123" s="50" t="n">
        <f aca="false">'Z4 WTP-Ikana'!S18-'Z4 WTP-Ikana'!P18*C123/'Z4 WTP-Ikana'!G18</f>
        <v>1692.3484192296</v>
      </c>
      <c r="G123" s="51" t="n">
        <f aca="false">'Z4 WTP-Ikana'!$B$8-E123</f>
        <v>264.3</v>
      </c>
      <c r="H123" s="52" t="n">
        <f aca="false">F123-E123</f>
        <v>288.648419229604</v>
      </c>
      <c r="I123" s="52" t="n">
        <f aca="false">MAX(H123,G123)</f>
        <v>288.648419229604</v>
      </c>
      <c r="J123" s="4" t="str">
        <f aca="false">IFERROR("PN"&amp;SMALL(PN_list,COUNTIF(PN_list,"&lt;"&amp;I123*bar_per_m)+1),"&gt; max PN")</f>
        <v>PN30</v>
      </c>
      <c r="K123" s="4" t="str">
        <f aca="false">IF(L123="no","end at tank",IF(H123&lt;0,"NEGATIVE",IF(H123&lt;p_min-0.005,"low","OK")))</f>
        <v>OK</v>
      </c>
      <c r="L123" s="4" t="s">
        <v>414</v>
      </c>
    </row>
    <row r="124" customFormat="false" ht="15" hidden="false" customHeight="false" outlineLevel="0" collapsed="false">
      <c r="A124" s="4" t="s">
        <v>40</v>
      </c>
      <c r="B124" s="4" t="s">
        <v>363</v>
      </c>
      <c r="C124" s="47" t="n">
        <v>4726.23</v>
      </c>
      <c r="D124" s="48" t="n">
        <v>1405.1</v>
      </c>
      <c r="E124" s="49" t="n">
        <f aca="false">D124-cover</f>
        <v>1403.9</v>
      </c>
      <c r="F124" s="50" t="n">
        <f aca="false">'Z4 WTP-Ikana'!S18-'Z4 WTP-Ikana'!P18*C124/'Z4 WTP-Ikana'!G18</f>
        <v>1692.27053597224</v>
      </c>
      <c r="G124" s="51" t="n">
        <f aca="false">'Z4 WTP-Ikana'!$B$8-E124</f>
        <v>264.1</v>
      </c>
      <c r="H124" s="52" t="n">
        <f aca="false">F124-E124</f>
        <v>288.370535972237</v>
      </c>
      <c r="I124" s="52" t="n">
        <f aca="false">MAX(H124,G124)</f>
        <v>288.370535972237</v>
      </c>
      <c r="J124" s="4" t="str">
        <f aca="false">IFERROR("PN"&amp;SMALL(PN_list,COUNTIF(PN_list,"&lt;"&amp;I124*bar_per_m)+1),"&gt; max PN")</f>
        <v>PN30</v>
      </c>
      <c r="K124" s="4" t="str">
        <f aca="false">IF(L124="no","end at tank",IF(H124&lt;0,"NEGATIVE",IF(H124&lt;p_min-0.005,"low","OK")))</f>
        <v>OK</v>
      </c>
      <c r="L124" s="4" t="s">
        <v>414</v>
      </c>
    </row>
    <row r="125" customFormat="false" ht="15" hidden="false" customHeight="false" outlineLevel="0" collapsed="false">
      <c r="A125" s="4" t="s">
        <v>40</v>
      </c>
      <c r="B125" s="4" t="s">
        <v>363</v>
      </c>
      <c r="C125" s="47" t="n">
        <v>4776.24</v>
      </c>
      <c r="D125" s="48" t="n">
        <v>1405.39</v>
      </c>
      <c r="E125" s="49" t="n">
        <f aca="false">D125-cover</f>
        <v>1404.19</v>
      </c>
      <c r="F125" s="50" t="n">
        <f aca="false">'Z4 WTP-Ikana'!S18-'Z4 WTP-Ikana'!P18*C125/'Z4 WTP-Ikana'!G18</f>
        <v>1692.19263713822</v>
      </c>
      <c r="G125" s="51" t="n">
        <f aca="false">'Z4 WTP-Ikana'!$B$8-E125</f>
        <v>263.81</v>
      </c>
      <c r="H125" s="52" t="n">
        <f aca="false">F125-E125</f>
        <v>288.002637138218</v>
      </c>
      <c r="I125" s="52" t="n">
        <f aca="false">MAX(H125,G125)</f>
        <v>288.002637138218</v>
      </c>
      <c r="J125" s="4" t="str">
        <f aca="false">IFERROR("PN"&amp;SMALL(PN_list,COUNTIF(PN_list,"&lt;"&amp;I125*bar_per_m)+1),"&gt; max PN")</f>
        <v>PN30</v>
      </c>
      <c r="K125" s="4" t="str">
        <f aca="false">IF(L125="no","end at tank",IF(H125&lt;0,"NEGATIVE",IF(H125&lt;p_min-0.005,"low","OK")))</f>
        <v>OK</v>
      </c>
      <c r="L125" s="4" t="s">
        <v>414</v>
      </c>
    </row>
    <row r="126" customFormat="false" ht="15" hidden="false" customHeight="false" outlineLevel="0" collapsed="false">
      <c r="A126" s="4" t="s">
        <v>40</v>
      </c>
      <c r="B126" s="4" t="s">
        <v>363</v>
      </c>
      <c r="C126" s="47" t="n">
        <v>4826.25</v>
      </c>
      <c r="D126" s="48" t="n">
        <v>1406.54</v>
      </c>
      <c r="E126" s="49" t="n">
        <f aca="false">D126-cover</f>
        <v>1405.34</v>
      </c>
      <c r="F126" s="50" t="n">
        <f aca="false">'Z4 WTP-Ikana'!S18-'Z4 WTP-Ikana'!P18*C126/'Z4 WTP-Ikana'!G18</f>
        <v>1692.1147383042</v>
      </c>
      <c r="G126" s="51" t="n">
        <f aca="false">'Z4 WTP-Ikana'!$B$8-E126</f>
        <v>262.66</v>
      </c>
      <c r="H126" s="52" t="n">
        <f aca="false">F126-E126</f>
        <v>286.7747383042</v>
      </c>
      <c r="I126" s="52" t="n">
        <f aca="false">MAX(H126,G126)</f>
        <v>286.7747383042</v>
      </c>
      <c r="J126" s="4" t="str">
        <f aca="false">IFERROR("PN"&amp;SMALL(PN_list,COUNTIF(PN_list,"&lt;"&amp;I126*bar_per_m)+1),"&gt; max PN")</f>
        <v>PN30</v>
      </c>
      <c r="K126" s="4" t="str">
        <f aca="false">IF(L126="no","end at tank",IF(H126&lt;0,"NEGATIVE",IF(H126&lt;p_min-0.005,"low","OK")))</f>
        <v>OK</v>
      </c>
      <c r="L126" s="4" t="s">
        <v>414</v>
      </c>
    </row>
    <row r="127" customFormat="false" ht="15" hidden="false" customHeight="false" outlineLevel="0" collapsed="false">
      <c r="A127" s="4" t="s">
        <v>40</v>
      </c>
      <c r="B127" s="4" t="s">
        <v>363</v>
      </c>
      <c r="C127" s="47" t="n">
        <v>4876.25</v>
      </c>
      <c r="D127" s="48" t="n">
        <v>1405.8</v>
      </c>
      <c r="E127" s="49" t="n">
        <f aca="false">D127-cover</f>
        <v>1404.6</v>
      </c>
      <c r="F127" s="50" t="n">
        <f aca="false">'Z4 WTP-Ikana'!S18-'Z4 WTP-Ikana'!P18*C127/'Z4 WTP-Ikana'!G18</f>
        <v>1692.03685504683</v>
      </c>
      <c r="G127" s="51" t="n">
        <f aca="false">'Z4 WTP-Ikana'!$B$8-E127</f>
        <v>263.4</v>
      </c>
      <c r="H127" s="52" t="n">
        <f aca="false">F127-E127</f>
        <v>287.436855046833</v>
      </c>
      <c r="I127" s="52" t="n">
        <f aca="false">MAX(H127,G127)</f>
        <v>287.436855046833</v>
      </c>
      <c r="J127" s="4" t="str">
        <f aca="false">IFERROR("PN"&amp;SMALL(PN_list,COUNTIF(PN_list,"&lt;"&amp;I127*bar_per_m)+1),"&gt; max PN")</f>
        <v>PN30</v>
      </c>
      <c r="K127" s="4" t="str">
        <f aca="false">IF(L127="no","end at tank",IF(H127&lt;0,"NEGATIVE",IF(H127&lt;p_min-0.005,"low","OK")))</f>
        <v>OK</v>
      </c>
      <c r="L127" s="4" t="s">
        <v>414</v>
      </c>
    </row>
    <row r="128" customFormat="false" ht="15" hidden="false" customHeight="false" outlineLevel="0" collapsed="false">
      <c r="A128" s="4" t="s">
        <v>40</v>
      </c>
      <c r="B128" s="4" t="s">
        <v>363</v>
      </c>
      <c r="C128" s="47" t="n">
        <v>4926.25</v>
      </c>
      <c r="D128" s="48" t="n">
        <v>1405.79</v>
      </c>
      <c r="E128" s="49" t="n">
        <f aca="false">D128-cover</f>
        <v>1404.59</v>
      </c>
      <c r="F128" s="50" t="n">
        <f aca="false">'Z4 WTP-Ikana'!S18-'Z4 WTP-Ikana'!P18*C128/'Z4 WTP-Ikana'!G18</f>
        <v>1691.95897178947</v>
      </c>
      <c r="G128" s="51" t="n">
        <f aca="false">'Z4 WTP-Ikana'!$B$8-E128</f>
        <v>263.41</v>
      </c>
      <c r="H128" s="52" t="n">
        <f aca="false">F128-E128</f>
        <v>287.368971789466</v>
      </c>
      <c r="I128" s="52" t="n">
        <f aca="false">MAX(H128,G128)</f>
        <v>287.368971789466</v>
      </c>
      <c r="J128" s="4" t="str">
        <f aca="false">IFERROR("PN"&amp;SMALL(PN_list,COUNTIF(PN_list,"&lt;"&amp;I128*bar_per_m)+1),"&gt; max PN")</f>
        <v>PN30</v>
      </c>
      <c r="K128" s="4" t="str">
        <f aca="false">IF(L128="no","end at tank",IF(H128&lt;0,"NEGATIVE",IF(H128&lt;p_min-0.005,"low","OK")))</f>
        <v>OK</v>
      </c>
      <c r="L128" s="4" t="s">
        <v>414</v>
      </c>
    </row>
    <row r="129" customFormat="false" ht="15" hidden="false" customHeight="false" outlineLevel="0" collapsed="false">
      <c r="A129" s="4" t="s">
        <v>40</v>
      </c>
      <c r="B129" s="4" t="s">
        <v>363</v>
      </c>
      <c r="C129" s="47" t="n">
        <v>4976.25</v>
      </c>
      <c r="D129" s="48" t="n">
        <v>1405.89</v>
      </c>
      <c r="E129" s="49" t="n">
        <f aca="false">D129-cover</f>
        <v>1404.69</v>
      </c>
      <c r="F129" s="50" t="n">
        <f aca="false">'Z4 WTP-Ikana'!S18-'Z4 WTP-Ikana'!P18*C129/'Z4 WTP-Ikana'!G18</f>
        <v>1691.8810885321</v>
      </c>
      <c r="G129" s="51" t="n">
        <f aca="false">'Z4 WTP-Ikana'!$B$8-E129</f>
        <v>263.31</v>
      </c>
      <c r="H129" s="52" t="n">
        <f aca="false">F129-E129</f>
        <v>287.191088532099</v>
      </c>
      <c r="I129" s="52" t="n">
        <f aca="false">MAX(H129,G129)</f>
        <v>287.191088532099</v>
      </c>
      <c r="J129" s="4" t="str">
        <f aca="false">IFERROR("PN"&amp;SMALL(PN_list,COUNTIF(PN_list,"&lt;"&amp;I129*bar_per_m)+1),"&gt; max PN")</f>
        <v>PN30</v>
      </c>
      <c r="K129" s="4" t="str">
        <f aca="false">IF(L129="no","end at tank",IF(H129&lt;0,"NEGATIVE",IF(H129&lt;p_min-0.005,"low","OK")))</f>
        <v>OK</v>
      </c>
      <c r="L129" s="4" t="s">
        <v>414</v>
      </c>
    </row>
    <row r="130" customFormat="false" ht="15" hidden="false" customHeight="false" outlineLevel="0" collapsed="false">
      <c r="A130" s="4" t="s">
        <v>40</v>
      </c>
      <c r="B130" s="4" t="s">
        <v>363</v>
      </c>
      <c r="C130" s="47" t="n">
        <v>5026.25</v>
      </c>
      <c r="D130" s="48" t="n">
        <v>1406.14</v>
      </c>
      <c r="E130" s="49" t="n">
        <f aca="false">D130-cover</f>
        <v>1404.94</v>
      </c>
      <c r="F130" s="50" t="n">
        <f aca="false">'Z4 WTP-Ikana'!S18-'Z4 WTP-Ikana'!P18*C130/'Z4 WTP-Ikana'!G18</f>
        <v>1691.80320527473</v>
      </c>
      <c r="G130" s="51" t="n">
        <f aca="false">'Z4 WTP-Ikana'!$B$8-E130</f>
        <v>263.06</v>
      </c>
      <c r="H130" s="52" t="n">
        <f aca="false">F130-E130</f>
        <v>286.863205274731</v>
      </c>
      <c r="I130" s="52" t="n">
        <f aca="false">MAX(H130,G130)</f>
        <v>286.863205274731</v>
      </c>
      <c r="J130" s="4" t="str">
        <f aca="false">IFERROR("PN"&amp;SMALL(PN_list,COUNTIF(PN_list,"&lt;"&amp;I130*bar_per_m)+1),"&gt; max PN")</f>
        <v>PN30</v>
      </c>
      <c r="K130" s="4" t="str">
        <f aca="false">IF(L130="no","end at tank",IF(H130&lt;0,"NEGATIVE",IF(H130&lt;p_min-0.005,"low","OK")))</f>
        <v>OK</v>
      </c>
      <c r="L130" s="4" t="s">
        <v>414</v>
      </c>
    </row>
    <row r="131" customFormat="false" ht="15" hidden="false" customHeight="false" outlineLevel="0" collapsed="false">
      <c r="A131" s="4" t="s">
        <v>40</v>
      </c>
      <c r="B131" s="4" t="s">
        <v>363</v>
      </c>
      <c r="C131" s="47" t="n">
        <v>5076.26</v>
      </c>
      <c r="D131" s="48" t="n">
        <v>1406.53</v>
      </c>
      <c r="E131" s="49" t="n">
        <f aca="false">D131-cover</f>
        <v>1405.33</v>
      </c>
      <c r="F131" s="50" t="n">
        <f aca="false">'Z4 WTP-Ikana'!S18-'Z4 WTP-Ikana'!P18*C131/'Z4 WTP-Ikana'!G18</f>
        <v>1691.72530644071</v>
      </c>
      <c r="G131" s="51" t="n">
        <f aca="false">'Z4 WTP-Ikana'!$B$8-E131</f>
        <v>262.67</v>
      </c>
      <c r="H131" s="52" t="n">
        <f aca="false">F131-E131</f>
        <v>286.395306440713</v>
      </c>
      <c r="I131" s="52" t="n">
        <f aca="false">MAX(H131,G131)</f>
        <v>286.395306440713</v>
      </c>
      <c r="J131" s="4" t="str">
        <f aca="false">IFERROR("PN"&amp;SMALL(PN_list,COUNTIF(PN_list,"&lt;"&amp;I131*bar_per_m)+1),"&gt; max PN")</f>
        <v>PN30</v>
      </c>
      <c r="K131" s="4" t="str">
        <f aca="false">IF(L131="no","end at tank",IF(H131&lt;0,"NEGATIVE",IF(H131&lt;p_min-0.005,"low","OK")))</f>
        <v>OK</v>
      </c>
      <c r="L131" s="4" t="s">
        <v>414</v>
      </c>
    </row>
    <row r="132" customFormat="false" ht="15" hidden="false" customHeight="false" outlineLevel="0" collapsed="false">
      <c r="A132" s="4" t="s">
        <v>40</v>
      </c>
      <c r="B132" s="4" t="s">
        <v>363</v>
      </c>
      <c r="C132" s="47" t="n">
        <v>5126.26</v>
      </c>
      <c r="D132" s="48" t="n">
        <v>1406.99</v>
      </c>
      <c r="E132" s="49" t="n">
        <f aca="false">D132-cover</f>
        <v>1405.79</v>
      </c>
      <c r="F132" s="50" t="n">
        <f aca="false">'Z4 WTP-Ikana'!S18-'Z4 WTP-Ikana'!P18*C132/'Z4 WTP-Ikana'!G18</f>
        <v>1691.64742318335</v>
      </c>
      <c r="G132" s="51" t="n">
        <f aca="false">'Z4 WTP-Ikana'!$B$8-E132</f>
        <v>262.21</v>
      </c>
      <c r="H132" s="52" t="n">
        <f aca="false">F132-E132</f>
        <v>285.857423183346</v>
      </c>
      <c r="I132" s="52" t="n">
        <f aca="false">MAX(H132,G132)</f>
        <v>285.857423183346</v>
      </c>
      <c r="J132" s="4" t="str">
        <f aca="false">IFERROR("PN"&amp;SMALL(PN_list,COUNTIF(PN_list,"&lt;"&amp;I132*bar_per_m)+1),"&gt; max PN")</f>
        <v>PN30</v>
      </c>
      <c r="K132" s="4" t="str">
        <f aca="false">IF(L132="no","end at tank",IF(H132&lt;0,"NEGATIVE",IF(H132&lt;p_min-0.005,"low","OK")))</f>
        <v>OK</v>
      </c>
      <c r="L132" s="4" t="s">
        <v>414</v>
      </c>
    </row>
    <row r="133" customFormat="false" ht="15" hidden="false" customHeight="false" outlineLevel="0" collapsed="false">
      <c r="A133" s="4" t="s">
        <v>40</v>
      </c>
      <c r="B133" s="4" t="s">
        <v>363</v>
      </c>
      <c r="C133" s="47" t="n">
        <v>5176.26</v>
      </c>
      <c r="D133" s="48" t="n">
        <v>1407.45</v>
      </c>
      <c r="E133" s="49" t="n">
        <f aca="false">D133-cover</f>
        <v>1406.25</v>
      </c>
      <c r="F133" s="50" t="n">
        <f aca="false">'Z4 WTP-Ikana'!S18-'Z4 WTP-Ikana'!P18*C133/'Z4 WTP-Ikana'!G18</f>
        <v>1691.56953992598</v>
      </c>
      <c r="G133" s="51" t="n">
        <f aca="false">'Z4 WTP-Ikana'!$B$8-E133</f>
        <v>261.75</v>
      </c>
      <c r="H133" s="52" t="n">
        <f aca="false">F133-E133</f>
        <v>285.319539925979</v>
      </c>
      <c r="I133" s="52" t="n">
        <f aca="false">MAX(H133,G133)</f>
        <v>285.319539925979</v>
      </c>
      <c r="J133" s="4" t="str">
        <f aca="false">IFERROR("PN"&amp;SMALL(PN_list,COUNTIF(PN_list,"&lt;"&amp;I133*bar_per_m)+1),"&gt; max PN")</f>
        <v>PN30</v>
      </c>
      <c r="K133" s="4" t="str">
        <f aca="false">IF(L133="no","end at tank",IF(H133&lt;0,"NEGATIVE",IF(H133&lt;p_min-0.005,"low","OK")))</f>
        <v>OK</v>
      </c>
      <c r="L133" s="4" t="s">
        <v>414</v>
      </c>
    </row>
    <row r="134" customFormat="false" ht="15" hidden="false" customHeight="false" outlineLevel="0" collapsed="false">
      <c r="A134" s="4" t="s">
        <v>40</v>
      </c>
      <c r="B134" s="4" t="s">
        <v>363</v>
      </c>
      <c r="C134" s="47" t="n">
        <v>5226.26</v>
      </c>
      <c r="D134" s="48" t="n">
        <v>1407.79</v>
      </c>
      <c r="E134" s="49" t="n">
        <f aca="false">D134-cover</f>
        <v>1406.59</v>
      </c>
      <c r="F134" s="50" t="n">
        <f aca="false">'Z4 WTP-Ikana'!S18-'Z4 WTP-Ikana'!P18*C134/'Z4 WTP-Ikana'!G18</f>
        <v>1691.49165666861</v>
      </c>
      <c r="G134" s="51" t="n">
        <f aca="false">'Z4 WTP-Ikana'!$B$8-E134</f>
        <v>261.41</v>
      </c>
      <c r="H134" s="52" t="n">
        <f aca="false">F134-E134</f>
        <v>284.901656668612</v>
      </c>
      <c r="I134" s="52" t="n">
        <f aca="false">MAX(H134,G134)</f>
        <v>284.901656668612</v>
      </c>
      <c r="J134" s="4" t="str">
        <f aca="false">IFERROR("PN"&amp;SMALL(PN_list,COUNTIF(PN_list,"&lt;"&amp;I134*bar_per_m)+1),"&gt; max PN")</f>
        <v>PN30</v>
      </c>
      <c r="K134" s="4" t="str">
        <f aca="false">IF(L134="no","end at tank",IF(H134&lt;0,"NEGATIVE",IF(H134&lt;p_min-0.005,"low","OK")))</f>
        <v>OK</v>
      </c>
      <c r="L134" s="4" t="s">
        <v>414</v>
      </c>
    </row>
    <row r="135" customFormat="false" ht="15" hidden="false" customHeight="false" outlineLevel="0" collapsed="false">
      <c r="A135" s="4" t="s">
        <v>40</v>
      </c>
      <c r="B135" s="4" t="s">
        <v>363</v>
      </c>
      <c r="C135" s="47" t="n">
        <v>5276.26</v>
      </c>
      <c r="D135" s="48" t="n">
        <v>1408.18</v>
      </c>
      <c r="E135" s="49" t="n">
        <f aca="false">D135-cover</f>
        <v>1406.98</v>
      </c>
      <c r="F135" s="50" t="n">
        <f aca="false">'Z4 WTP-Ikana'!S18-'Z4 WTP-Ikana'!P18*C135/'Z4 WTP-Ikana'!G18</f>
        <v>1691.41377341124</v>
      </c>
      <c r="G135" s="51" t="n">
        <f aca="false">'Z4 WTP-Ikana'!$B$8-E135</f>
        <v>261.02</v>
      </c>
      <c r="H135" s="52" t="n">
        <f aca="false">F135-E135</f>
        <v>284.433773411245</v>
      </c>
      <c r="I135" s="52" t="n">
        <f aca="false">MAX(H135,G135)</f>
        <v>284.433773411245</v>
      </c>
      <c r="J135" s="4" t="str">
        <f aca="false">IFERROR("PN"&amp;SMALL(PN_list,COUNTIF(PN_list,"&lt;"&amp;I135*bar_per_m)+1),"&gt; max PN")</f>
        <v>PN30</v>
      </c>
      <c r="K135" s="4" t="str">
        <f aca="false">IF(L135="no","end at tank",IF(H135&lt;0,"NEGATIVE",IF(H135&lt;p_min-0.005,"low","OK")))</f>
        <v>OK</v>
      </c>
      <c r="L135" s="4" t="s">
        <v>414</v>
      </c>
    </row>
    <row r="136" customFormat="false" ht="15" hidden="false" customHeight="false" outlineLevel="0" collapsed="false">
      <c r="A136" s="4" t="s">
        <v>40</v>
      </c>
      <c r="B136" s="4" t="s">
        <v>363</v>
      </c>
      <c r="C136" s="47" t="n">
        <v>5326.27</v>
      </c>
      <c r="D136" s="48" t="n">
        <v>1408.98</v>
      </c>
      <c r="E136" s="49" t="n">
        <f aca="false">D136-cover</f>
        <v>1407.78</v>
      </c>
      <c r="F136" s="50" t="n">
        <f aca="false">'Z4 WTP-Ikana'!S18-'Z4 WTP-Ikana'!P18*C136/'Z4 WTP-Ikana'!G18</f>
        <v>1691.33587457723</v>
      </c>
      <c r="G136" s="51" t="n">
        <f aca="false">'Z4 WTP-Ikana'!$B$8-E136</f>
        <v>260.22</v>
      </c>
      <c r="H136" s="52" t="n">
        <f aca="false">F136-E136</f>
        <v>283.555874577226</v>
      </c>
      <c r="I136" s="52" t="n">
        <f aca="false">MAX(H136,G136)</f>
        <v>283.555874577226</v>
      </c>
      <c r="J136" s="4" t="str">
        <f aca="false">IFERROR("PN"&amp;SMALL(PN_list,COUNTIF(PN_list,"&lt;"&amp;I136*bar_per_m)+1),"&gt; max PN")</f>
        <v>PN30</v>
      </c>
      <c r="K136" s="4" t="str">
        <f aca="false">IF(L136="no","end at tank",IF(H136&lt;0,"NEGATIVE",IF(H136&lt;p_min-0.005,"low","OK")))</f>
        <v>OK</v>
      </c>
      <c r="L136" s="4" t="s">
        <v>414</v>
      </c>
    </row>
    <row r="137" customFormat="false" ht="15" hidden="false" customHeight="false" outlineLevel="0" collapsed="false">
      <c r="A137" s="4" t="s">
        <v>40</v>
      </c>
      <c r="B137" s="4" t="s">
        <v>363</v>
      </c>
      <c r="C137" s="47" t="n">
        <v>5376.27</v>
      </c>
      <c r="D137" s="48" t="n">
        <v>1409.62</v>
      </c>
      <c r="E137" s="49" t="n">
        <f aca="false">D137-cover</f>
        <v>1408.42</v>
      </c>
      <c r="F137" s="50" t="n">
        <f aca="false">'Z4 WTP-Ikana'!S18-'Z4 WTP-Ikana'!P18*C137/'Z4 WTP-Ikana'!G18</f>
        <v>1691.25799131986</v>
      </c>
      <c r="G137" s="51" t="n">
        <f aca="false">'Z4 WTP-Ikana'!$B$8-E137</f>
        <v>259.58</v>
      </c>
      <c r="H137" s="52" t="n">
        <f aca="false">F137-E137</f>
        <v>282.837991319859</v>
      </c>
      <c r="I137" s="52" t="n">
        <f aca="false">MAX(H137,G137)</f>
        <v>282.837991319859</v>
      </c>
      <c r="J137" s="4" t="str">
        <f aca="false">IFERROR("PN"&amp;SMALL(PN_list,COUNTIF(PN_list,"&lt;"&amp;I137*bar_per_m)+1),"&gt; max PN")</f>
        <v>PN30</v>
      </c>
      <c r="K137" s="4" t="str">
        <f aca="false">IF(L137="no","end at tank",IF(H137&lt;0,"NEGATIVE",IF(H137&lt;p_min-0.005,"low","OK")))</f>
        <v>OK</v>
      </c>
      <c r="L137" s="4" t="s">
        <v>414</v>
      </c>
    </row>
    <row r="138" customFormat="false" ht="15" hidden="false" customHeight="false" outlineLevel="0" collapsed="false">
      <c r="A138" s="4" t="s">
        <v>40</v>
      </c>
      <c r="B138" s="4" t="s">
        <v>363</v>
      </c>
      <c r="C138" s="47" t="n">
        <v>5426.28</v>
      </c>
      <c r="D138" s="48" t="n">
        <v>1410.26</v>
      </c>
      <c r="E138" s="49" t="n">
        <f aca="false">D138-cover</f>
        <v>1409.06</v>
      </c>
      <c r="F138" s="50" t="n">
        <f aca="false">'Z4 WTP-Ikana'!S18-'Z4 WTP-Ikana'!P18*C138/'Z4 WTP-Ikana'!G18</f>
        <v>1691.18009248584</v>
      </c>
      <c r="G138" s="51" t="n">
        <f aca="false">'Z4 WTP-Ikana'!$B$8-E138</f>
        <v>258.94</v>
      </c>
      <c r="H138" s="52" t="n">
        <f aca="false">F138-E138</f>
        <v>282.120092485841</v>
      </c>
      <c r="I138" s="52" t="n">
        <f aca="false">MAX(H138,G138)</f>
        <v>282.120092485841</v>
      </c>
      <c r="J138" s="4" t="str">
        <f aca="false">IFERROR("PN"&amp;SMALL(PN_list,COUNTIF(PN_list,"&lt;"&amp;I138*bar_per_m)+1),"&gt; max PN")</f>
        <v>PN30</v>
      </c>
      <c r="K138" s="4" t="str">
        <f aca="false">IF(L138="no","end at tank",IF(H138&lt;0,"NEGATIVE",IF(H138&lt;p_min-0.005,"low","OK")))</f>
        <v>OK</v>
      </c>
      <c r="L138" s="4" t="s">
        <v>414</v>
      </c>
    </row>
    <row r="139" customFormat="false" ht="15" hidden="false" customHeight="false" outlineLevel="0" collapsed="false">
      <c r="A139" s="4" t="s">
        <v>40</v>
      </c>
      <c r="B139" s="4" t="s">
        <v>363</v>
      </c>
      <c r="C139" s="47" t="n">
        <v>5476.28</v>
      </c>
      <c r="D139" s="48" t="n">
        <v>1410.7</v>
      </c>
      <c r="E139" s="49" t="n">
        <f aca="false">D139-cover</f>
        <v>1409.5</v>
      </c>
      <c r="F139" s="50" t="n">
        <f aca="false">'Z4 WTP-Ikana'!S18-'Z4 WTP-Ikana'!P18*C139/'Z4 WTP-Ikana'!G18</f>
        <v>1691.10220922847</v>
      </c>
      <c r="G139" s="51" t="n">
        <f aca="false">'Z4 WTP-Ikana'!$B$8-E139</f>
        <v>258.5</v>
      </c>
      <c r="H139" s="52" t="n">
        <f aca="false">F139-E139</f>
        <v>281.602209228473</v>
      </c>
      <c r="I139" s="52" t="n">
        <f aca="false">MAX(H139,G139)</f>
        <v>281.602209228473</v>
      </c>
      <c r="J139" s="4" t="str">
        <f aca="false">IFERROR("PN"&amp;SMALL(PN_list,COUNTIF(PN_list,"&lt;"&amp;I139*bar_per_m)+1),"&gt; max PN")</f>
        <v>PN30</v>
      </c>
      <c r="K139" s="4" t="str">
        <f aca="false">IF(L139="no","end at tank",IF(H139&lt;0,"NEGATIVE",IF(H139&lt;p_min-0.005,"low","OK")))</f>
        <v>OK</v>
      </c>
      <c r="L139" s="4" t="s">
        <v>414</v>
      </c>
    </row>
    <row r="140" customFormat="false" ht="15" hidden="false" customHeight="false" outlineLevel="0" collapsed="false">
      <c r="A140" s="4" t="s">
        <v>40</v>
      </c>
      <c r="B140" s="4" t="s">
        <v>363</v>
      </c>
      <c r="C140" s="47" t="n">
        <v>5526.28</v>
      </c>
      <c r="D140" s="48" t="n">
        <v>1411.31</v>
      </c>
      <c r="E140" s="49" t="n">
        <f aca="false">D140-cover</f>
        <v>1410.11</v>
      </c>
      <c r="F140" s="50" t="n">
        <f aca="false">'Z4 WTP-Ikana'!S18-'Z4 WTP-Ikana'!P18*C140/'Z4 WTP-Ikana'!G18</f>
        <v>1691.02432597111</v>
      </c>
      <c r="G140" s="51" t="n">
        <f aca="false">'Z4 WTP-Ikana'!$B$8-E140</f>
        <v>257.89</v>
      </c>
      <c r="H140" s="52" t="n">
        <f aca="false">F140-E140</f>
        <v>280.914325971106</v>
      </c>
      <c r="I140" s="52" t="n">
        <f aca="false">MAX(H140,G140)</f>
        <v>280.914325971106</v>
      </c>
      <c r="J140" s="4" t="str">
        <f aca="false">IFERROR("PN"&amp;SMALL(PN_list,COUNTIF(PN_list,"&lt;"&amp;I140*bar_per_m)+1),"&gt; max PN")</f>
        <v>PN30</v>
      </c>
      <c r="K140" s="4" t="str">
        <f aca="false">IF(L140="no","end at tank",IF(H140&lt;0,"NEGATIVE",IF(H140&lt;p_min-0.005,"low","OK")))</f>
        <v>OK</v>
      </c>
      <c r="L140" s="4" t="s">
        <v>414</v>
      </c>
    </row>
    <row r="141" customFormat="false" ht="15" hidden="false" customHeight="false" outlineLevel="0" collapsed="false">
      <c r="A141" s="4" t="s">
        <v>40</v>
      </c>
      <c r="B141" s="4" t="s">
        <v>363</v>
      </c>
      <c r="C141" s="47" t="n">
        <v>5576.29</v>
      </c>
      <c r="D141" s="48" t="n">
        <v>1411.85</v>
      </c>
      <c r="E141" s="49" t="n">
        <f aca="false">D141-cover</f>
        <v>1410.65</v>
      </c>
      <c r="F141" s="50" t="n">
        <f aca="false">'Z4 WTP-Ikana'!S18-'Z4 WTP-Ikana'!P18*C141/'Z4 WTP-Ikana'!G18</f>
        <v>1690.94642713709</v>
      </c>
      <c r="G141" s="51" t="n">
        <f aca="false">'Z4 WTP-Ikana'!$B$8-E141</f>
        <v>257.35</v>
      </c>
      <c r="H141" s="52" t="n">
        <f aca="false">F141-E141</f>
        <v>280.296427137088</v>
      </c>
      <c r="I141" s="52" t="n">
        <f aca="false">MAX(H141,G141)</f>
        <v>280.296427137088</v>
      </c>
      <c r="J141" s="4" t="str">
        <f aca="false">IFERROR("PN"&amp;SMALL(PN_list,COUNTIF(PN_list,"&lt;"&amp;I141*bar_per_m)+1),"&gt; max PN")</f>
        <v>PN30</v>
      </c>
      <c r="K141" s="4" t="str">
        <f aca="false">IF(L141="no","end at tank",IF(H141&lt;0,"NEGATIVE",IF(H141&lt;p_min-0.005,"low","OK")))</f>
        <v>OK</v>
      </c>
      <c r="L141" s="4" t="s">
        <v>414</v>
      </c>
    </row>
    <row r="142" customFormat="false" ht="15" hidden="false" customHeight="false" outlineLevel="0" collapsed="false">
      <c r="A142" s="4" t="s">
        <v>40</v>
      </c>
      <c r="B142" s="4" t="s">
        <v>363</v>
      </c>
      <c r="C142" s="47" t="n">
        <v>5626.29</v>
      </c>
      <c r="D142" s="48" t="n">
        <v>1412.28</v>
      </c>
      <c r="E142" s="49" t="n">
        <f aca="false">D142-cover</f>
        <v>1411.08</v>
      </c>
      <c r="F142" s="50" t="n">
        <f aca="false">'Z4 WTP-Ikana'!S18-'Z4 WTP-Ikana'!P18*C142/'Z4 WTP-Ikana'!G18</f>
        <v>1690.86854387972</v>
      </c>
      <c r="G142" s="51" t="n">
        <f aca="false">'Z4 WTP-Ikana'!$B$8-E142</f>
        <v>256.92</v>
      </c>
      <c r="H142" s="52" t="n">
        <f aca="false">F142-E142</f>
        <v>279.788543879721</v>
      </c>
      <c r="I142" s="52" t="n">
        <f aca="false">MAX(H142,G142)</f>
        <v>279.788543879721</v>
      </c>
      <c r="J142" s="4" t="str">
        <f aca="false">IFERROR("PN"&amp;SMALL(PN_list,COUNTIF(PN_list,"&lt;"&amp;I142*bar_per_m)+1),"&gt; max PN")</f>
        <v>PN30</v>
      </c>
      <c r="K142" s="4" t="str">
        <f aca="false">IF(L142="no","end at tank",IF(H142&lt;0,"NEGATIVE",IF(H142&lt;p_min-0.005,"low","OK")))</f>
        <v>OK</v>
      </c>
      <c r="L142" s="4" t="s">
        <v>414</v>
      </c>
    </row>
    <row r="143" customFormat="false" ht="15" hidden="false" customHeight="false" outlineLevel="0" collapsed="false">
      <c r="A143" s="4" t="s">
        <v>40</v>
      </c>
      <c r="B143" s="4" t="s">
        <v>363</v>
      </c>
      <c r="C143" s="47" t="n">
        <v>5676.29</v>
      </c>
      <c r="D143" s="48" t="n">
        <v>1413.04</v>
      </c>
      <c r="E143" s="49" t="n">
        <f aca="false">D143-cover</f>
        <v>1411.84</v>
      </c>
      <c r="F143" s="50" t="n">
        <f aca="false">'Z4 WTP-Ikana'!S18-'Z4 WTP-Ikana'!P18*C143/'Z4 WTP-Ikana'!G18</f>
        <v>1690.79066062235</v>
      </c>
      <c r="G143" s="51" t="n">
        <f aca="false">'Z4 WTP-Ikana'!$B$8-E143</f>
        <v>256.16</v>
      </c>
      <c r="H143" s="52" t="n">
        <f aca="false">F143-E143</f>
        <v>278.950660622354</v>
      </c>
      <c r="I143" s="52" t="n">
        <f aca="false">MAX(H143,G143)</f>
        <v>278.950660622354</v>
      </c>
      <c r="J143" s="4" t="str">
        <f aca="false">IFERROR("PN"&amp;SMALL(PN_list,COUNTIF(PN_list,"&lt;"&amp;I143*bar_per_m)+1),"&gt; max PN")</f>
        <v>PN30</v>
      </c>
      <c r="K143" s="4" t="str">
        <f aca="false">IF(L143="no","end at tank",IF(H143&lt;0,"NEGATIVE",IF(H143&lt;p_min-0.005,"low","OK")))</f>
        <v>OK</v>
      </c>
      <c r="L143" s="4" t="s">
        <v>414</v>
      </c>
    </row>
    <row r="144" customFormat="false" ht="15" hidden="false" customHeight="false" outlineLevel="0" collapsed="false">
      <c r="A144" s="4" t="s">
        <v>40</v>
      </c>
      <c r="B144" s="4" t="s">
        <v>363</v>
      </c>
      <c r="C144" s="47" t="n">
        <v>5726.3</v>
      </c>
      <c r="D144" s="48" t="n">
        <v>1413.79</v>
      </c>
      <c r="E144" s="49" t="n">
        <f aca="false">D144-cover</f>
        <v>1412.59</v>
      </c>
      <c r="F144" s="50" t="n">
        <f aca="false">'Z4 WTP-Ikana'!S18-'Z4 WTP-Ikana'!P18*C144/'Z4 WTP-Ikana'!G18</f>
        <v>1690.71276178834</v>
      </c>
      <c r="G144" s="51" t="n">
        <f aca="false">'Z4 WTP-Ikana'!$B$8-E144</f>
        <v>255.41</v>
      </c>
      <c r="H144" s="52" t="n">
        <f aca="false">F144-E144</f>
        <v>278.122761788335</v>
      </c>
      <c r="I144" s="52" t="n">
        <f aca="false">MAX(H144,G144)</f>
        <v>278.122761788335</v>
      </c>
      <c r="J144" s="4" t="str">
        <f aca="false">IFERROR("PN"&amp;SMALL(PN_list,COUNTIF(PN_list,"&lt;"&amp;I144*bar_per_m)+1),"&gt; max PN")</f>
        <v>PN30</v>
      </c>
      <c r="K144" s="4" t="str">
        <f aca="false">IF(L144="no","end at tank",IF(H144&lt;0,"NEGATIVE",IF(H144&lt;p_min-0.005,"low","OK")))</f>
        <v>OK</v>
      </c>
      <c r="L144" s="4" t="s">
        <v>414</v>
      </c>
    </row>
    <row r="145" customFormat="false" ht="15" hidden="false" customHeight="false" outlineLevel="0" collapsed="false">
      <c r="A145" s="4" t="s">
        <v>40</v>
      </c>
      <c r="B145" s="4" t="s">
        <v>363</v>
      </c>
      <c r="C145" s="47" t="n">
        <v>5776.3</v>
      </c>
      <c r="D145" s="48" t="n">
        <v>1414.05</v>
      </c>
      <c r="E145" s="49" t="n">
        <f aca="false">D145-cover</f>
        <v>1412.85</v>
      </c>
      <c r="F145" s="50" t="n">
        <f aca="false">'Z4 WTP-Ikana'!S18-'Z4 WTP-Ikana'!P18*C145/'Z4 WTP-Ikana'!G18</f>
        <v>1690.63487853097</v>
      </c>
      <c r="G145" s="51" t="n">
        <f aca="false">'Z4 WTP-Ikana'!$B$8-E145</f>
        <v>255.15</v>
      </c>
      <c r="H145" s="52" t="n">
        <f aca="false">F145-E145</f>
        <v>277.784878530968</v>
      </c>
      <c r="I145" s="52" t="n">
        <f aca="false">MAX(H145,G145)</f>
        <v>277.784878530968</v>
      </c>
      <c r="J145" s="4" t="str">
        <f aca="false">IFERROR("PN"&amp;SMALL(PN_list,COUNTIF(PN_list,"&lt;"&amp;I145*bar_per_m)+1),"&gt; max PN")</f>
        <v>PN30</v>
      </c>
      <c r="K145" s="4" t="str">
        <f aca="false">IF(L145="no","end at tank",IF(H145&lt;0,"NEGATIVE",IF(H145&lt;p_min-0.005,"low","OK")))</f>
        <v>OK</v>
      </c>
      <c r="L145" s="4" t="s">
        <v>414</v>
      </c>
    </row>
    <row r="146" customFormat="false" ht="15" hidden="false" customHeight="false" outlineLevel="0" collapsed="false">
      <c r="A146" s="4" t="s">
        <v>40</v>
      </c>
      <c r="B146" s="4" t="s">
        <v>363</v>
      </c>
      <c r="C146" s="47" t="n">
        <v>5826.31</v>
      </c>
      <c r="D146" s="48" t="n">
        <v>1415.1</v>
      </c>
      <c r="E146" s="49" t="n">
        <f aca="false">D146-cover</f>
        <v>1413.9</v>
      </c>
      <c r="F146" s="50" t="n">
        <f aca="false">'Z4 WTP-Ikana'!S18-'Z4 WTP-Ikana'!P18*C146/'Z4 WTP-Ikana'!G18</f>
        <v>1690.55697969695</v>
      </c>
      <c r="G146" s="51" t="n">
        <f aca="false">'Z4 WTP-Ikana'!$B$8-E146</f>
        <v>254.1</v>
      </c>
      <c r="H146" s="52" t="n">
        <f aca="false">F146-E146</f>
        <v>276.65697969695</v>
      </c>
      <c r="I146" s="52" t="n">
        <f aca="false">MAX(H146,G146)</f>
        <v>276.65697969695</v>
      </c>
      <c r="J146" s="4" t="str">
        <f aca="false">IFERROR("PN"&amp;SMALL(PN_list,COUNTIF(PN_list,"&lt;"&amp;I146*bar_per_m)+1),"&gt; max PN")</f>
        <v>PN30</v>
      </c>
      <c r="K146" s="4" t="str">
        <f aca="false">IF(L146="no","end at tank",IF(H146&lt;0,"NEGATIVE",IF(H146&lt;p_min-0.005,"low","OK")))</f>
        <v>OK</v>
      </c>
      <c r="L146" s="4" t="s">
        <v>414</v>
      </c>
    </row>
    <row r="147" customFormat="false" ht="15" hidden="false" customHeight="false" outlineLevel="0" collapsed="false">
      <c r="A147" s="4" t="s">
        <v>40</v>
      </c>
      <c r="B147" s="4" t="s">
        <v>363</v>
      </c>
      <c r="C147" s="47" t="n">
        <v>5876.31</v>
      </c>
      <c r="D147" s="48" t="n">
        <v>1415.26</v>
      </c>
      <c r="E147" s="49" t="n">
        <f aca="false">D147-cover</f>
        <v>1414.06</v>
      </c>
      <c r="F147" s="50" t="n">
        <f aca="false">'Z4 WTP-Ikana'!S18-'Z4 WTP-Ikana'!P18*C147/'Z4 WTP-Ikana'!G18</f>
        <v>1690.47909643958</v>
      </c>
      <c r="G147" s="51" t="n">
        <f aca="false">'Z4 WTP-Ikana'!$B$8-E147</f>
        <v>253.94</v>
      </c>
      <c r="H147" s="52" t="n">
        <f aca="false">F147-E147</f>
        <v>276.419096439583</v>
      </c>
      <c r="I147" s="52" t="n">
        <f aca="false">MAX(H147,G147)</f>
        <v>276.419096439583</v>
      </c>
      <c r="J147" s="4" t="str">
        <f aca="false">IFERROR("PN"&amp;SMALL(PN_list,COUNTIF(PN_list,"&lt;"&amp;I147*bar_per_m)+1),"&gt; max PN")</f>
        <v>PN30</v>
      </c>
      <c r="K147" s="4" t="str">
        <f aca="false">IF(L147="no","end at tank",IF(H147&lt;0,"NEGATIVE",IF(H147&lt;p_min-0.005,"low","OK")))</f>
        <v>OK</v>
      </c>
      <c r="L147" s="4" t="s">
        <v>414</v>
      </c>
    </row>
    <row r="148" customFormat="false" ht="15" hidden="false" customHeight="false" outlineLevel="0" collapsed="false">
      <c r="A148" s="4" t="s">
        <v>40</v>
      </c>
      <c r="B148" s="4" t="s">
        <v>363</v>
      </c>
      <c r="C148" s="47" t="n">
        <v>5926.32</v>
      </c>
      <c r="D148" s="48" t="n">
        <v>1416.17</v>
      </c>
      <c r="E148" s="49" t="n">
        <f aca="false">D148-cover</f>
        <v>1414.97</v>
      </c>
      <c r="F148" s="50" t="n">
        <f aca="false">'Z4 WTP-Ikana'!S18-'Z4 WTP-Ikana'!P18*C148/'Z4 WTP-Ikana'!G18</f>
        <v>1690.40119760556</v>
      </c>
      <c r="G148" s="51" t="n">
        <f aca="false">'Z4 WTP-Ikana'!$B$8-E148</f>
        <v>253.03</v>
      </c>
      <c r="H148" s="52" t="n">
        <f aca="false">F148-E148</f>
        <v>275.431197605564</v>
      </c>
      <c r="I148" s="52" t="n">
        <f aca="false">MAX(H148,G148)</f>
        <v>275.431197605564</v>
      </c>
      <c r="J148" s="4" t="str">
        <f aca="false">IFERROR("PN"&amp;SMALL(PN_list,COUNTIF(PN_list,"&lt;"&amp;I148*bar_per_m)+1),"&gt; max PN")</f>
        <v>PN30</v>
      </c>
      <c r="K148" s="4" t="str">
        <f aca="false">IF(L148="no","end at tank",IF(H148&lt;0,"NEGATIVE",IF(H148&lt;p_min-0.005,"low","OK")))</f>
        <v>OK</v>
      </c>
      <c r="L148" s="4" t="s">
        <v>414</v>
      </c>
    </row>
    <row r="149" customFormat="false" ht="15" hidden="false" customHeight="false" outlineLevel="0" collapsed="false">
      <c r="A149" s="4" t="s">
        <v>40</v>
      </c>
      <c r="B149" s="4" t="s">
        <v>363</v>
      </c>
      <c r="C149" s="47" t="n">
        <v>5976.32</v>
      </c>
      <c r="D149" s="48" t="n">
        <v>1416.66</v>
      </c>
      <c r="E149" s="49" t="n">
        <f aca="false">D149-cover</f>
        <v>1415.46</v>
      </c>
      <c r="F149" s="50" t="n">
        <f aca="false">'Z4 WTP-Ikana'!S18-'Z4 WTP-Ikana'!P18*C149/'Z4 WTP-Ikana'!G18</f>
        <v>1690.3233143482</v>
      </c>
      <c r="G149" s="51" t="n">
        <f aca="false">'Z4 WTP-Ikana'!$B$8-E149</f>
        <v>252.54</v>
      </c>
      <c r="H149" s="52" t="n">
        <f aca="false">F149-E149</f>
        <v>274.863314348197</v>
      </c>
      <c r="I149" s="52" t="n">
        <f aca="false">MAX(H149,G149)</f>
        <v>274.863314348197</v>
      </c>
      <c r="J149" s="4" t="str">
        <f aca="false">IFERROR("PN"&amp;SMALL(PN_list,COUNTIF(PN_list,"&lt;"&amp;I149*bar_per_m)+1),"&gt; max PN")</f>
        <v>PN30</v>
      </c>
      <c r="K149" s="4" t="str">
        <f aca="false">IF(L149="no","end at tank",IF(H149&lt;0,"NEGATIVE",IF(H149&lt;p_min-0.005,"low","OK")))</f>
        <v>OK</v>
      </c>
      <c r="L149" s="4" t="s">
        <v>414</v>
      </c>
    </row>
    <row r="150" customFormat="false" ht="15" hidden="false" customHeight="false" outlineLevel="0" collapsed="false">
      <c r="A150" s="4" t="s">
        <v>40</v>
      </c>
      <c r="B150" s="4" t="s">
        <v>363</v>
      </c>
      <c r="C150" s="47" t="n">
        <v>6026.35</v>
      </c>
      <c r="D150" s="48" t="n">
        <v>1418.37</v>
      </c>
      <c r="E150" s="49" t="n">
        <f aca="false">D150-cover</f>
        <v>1417.17</v>
      </c>
      <c r="F150" s="50" t="n">
        <f aca="false">'Z4 WTP-Ikana'!S18-'Z4 WTP-Ikana'!P18*C150/'Z4 WTP-Ikana'!G18</f>
        <v>1690.24538436088</v>
      </c>
      <c r="G150" s="51" t="n">
        <f aca="false">'Z4 WTP-Ikana'!$B$8-E150</f>
        <v>250.83</v>
      </c>
      <c r="H150" s="52" t="n">
        <f aca="false">F150-E150</f>
        <v>273.075384360875</v>
      </c>
      <c r="I150" s="52" t="n">
        <f aca="false">MAX(H150,G150)</f>
        <v>273.075384360875</v>
      </c>
      <c r="J150" s="4" t="str">
        <f aca="false">IFERROR("PN"&amp;SMALL(PN_list,COUNTIF(PN_list,"&lt;"&amp;I150*bar_per_m)+1),"&gt; max PN")</f>
        <v>PN30</v>
      </c>
      <c r="K150" s="4" t="str">
        <f aca="false">IF(L150="no","end at tank",IF(H150&lt;0,"NEGATIVE",IF(H150&lt;p_min-0.005,"low","OK")))</f>
        <v>OK</v>
      </c>
      <c r="L150" s="4" t="s">
        <v>414</v>
      </c>
    </row>
    <row r="151" customFormat="false" ht="15" hidden="false" customHeight="false" outlineLevel="0" collapsed="false">
      <c r="A151" s="4" t="s">
        <v>40</v>
      </c>
      <c r="B151" s="4" t="s">
        <v>363</v>
      </c>
      <c r="C151" s="47" t="n">
        <v>6076.35</v>
      </c>
      <c r="D151" s="48" t="n">
        <v>1417.86</v>
      </c>
      <c r="E151" s="49" t="n">
        <f aca="false">D151-cover</f>
        <v>1416.66</v>
      </c>
      <c r="F151" s="50" t="n">
        <f aca="false">'Z4 WTP-Ikana'!S18-'Z4 WTP-Ikana'!P18*C151/'Z4 WTP-Ikana'!G18</f>
        <v>1690.16750110351</v>
      </c>
      <c r="G151" s="51" t="n">
        <f aca="false">'Z4 WTP-Ikana'!$B$8-E151</f>
        <v>251.34</v>
      </c>
      <c r="H151" s="52" t="n">
        <f aca="false">F151-E151</f>
        <v>273.507501103509</v>
      </c>
      <c r="I151" s="52" t="n">
        <f aca="false">MAX(H151,G151)</f>
        <v>273.507501103509</v>
      </c>
      <c r="J151" s="4" t="str">
        <f aca="false">IFERROR("PN"&amp;SMALL(PN_list,COUNTIF(PN_list,"&lt;"&amp;I151*bar_per_m)+1),"&gt; max PN")</f>
        <v>PN30</v>
      </c>
      <c r="K151" s="4" t="str">
        <f aca="false">IF(L151="no","end at tank",IF(H151&lt;0,"NEGATIVE",IF(H151&lt;p_min-0.005,"low","OK")))</f>
        <v>OK</v>
      </c>
      <c r="L151" s="4" t="s">
        <v>414</v>
      </c>
    </row>
    <row r="152" customFormat="false" ht="15" hidden="false" customHeight="false" outlineLevel="0" collapsed="false">
      <c r="A152" s="4" t="s">
        <v>40</v>
      </c>
      <c r="B152" s="4" t="s">
        <v>363</v>
      </c>
      <c r="C152" s="47" t="n">
        <v>6126.36</v>
      </c>
      <c r="D152" s="48" t="n">
        <v>1418.47</v>
      </c>
      <c r="E152" s="49" t="n">
        <f aca="false">D152-cover</f>
        <v>1417.27</v>
      </c>
      <c r="F152" s="50" t="n">
        <f aca="false">'Z4 WTP-Ikana'!S18-'Z4 WTP-Ikana'!P18*C152/'Z4 WTP-Ikana'!G18</f>
        <v>1690.08960226949</v>
      </c>
      <c r="G152" s="51" t="n">
        <f aca="false">'Z4 WTP-Ikana'!$B$8-E152</f>
        <v>250.73</v>
      </c>
      <c r="H152" s="52" t="n">
        <f aca="false">F152-E152</f>
        <v>272.81960226949</v>
      </c>
      <c r="I152" s="52" t="n">
        <f aca="false">MAX(H152,G152)</f>
        <v>272.81960226949</v>
      </c>
      <c r="J152" s="4" t="str">
        <f aca="false">IFERROR("PN"&amp;SMALL(PN_list,COUNTIF(PN_list,"&lt;"&amp;I152*bar_per_m)+1),"&gt; max PN")</f>
        <v>PN30</v>
      </c>
      <c r="K152" s="4" t="str">
        <f aca="false">IF(L152="no","end at tank",IF(H152&lt;0,"NEGATIVE",IF(H152&lt;p_min-0.005,"low","OK")))</f>
        <v>OK</v>
      </c>
      <c r="L152" s="4" t="s">
        <v>414</v>
      </c>
    </row>
    <row r="153" customFormat="false" ht="15" hidden="false" customHeight="false" outlineLevel="0" collapsed="false">
      <c r="A153" s="4" t="s">
        <v>40</v>
      </c>
      <c r="B153" s="4" t="s">
        <v>363</v>
      </c>
      <c r="C153" s="47" t="n">
        <v>6176.36</v>
      </c>
      <c r="D153" s="48" t="n">
        <v>1419.25</v>
      </c>
      <c r="E153" s="49" t="n">
        <f aca="false">D153-cover</f>
        <v>1418.05</v>
      </c>
      <c r="F153" s="50" t="n">
        <f aca="false">'Z4 WTP-Ikana'!S18-'Z4 WTP-Ikana'!P18*C153/'Z4 WTP-Ikana'!G18</f>
        <v>1690.01171901212</v>
      </c>
      <c r="G153" s="51" t="n">
        <f aca="false">'Z4 WTP-Ikana'!$B$8-E153</f>
        <v>249.95</v>
      </c>
      <c r="H153" s="52" t="n">
        <f aca="false">F153-E153</f>
        <v>271.961719012123</v>
      </c>
      <c r="I153" s="52" t="n">
        <f aca="false">MAX(H153,G153)</f>
        <v>271.961719012123</v>
      </c>
      <c r="J153" s="4" t="str">
        <f aca="false">IFERROR("PN"&amp;SMALL(PN_list,COUNTIF(PN_list,"&lt;"&amp;I153*bar_per_m)+1),"&gt; max PN")</f>
        <v>PN30</v>
      </c>
      <c r="K153" s="4" t="str">
        <f aca="false">IF(L153="no","end at tank",IF(H153&lt;0,"NEGATIVE",IF(H153&lt;p_min-0.005,"low","OK")))</f>
        <v>OK</v>
      </c>
      <c r="L153" s="4" t="s">
        <v>414</v>
      </c>
    </row>
    <row r="154" customFormat="false" ht="15" hidden="false" customHeight="false" outlineLevel="0" collapsed="false">
      <c r="A154" s="4" t="s">
        <v>40</v>
      </c>
      <c r="B154" s="4" t="s">
        <v>363</v>
      </c>
      <c r="C154" s="47" t="n">
        <v>6226.37</v>
      </c>
      <c r="D154" s="48" t="n">
        <v>1419.92</v>
      </c>
      <c r="E154" s="49" t="n">
        <f aca="false">D154-cover</f>
        <v>1418.72</v>
      </c>
      <c r="F154" s="50" t="n">
        <f aca="false">'Z4 WTP-Ikana'!S18-'Z4 WTP-Ikana'!P18*C154/'Z4 WTP-Ikana'!G18</f>
        <v>1689.9338201781</v>
      </c>
      <c r="G154" s="51" t="n">
        <f aca="false">'Z4 WTP-Ikana'!$B$8-E154</f>
        <v>249.28</v>
      </c>
      <c r="H154" s="52" t="n">
        <f aca="false">F154-E154</f>
        <v>271.213820178104</v>
      </c>
      <c r="I154" s="52" t="n">
        <f aca="false">MAX(H154,G154)</f>
        <v>271.213820178104</v>
      </c>
      <c r="J154" s="4" t="str">
        <f aca="false">IFERROR("PN"&amp;SMALL(PN_list,COUNTIF(PN_list,"&lt;"&amp;I154*bar_per_m)+1),"&gt; max PN")</f>
        <v>PN30</v>
      </c>
      <c r="K154" s="4" t="str">
        <f aca="false">IF(L154="no","end at tank",IF(H154&lt;0,"NEGATIVE",IF(H154&lt;p_min-0.005,"low","OK")))</f>
        <v>OK</v>
      </c>
      <c r="L154" s="4" t="s">
        <v>414</v>
      </c>
    </row>
    <row r="155" customFormat="false" ht="15" hidden="false" customHeight="false" outlineLevel="0" collapsed="false">
      <c r="A155" s="4" t="s">
        <v>40</v>
      </c>
      <c r="B155" s="4" t="s">
        <v>363</v>
      </c>
      <c r="C155" s="47" t="n">
        <v>6276.37</v>
      </c>
      <c r="D155" s="48" t="n">
        <v>1420.26</v>
      </c>
      <c r="E155" s="49" t="n">
        <f aca="false">D155-cover</f>
        <v>1419.06</v>
      </c>
      <c r="F155" s="50" t="n">
        <f aca="false">'Z4 WTP-Ikana'!S18-'Z4 WTP-Ikana'!P18*C155/'Z4 WTP-Ikana'!G18</f>
        <v>1689.85593692074</v>
      </c>
      <c r="G155" s="51" t="n">
        <f aca="false">'Z4 WTP-Ikana'!$B$8-E155</f>
        <v>248.94</v>
      </c>
      <c r="H155" s="52" t="n">
        <f aca="false">F155-E155</f>
        <v>270.795936920737</v>
      </c>
      <c r="I155" s="52" t="n">
        <f aca="false">MAX(H155,G155)</f>
        <v>270.795936920737</v>
      </c>
      <c r="J155" s="4" t="str">
        <f aca="false">IFERROR("PN"&amp;SMALL(PN_list,COUNTIF(PN_list,"&lt;"&amp;I155*bar_per_m)+1),"&gt; max PN")</f>
        <v>PN30</v>
      </c>
      <c r="K155" s="4" t="str">
        <f aca="false">IF(L155="no","end at tank",IF(H155&lt;0,"NEGATIVE",IF(H155&lt;p_min-0.005,"low","OK")))</f>
        <v>OK</v>
      </c>
      <c r="L155" s="4" t="s">
        <v>414</v>
      </c>
    </row>
    <row r="156" customFormat="false" ht="15" hidden="false" customHeight="false" outlineLevel="0" collapsed="false">
      <c r="A156" s="4" t="s">
        <v>40</v>
      </c>
      <c r="B156" s="4" t="s">
        <v>363</v>
      </c>
      <c r="C156" s="47" t="n">
        <v>6326.38</v>
      </c>
      <c r="D156" s="48" t="n">
        <v>1420.99</v>
      </c>
      <c r="E156" s="49" t="n">
        <f aca="false">D156-cover</f>
        <v>1419.79</v>
      </c>
      <c r="F156" s="50" t="n">
        <f aca="false">'Z4 WTP-Ikana'!S18-'Z4 WTP-Ikana'!P18*C156/'Z4 WTP-Ikana'!G18</f>
        <v>1689.77803808672</v>
      </c>
      <c r="G156" s="51" t="n">
        <f aca="false">'Z4 WTP-Ikana'!$B$8-E156</f>
        <v>248.21</v>
      </c>
      <c r="H156" s="52" t="n">
        <f aca="false">F156-E156</f>
        <v>269.988038086718</v>
      </c>
      <c r="I156" s="52" t="n">
        <f aca="false">MAX(H156,G156)</f>
        <v>269.988038086718</v>
      </c>
      <c r="J156" s="4" t="str">
        <f aca="false">IFERROR("PN"&amp;SMALL(PN_list,COUNTIF(PN_list,"&lt;"&amp;I156*bar_per_m)+1),"&gt; max PN")</f>
        <v>PN30</v>
      </c>
      <c r="K156" s="4" t="str">
        <f aca="false">IF(L156="no","end at tank",IF(H156&lt;0,"NEGATIVE",IF(H156&lt;p_min-0.005,"low","OK")))</f>
        <v>OK</v>
      </c>
      <c r="L156" s="4" t="s">
        <v>414</v>
      </c>
    </row>
    <row r="157" customFormat="false" ht="15" hidden="false" customHeight="false" outlineLevel="0" collapsed="false">
      <c r="A157" s="4" t="s">
        <v>40</v>
      </c>
      <c r="B157" s="4" t="s">
        <v>363</v>
      </c>
      <c r="C157" s="47" t="n">
        <v>6376.38</v>
      </c>
      <c r="D157" s="48" t="n">
        <v>1421.59</v>
      </c>
      <c r="E157" s="49" t="n">
        <f aca="false">D157-cover</f>
        <v>1420.39</v>
      </c>
      <c r="F157" s="50" t="n">
        <f aca="false">'Z4 WTP-Ikana'!S18-'Z4 WTP-Ikana'!P18*C157/'Z4 WTP-Ikana'!G18</f>
        <v>1689.70015482935</v>
      </c>
      <c r="G157" s="51" t="n">
        <f aca="false">'Z4 WTP-Ikana'!$B$8-E157</f>
        <v>247.61</v>
      </c>
      <c r="H157" s="52" t="n">
        <f aca="false">F157-E157</f>
        <v>269.310154829352</v>
      </c>
      <c r="I157" s="52" t="n">
        <f aca="false">MAX(H157,G157)</f>
        <v>269.310154829352</v>
      </c>
      <c r="J157" s="4" t="str">
        <f aca="false">IFERROR("PN"&amp;SMALL(PN_list,COUNTIF(PN_list,"&lt;"&amp;I157*bar_per_m)+1),"&gt; max PN")</f>
        <v>PN30</v>
      </c>
      <c r="K157" s="4" t="str">
        <f aca="false">IF(L157="no","end at tank",IF(H157&lt;0,"NEGATIVE",IF(H157&lt;p_min-0.005,"low","OK")))</f>
        <v>OK</v>
      </c>
      <c r="L157" s="4" t="s">
        <v>414</v>
      </c>
    </row>
    <row r="158" customFormat="false" ht="15" hidden="false" customHeight="false" outlineLevel="0" collapsed="false">
      <c r="A158" s="4" t="s">
        <v>40</v>
      </c>
      <c r="B158" s="4" t="s">
        <v>363</v>
      </c>
      <c r="C158" s="47" t="n">
        <v>6426.38</v>
      </c>
      <c r="D158" s="48" t="n">
        <v>1421.94</v>
      </c>
      <c r="E158" s="49" t="n">
        <f aca="false">D158-cover</f>
        <v>1420.74</v>
      </c>
      <c r="F158" s="50" t="n">
        <f aca="false">'Z4 WTP-Ikana'!S18-'Z4 WTP-Ikana'!P18*C158/'Z4 WTP-Ikana'!G18</f>
        <v>1689.62227157198</v>
      </c>
      <c r="G158" s="51" t="n">
        <f aca="false">'Z4 WTP-Ikana'!$B$8-E158</f>
        <v>247.26</v>
      </c>
      <c r="H158" s="52" t="n">
        <f aca="false">F158-E158</f>
        <v>268.882271571984</v>
      </c>
      <c r="I158" s="52" t="n">
        <f aca="false">MAX(H158,G158)</f>
        <v>268.882271571984</v>
      </c>
      <c r="J158" s="4" t="str">
        <f aca="false">IFERROR("PN"&amp;SMALL(PN_list,COUNTIF(PN_list,"&lt;"&amp;I158*bar_per_m)+1),"&gt; max PN")</f>
        <v>PN30</v>
      </c>
      <c r="K158" s="4" t="str">
        <f aca="false">IF(L158="no","end at tank",IF(H158&lt;0,"NEGATIVE",IF(H158&lt;p_min-0.005,"low","OK")))</f>
        <v>OK</v>
      </c>
      <c r="L158" s="4" t="s">
        <v>414</v>
      </c>
    </row>
    <row r="159" customFormat="false" ht="15" hidden="false" customHeight="false" outlineLevel="0" collapsed="false">
      <c r="A159" s="4" t="s">
        <v>40</v>
      </c>
      <c r="B159" s="4" t="s">
        <v>363</v>
      </c>
      <c r="C159" s="47" t="n">
        <v>6476.38</v>
      </c>
      <c r="D159" s="48" t="n">
        <v>1422.38</v>
      </c>
      <c r="E159" s="49" t="n">
        <f aca="false">D159-cover</f>
        <v>1421.18</v>
      </c>
      <c r="F159" s="50" t="n">
        <f aca="false">'Z4 WTP-Ikana'!S18-'Z4 WTP-Ikana'!P18*C159/'Z4 WTP-Ikana'!G18</f>
        <v>1689.54438831462</v>
      </c>
      <c r="G159" s="51" t="n">
        <f aca="false">'Z4 WTP-Ikana'!$B$8-E159</f>
        <v>246.82</v>
      </c>
      <c r="H159" s="52" t="n">
        <f aca="false">F159-E159</f>
        <v>268.364388314617</v>
      </c>
      <c r="I159" s="52" t="n">
        <f aca="false">MAX(H159,G159)</f>
        <v>268.364388314617</v>
      </c>
      <c r="J159" s="4" t="str">
        <f aca="false">IFERROR("PN"&amp;SMALL(PN_list,COUNTIF(PN_list,"&lt;"&amp;I159*bar_per_m)+1),"&gt; max PN")</f>
        <v>PN30</v>
      </c>
      <c r="K159" s="4" t="str">
        <f aca="false">IF(L159="no","end at tank",IF(H159&lt;0,"NEGATIVE",IF(H159&lt;p_min-0.005,"low","OK")))</f>
        <v>OK</v>
      </c>
      <c r="L159" s="4" t="s">
        <v>414</v>
      </c>
    </row>
    <row r="160" customFormat="false" ht="15" hidden="false" customHeight="false" outlineLevel="0" collapsed="false">
      <c r="A160" s="4" t="s">
        <v>40</v>
      </c>
      <c r="B160" s="4" t="s">
        <v>363</v>
      </c>
      <c r="C160" s="47" t="n">
        <v>6526.39</v>
      </c>
      <c r="D160" s="48" t="n">
        <v>1423.03</v>
      </c>
      <c r="E160" s="49" t="n">
        <f aca="false">D160-cover</f>
        <v>1421.83</v>
      </c>
      <c r="F160" s="50" t="n">
        <f aca="false">'Z4 WTP-Ikana'!S18-'Z4 WTP-Ikana'!P18*C160/'Z4 WTP-Ikana'!G18</f>
        <v>1689.4664894806</v>
      </c>
      <c r="G160" s="51" t="n">
        <f aca="false">'Z4 WTP-Ikana'!$B$8-E160</f>
        <v>246.17</v>
      </c>
      <c r="H160" s="52" t="n">
        <f aca="false">F160-E160</f>
        <v>267.636489480599</v>
      </c>
      <c r="I160" s="52" t="n">
        <f aca="false">MAX(H160,G160)</f>
        <v>267.636489480599</v>
      </c>
      <c r="J160" s="4" t="str">
        <f aca="false">IFERROR("PN"&amp;SMALL(PN_list,COUNTIF(PN_list,"&lt;"&amp;I160*bar_per_m)+1),"&gt; max PN")</f>
        <v>PN30</v>
      </c>
      <c r="K160" s="4" t="str">
        <f aca="false">IF(L160="no","end at tank",IF(H160&lt;0,"NEGATIVE",IF(H160&lt;p_min-0.005,"low","OK")))</f>
        <v>OK</v>
      </c>
      <c r="L160" s="4" t="s">
        <v>414</v>
      </c>
    </row>
    <row r="161" customFormat="false" ht="15" hidden="false" customHeight="false" outlineLevel="0" collapsed="false">
      <c r="A161" s="4" t="s">
        <v>40</v>
      </c>
      <c r="B161" s="4" t="s">
        <v>363</v>
      </c>
      <c r="C161" s="47" t="n">
        <v>6576.39</v>
      </c>
      <c r="D161" s="48" t="n">
        <v>1423.16</v>
      </c>
      <c r="E161" s="49" t="n">
        <f aca="false">D161-cover</f>
        <v>1421.96</v>
      </c>
      <c r="F161" s="50" t="n">
        <f aca="false">'Z4 WTP-Ikana'!S18-'Z4 WTP-Ikana'!P18*C161/'Z4 WTP-Ikana'!G18</f>
        <v>1689.38860622323</v>
      </c>
      <c r="G161" s="51" t="n">
        <f aca="false">'Z4 WTP-Ikana'!$B$8-E161</f>
        <v>246.04</v>
      </c>
      <c r="H161" s="52" t="n">
        <f aca="false">F161-E161</f>
        <v>267.428606223232</v>
      </c>
      <c r="I161" s="52" t="n">
        <f aca="false">MAX(H161,G161)</f>
        <v>267.428606223232</v>
      </c>
      <c r="J161" s="4" t="str">
        <f aca="false">IFERROR("PN"&amp;SMALL(PN_list,COUNTIF(PN_list,"&lt;"&amp;I161*bar_per_m)+1),"&gt; max PN")</f>
        <v>PN30</v>
      </c>
      <c r="K161" s="4" t="str">
        <f aca="false">IF(L161="no","end at tank",IF(H161&lt;0,"NEGATIVE",IF(H161&lt;p_min-0.005,"low","OK")))</f>
        <v>OK</v>
      </c>
      <c r="L161" s="4" t="s">
        <v>414</v>
      </c>
    </row>
    <row r="162" customFormat="false" ht="15" hidden="false" customHeight="false" outlineLevel="0" collapsed="false">
      <c r="A162" s="4" t="s">
        <v>40</v>
      </c>
      <c r="B162" s="4" t="s">
        <v>363</v>
      </c>
      <c r="C162" s="47" t="n">
        <v>6626.39</v>
      </c>
      <c r="D162" s="48" t="n">
        <v>1423.09</v>
      </c>
      <c r="E162" s="49" t="n">
        <f aca="false">D162-cover</f>
        <v>1421.89</v>
      </c>
      <c r="F162" s="50" t="n">
        <f aca="false">'Z4 WTP-Ikana'!S18-'Z4 WTP-Ikana'!P18*C162/'Z4 WTP-Ikana'!G18</f>
        <v>1689.31072296586</v>
      </c>
      <c r="G162" s="51" t="n">
        <f aca="false">'Z4 WTP-Ikana'!$B$8-E162</f>
        <v>246.11</v>
      </c>
      <c r="H162" s="52" t="n">
        <f aca="false">F162-E162</f>
        <v>267.420722965865</v>
      </c>
      <c r="I162" s="52" t="n">
        <f aca="false">MAX(H162,G162)</f>
        <v>267.420722965865</v>
      </c>
      <c r="J162" s="4" t="str">
        <f aca="false">IFERROR("PN"&amp;SMALL(PN_list,COUNTIF(PN_list,"&lt;"&amp;I162*bar_per_m)+1),"&gt; max PN")</f>
        <v>PN30</v>
      </c>
      <c r="K162" s="4" t="str">
        <f aca="false">IF(L162="no","end at tank",IF(H162&lt;0,"NEGATIVE",IF(H162&lt;p_min-0.005,"low","OK")))</f>
        <v>OK</v>
      </c>
      <c r="L162" s="4" t="s">
        <v>414</v>
      </c>
    </row>
    <row r="163" customFormat="false" ht="15" hidden="false" customHeight="false" outlineLevel="0" collapsed="false">
      <c r="A163" s="4" t="s">
        <v>40</v>
      </c>
      <c r="B163" s="4" t="s">
        <v>363</v>
      </c>
      <c r="C163" s="47" t="n">
        <v>6676.39</v>
      </c>
      <c r="D163" s="48" t="n">
        <v>1423.97</v>
      </c>
      <c r="E163" s="49" t="n">
        <f aca="false">D163-cover</f>
        <v>1422.77</v>
      </c>
      <c r="F163" s="50" t="n">
        <f aca="false">'Z4 WTP-Ikana'!S18-'Z4 WTP-Ikana'!P18*C163/'Z4 WTP-Ikana'!G18</f>
        <v>1689.2328397085</v>
      </c>
      <c r="G163" s="51" t="n">
        <f aca="false">'Z4 WTP-Ikana'!$B$8-E163</f>
        <v>245.23</v>
      </c>
      <c r="H163" s="52" t="n">
        <f aca="false">F163-E163</f>
        <v>266.462839708498</v>
      </c>
      <c r="I163" s="52" t="n">
        <f aca="false">MAX(H163,G163)</f>
        <v>266.462839708498</v>
      </c>
      <c r="J163" s="4" t="str">
        <f aca="false">IFERROR("PN"&amp;SMALL(PN_list,COUNTIF(PN_list,"&lt;"&amp;I163*bar_per_m)+1),"&gt; max PN")</f>
        <v>PN30</v>
      </c>
      <c r="K163" s="4" t="str">
        <f aca="false">IF(L163="no","end at tank",IF(H163&lt;0,"NEGATIVE",IF(H163&lt;p_min-0.005,"low","OK")))</f>
        <v>OK</v>
      </c>
      <c r="L163" s="4" t="s">
        <v>414</v>
      </c>
    </row>
    <row r="164" customFormat="false" ht="15" hidden="false" customHeight="false" outlineLevel="0" collapsed="false">
      <c r="A164" s="4" t="s">
        <v>40</v>
      </c>
      <c r="B164" s="4" t="s">
        <v>363</v>
      </c>
      <c r="C164" s="47" t="n">
        <v>6726.39</v>
      </c>
      <c r="D164" s="48" t="n">
        <v>1423.84</v>
      </c>
      <c r="E164" s="49" t="n">
        <f aca="false">D164-cover</f>
        <v>1422.64</v>
      </c>
      <c r="F164" s="50" t="n">
        <f aca="false">'Z4 WTP-Ikana'!S18-'Z4 WTP-Ikana'!P18*C164/'Z4 WTP-Ikana'!G18</f>
        <v>1689.15495645113</v>
      </c>
      <c r="G164" s="51" t="n">
        <f aca="false">'Z4 WTP-Ikana'!$B$8-E164</f>
        <v>245.36</v>
      </c>
      <c r="H164" s="52" t="n">
        <f aca="false">F164-E164</f>
        <v>266.514956451131</v>
      </c>
      <c r="I164" s="52" t="n">
        <f aca="false">MAX(H164,G164)</f>
        <v>266.514956451131</v>
      </c>
      <c r="J164" s="4" t="str">
        <f aca="false">IFERROR("PN"&amp;SMALL(PN_list,COUNTIF(PN_list,"&lt;"&amp;I164*bar_per_m)+1),"&gt; max PN")</f>
        <v>PN30</v>
      </c>
      <c r="K164" s="4" t="str">
        <f aca="false">IF(L164="no","end at tank",IF(H164&lt;0,"NEGATIVE",IF(H164&lt;p_min-0.005,"low","OK")))</f>
        <v>OK</v>
      </c>
      <c r="L164" s="4" t="s">
        <v>414</v>
      </c>
    </row>
    <row r="165" customFormat="false" ht="15" hidden="false" customHeight="false" outlineLevel="0" collapsed="false">
      <c r="A165" s="4" t="s">
        <v>40</v>
      </c>
      <c r="B165" s="4" t="s">
        <v>363</v>
      </c>
      <c r="C165" s="47" t="n">
        <v>6776.4</v>
      </c>
      <c r="D165" s="48" t="n">
        <v>1424.28</v>
      </c>
      <c r="E165" s="49" t="n">
        <f aca="false">D165-cover</f>
        <v>1423.08</v>
      </c>
      <c r="F165" s="50" t="n">
        <f aca="false">'Z4 WTP-Ikana'!S18-'Z4 WTP-Ikana'!P18*C165/'Z4 WTP-Ikana'!G18</f>
        <v>1689.07705761711</v>
      </c>
      <c r="G165" s="51" t="n">
        <f aca="false">'Z4 WTP-Ikana'!$B$8-E165</f>
        <v>244.92</v>
      </c>
      <c r="H165" s="52" t="n">
        <f aca="false">F165-E165</f>
        <v>265.997057617112</v>
      </c>
      <c r="I165" s="52" t="n">
        <f aca="false">MAX(H165,G165)</f>
        <v>265.997057617112</v>
      </c>
      <c r="J165" s="4" t="str">
        <f aca="false">IFERROR("PN"&amp;SMALL(PN_list,COUNTIF(PN_list,"&lt;"&amp;I165*bar_per_m)+1),"&gt; max PN")</f>
        <v>PN30</v>
      </c>
      <c r="K165" s="4" t="str">
        <f aca="false">IF(L165="no","end at tank",IF(H165&lt;0,"NEGATIVE",IF(H165&lt;p_min-0.005,"low","OK")))</f>
        <v>OK</v>
      </c>
      <c r="L165" s="4" t="s">
        <v>414</v>
      </c>
    </row>
    <row r="166" customFormat="false" ht="15" hidden="false" customHeight="false" outlineLevel="0" collapsed="false">
      <c r="A166" s="4" t="s">
        <v>40</v>
      </c>
      <c r="B166" s="4" t="s">
        <v>363</v>
      </c>
      <c r="C166" s="47" t="n">
        <v>6826.4</v>
      </c>
      <c r="D166" s="48" t="n">
        <v>1424.67</v>
      </c>
      <c r="E166" s="49" t="n">
        <f aca="false">D166-cover</f>
        <v>1423.47</v>
      </c>
      <c r="F166" s="50" t="n">
        <f aca="false">'Z4 WTP-Ikana'!S18-'Z4 WTP-Ikana'!P18*C166/'Z4 WTP-Ikana'!G18</f>
        <v>1688.99917435975</v>
      </c>
      <c r="G166" s="51" t="n">
        <f aca="false">'Z4 WTP-Ikana'!$B$8-E166</f>
        <v>244.53</v>
      </c>
      <c r="H166" s="52" t="n">
        <f aca="false">F166-E166</f>
        <v>265.529174359745</v>
      </c>
      <c r="I166" s="52" t="n">
        <f aca="false">MAX(H166,G166)</f>
        <v>265.529174359745</v>
      </c>
      <c r="J166" s="4" t="str">
        <f aca="false">IFERROR("PN"&amp;SMALL(PN_list,COUNTIF(PN_list,"&lt;"&amp;I166*bar_per_m)+1),"&gt; max PN")</f>
        <v>PN30</v>
      </c>
      <c r="K166" s="4" t="str">
        <f aca="false">IF(L166="no","end at tank",IF(H166&lt;0,"NEGATIVE",IF(H166&lt;p_min-0.005,"low","OK")))</f>
        <v>OK</v>
      </c>
      <c r="L166" s="4" t="s">
        <v>414</v>
      </c>
    </row>
    <row r="167" customFormat="false" ht="15" hidden="false" customHeight="false" outlineLevel="0" collapsed="false">
      <c r="A167" s="4" t="s">
        <v>40</v>
      </c>
      <c r="B167" s="4" t="s">
        <v>363</v>
      </c>
      <c r="C167" s="47" t="n">
        <v>6876.4</v>
      </c>
      <c r="D167" s="48" t="n">
        <v>1424.84</v>
      </c>
      <c r="E167" s="49" t="n">
        <f aca="false">D167-cover</f>
        <v>1423.64</v>
      </c>
      <c r="F167" s="50" t="n">
        <f aca="false">'Z4 WTP-Ikana'!S18-'Z4 WTP-Ikana'!P18*C167/'Z4 WTP-Ikana'!G18</f>
        <v>1688.92129110238</v>
      </c>
      <c r="G167" s="51" t="n">
        <f aca="false">'Z4 WTP-Ikana'!$B$8-E167</f>
        <v>244.36</v>
      </c>
      <c r="H167" s="52" t="n">
        <f aca="false">F167-E167</f>
        <v>265.281291102378</v>
      </c>
      <c r="I167" s="52" t="n">
        <f aca="false">MAX(H167,G167)</f>
        <v>265.281291102378</v>
      </c>
      <c r="J167" s="4" t="str">
        <f aca="false">IFERROR("PN"&amp;SMALL(PN_list,COUNTIF(PN_list,"&lt;"&amp;I167*bar_per_m)+1),"&gt; max PN")</f>
        <v>PN30</v>
      </c>
      <c r="K167" s="4" t="str">
        <f aca="false">IF(L167="no","end at tank",IF(H167&lt;0,"NEGATIVE",IF(H167&lt;p_min-0.005,"low","OK")))</f>
        <v>OK</v>
      </c>
      <c r="L167" s="4" t="s">
        <v>414</v>
      </c>
    </row>
    <row r="168" customFormat="false" ht="15" hidden="false" customHeight="false" outlineLevel="0" collapsed="false">
      <c r="A168" s="4" t="s">
        <v>40</v>
      </c>
      <c r="B168" s="4" t="s">
        <v>363</v>
      </c>
      <c r="C168" s="47" t="n">
        <v>6926.4</v>
      </c>
      <c r="D168" s="48" t="n">
        <v>1424.77</v>
      </c>
      <c r="E168" s="49" t="n">
        <f aca="false">D168-cover</f>
        <v>1423.57</v>
      </c>
      <c r="F168" s="50" t="n">
        <f aca="false">'Z4 WTP-Ikana'!S18-'Z4 WTP-Ikana'!P18*C168/'Z4 WTP-Ikana'!G18</f>
        <v>1688.84340784501</v>
      </c>
      <c r="G168" s="51" t="n">
        <f aca="false">'Z4 WTP-Ikana'!$B$8-E168</f>
        <v>244.43</v>
      </c>
      <c r="H168" s="52" t="n">
        <f aca="false">F168-E168</f>
        <v>265.273407845011</v>
      </c>
      <c r="I168" s="52" t="n">
        <f aca="false">MAX(H168,G168)</f>
        <v>265.273407845011</v>
      </c>
      <c r="J168" s="4" t="str">
        <f aca="false">IFERROR("PN"&amp;SMALL(PN_list,COUNTIF(PN_list,"&lt;"&amp;I168*bar_per_m)+1),"&gt; max PN")</f>
        <v>PN30</v>
      </c>
      <c r="K168" s="4" t="str">
        <f aca="false">IF(L168="no","end at tank",IF(H168&lt;0,"NEGATIVE",IF(H168&lt;p_min-0.005,"low","OK")))</f>
        <v>OK</v>
      </c>
      <c r="L168" s="4" t="s">
        <v>414</v>
      </c>
    </row>
    <row r="169" customFormat="false" ht="15" hidden="false" customHeight="false" outlineLevel="0" collapsed="false">
      <c r="A169" s="4" t="s">
        <v>40</v>
      </c>
      <c r="B169" s="4" t="s">
        <v>363</v>
      </c>
      <c r="C169" s="47" t="n">
        <v>6976.4</v>
      </c>
      <c r="D169" s="48" t="n">
        <v>1424.9</v>
      </c>
      <c r="E169" s="49" t="n">
        <f aca="false">D169-cover</f>
        <v>1423.7</v>
      </c>
      <c r="F169" s="50" t="n">
        <f aca="false">'Z4 WTP-Ikana'!S18-'Z4 WTP-Ikana'!P18*C169/'Z4 WTP-Ikana'!G18</f>
        <v>1688.76552458764</v>
      </c>
      <c r="G169" s="51" t="n">
        <f aca="false">'Z4 WTP-Ikana'!$B$8-E169</f>
        <v>244.3</v>
      </c>
      <c r="H169" s="52" t="n">
        <f aca="false">F169-E169</f>
        <v>265.065524587644</v>
      </c>
      <c r="I169" s="52" t="n">
        <f aca="false">MAX(H169,G169)</f>
        <v>265.065524587644</v>
      </c>
      <c r="J169" s="4" t="str">
        <f aca="false">IFERROR("PN"&amp;SMALL(PN_list,COUNTIF(PN_list,"&lt;"&amp;I169*bar_per_m)+1),"&gt; max PN")</f>
        <v>PN30</v>
      </c>
      <c r="K169" s="4" t="str">
        <f aca="false">IF(L169="no","end at tank",IF(H169&lt;0,"NEGATIVE",IF(H169&lt;p_min-0.005,"low","OK")))</f>
        <v>OK</v>
      </c>
      <c r="L169" s="4" t="s">
        <v>414</v>
      </c>
    </row>
    <row r="170" customFormat="false" ht="15" hidden="false" customHeight="false" outlineLevel="0" collapsed="false">
      <c r="A170" s="4" t="s">
        <v>40</v>
      </c>
      <c r="B170" s="4" t="s">
        <v>363</v>
      </c>
      <c r="C170" s="47" t="n">
        <v>7026.4</v>
      </c>
      <c r="D170" s="48" t="n">
        <v>1424.45</v>
      </c>
      <c r="E170" s="49" t="n">
        <f aca="false">D170-cover</f>
        <v>1423.25</v>
      </c>
      <c r="F170" s="50" t="n">
        <f aca="false">'Z4 WTP-Ikana'!S18-'Z4 WTP-Ikana'!P18*C170/'Z4 WTP-Ikana'!G18</f>
        <v>1688.68764133028</v>
      </c>
      <c r="G170" s="51" t="n">
        <f aca="false">'Z4 WTP-Ikana'!$B$8-E170</f>
        <v>244.75</v>
      </c>
      <c r="H170" s="52" t="n">
        <f aca="false">F170-E170</f>
        <v>265.437641330277</v>
      </c>
      <c r="I170" s="52" t="n">
        <f aca="false">MAX(H170,G170)</f>
        <v>265.437641330277</v>
      </c>
      <c r="J170" s="4" t="str">
        <f aca="false">IFERROR("PN"&amp;SMALL(PN_list,COUNTIF(PN_list,"&lt;"&amp;I170*bar_per_m)+1),"&gt; max PN")</f>
        <v>PN30</v>
      </c>
      <c r="K170" s="4" t="str">
        <f aca="false">IF(L170="no","end at tank",IF(H170&lt;0,"NEGATIVE",IF(H170&lt;p_min-0.005,"low","OK")))</f>
        <v>OK</v>
      </c>
      <c r="L170" s="4" t="s">
        <v>414</v>
      </c>
    </row>
    <row r="171" customFormat="false" ht="15" hidden="false" customHeight="false" outlineLevel="0" collapsed="false">
      <c r="A171" s="4" t="s">
        <v>40</v>
      </c>
      <c r="B171" s="4" t="s">
        <v>363</v>
      </c>
      <c r="C171" s="47" t="n">
        <v>7076.4</v>
      </c>
      <c r="D171" s="48" t="n">
        <v>1424.59</v>
      </c>
      <c r="E171" s="49" t="n">
        <f aca="false">D171-cover</f>
        <v>1423.39</v>
      </c>
      <c r="F171" s="50" t="n">
        <f aca="false">'Z4 WTP-Ikana'!S18-'Z4 WTP-Ikana'!P18*C171/'Z4 WTP-Ikana'!G18</f>
        <v>1688.60975807291</v>
      </c>
      <c r="G171" s="51" t="n">
        <f aca="false">'Z4 WTP-Ikana'!$B$8-E171</f>
        <v>244.61</v>
      </c>
      <c r="H171" s="52" t="n">
        <f aca="false">F171-E171</f>
        <v>265.21975807291</v>
      </c>
      <c r="I171" s="52" t="n">
        <f aca="false">MAX(H171,G171)</f>
        <v>265.21975807291</v>
      </c>
      <c r="J171" s="4" t="str">
        <f aca="false">IFERROR("PN"&amp;SMALL(PN_list,COUNTIF(PN_list,"&lt;"&amp;I171*bar_per_m)+1),"&gt; max PN")</f>
        <v>PN30</v>
      </c>
      <c r="K171" s="4" t="str">
        <f aca="false">IF(L171="no","end at tank",IF(H171&lt;0,"NEGATIVE",IF(H171&lt;p_min-0.005,"low","OK")))</f>
        <v>OK</v>
      </c>
      <c r="L171" s="4" t="s">
        <v>414</v>
      </c>
    </row>
    <row r="172" customFormat="false" ht="15" hidden="false" customHeight="false" outlineLevel="0" collapsed="false">
      <c r="A172" s="4" t="s">
        <v>40</v>
      </c>
      <c r="B172" s="4" t="s">
        <v>363</v>
      </c>
      <c r="C172" s="47" t="n">
        <v>7126.4</v>
      </c>
      <c r="D172" s="48" t="n">
        <v>1424.76</v>
      </c>
      <c r="E172" s="49" t="n">
        <f aca="false">D172-cover</f>
        <v>1423.56</v>
      </c>
      <c r="F172" s="50" t="n">
        <f aca="false">'Z4 WTP-Ikana'!S18-'Z4 WTP-Ikana'!P18*C172/'Z4 WTP-Ikana'!G18</f>
        <v>1688.53187481554</v>
      </c>
      <c r="G172" s="51" t="n">
        <f aca="false">'Z4 WTP-Ikana'!$B$8-E172</f>
        <v>244.44</v>
      </c>
      <c r="H172" s="52" t="n">
        <f aca="false">F172-E172</f>
        <v>264.971874815543</v>
      </c>
      <c r="I172" s="52" t="n">
        <f aca="false">MAX(H172,G172)</f>
        <v>264.971874815543</v>
      </c>
      <c r="J172" s="4" t="str">
        <f aca="false">IFERROR("PN"&amp;SMALL(PN_list,COUNTIF(PN_list,"&lt;"&amp;I172*bar_per_m)+1),"&gt; max PN")</f>
        <v>PN30</v>
      </c>
      <c r="K172" s="4" t="str">
        <f aca="false">IF(L172="no","end at tank",IF(H172&lt;0,"NEGATIVE",IF(H172&lt;p_min-0.005,"low","OK")))</f>
        <v>OK</v>
      </c>
      <c r="L172" s="4" t="s">
        <v>414</v>
      </c>
    </row>
    <row r="173" customFormat="false" ht="15" hidden="false" customHeight="false" outlineLevel="0" collapsed="false">
      <c r="A173" s="4" t="s">
        <v>40</v>
      </c>
      <c r="B173" s="4" t="s">
        <v>363</v>
      </c>
      <c r="C173" s="47" t="n">
        <v>7176.4</v>
      </c>
      <c r="D173" s="48" t="n">
        <v>1424.59</v>
      </c>
      <c r="E173" s="49" t="n">
        <f aca="false">D173-cover</f>
        <v>1423.39</v>
      </c>
      <c r="F173" s="50" t="n">
        <f aca="false">'Z4 WTP-Ikana'!S18-'Z4 WTP-Ikana'!P18*C173/'Z4 WTP-Ikana'!G18</f>
        <v>1688.45399155818</v>
      </c>
      <c r="G173" s="51" t="n">
        <f aca="false">'Z4 WTP-Ikana'!$B$8-E173</f>
        <v>244.61</v>
      </c>
      <c r="H173" s="52" t="n">
        <f aca="false">F173-E173</f>
        <v>265.063991558176</v>
      </c>
      <c r="I173" s="52" t="n">
        <f aca="false">MAX(H173,G173)</f>
        <v>265.063991558176</v>
      </c>
      <c r="J173" s="4" t="str">
        <f aca="false">IFERROR("PN"&amp;SMALL(PN_list,COUNTIF(PN_list,"&lt;"&amp;I173*bar_per_m)+1),"&gt; max PN")</f>
        <v>PN30</v>
      </c>
      <c r="K173" s="4" t="str">
        <f aca="false">IF(L173="no","end at tank",IF(H173&lt;0,"NEGATIVE",IF(H173&lt;p_min-0.005,"low","OK")))</f>
        <v>OK</v>
      </c>
      <c r="L173" s="4" t="s">
        <v>414</v>
      </c>
    </row>
    <row r="174" customFormat="false" ht="15" hidden="false" customHeight="false" outlineLevel="0" collapsed="false">
      <c r="A174" s="4" t="s">
        <v>40</v>
      </c>
      <c r="B174" s="4" t="s">
        <v>363</v>
      </c>
      <c r="C174" s="47" t="n">
        <v>7226.4</v>
      </c>
      <c r="D174" s="48" t="n">
        <v>1424.85</v>
      </c>
      <c r="E174" s="49" t="n">
        <f aca="false">D174-cover</f>
        <v>1423.65</v>
      </c>
      <c r="F174" s="50" t="n">
        <f aca="false">'Z4 WTP-Ikana'!S18-'Z4 WTP-Ikana'!P18*C174/'Z4 WTP-Ikana'!G18</f>
        <v>1688.37610830081</v>
      </c>
      <c r="G174" s="51" t="n">
        <f aca="false">'Z4 WTP-Ikana'!$B$8-E174</f>
        <v>244.35</v>
      </c>
      <c r="H174" s="52" t="n">
        <f aca="false">F174-E174</f>
        <v>264.726108300809</v>
      </c>
      <c r="I174" s="52" t="n">
        <f aca="false">MAX(H174,G174)</f>
        <v>264.726108300809</v>
      </c>
      <c r="J174" s="4" t="str">
        <f aca="false">IFERROR("PN"&amp;SMALL(PN_list,COUNTIF(PN_list,"&lt;"&amp;I174*bar_per_m)+1),"&gt; max PN")</f>
        <v>PN30</v>
      </c>
      <c r="K174" s="4" t="str">
        <f aca="false">IF(L174="no","end at tank",IF(H174&lt;0,"NEGATIVE",IF(H174&lt;p_min-0.005,"low","OK")))</f>
        <v>OK</v>
      </c>
      <c r="L174" s="4" t="s">
        <v>414</v>
      </c>
    </row>
    <row r="175" customFormat="false" ht="15" hidden="false" customHeight="false" outlineLevel="0" collapsed="false">
      <c r="A175" s="4" t="s">
        <v>40</v>
      </c>
      <c r="B175" s="4" t="s">
        <v>363</v>
      </c>
      <c r="C175" s="47" t="n">
        <v>7276.41</v>
      </c>
      <c r="D175" s="48" t="n">
        <v>1424</v>
      </c>
      <c r="E175" s="49" t="n">
        <f aca="false">D175-cover</f>
        <v>1422.8</v>
      </c>
      <c r="F175" s="50" t="n">
        <f aca="false">'Z4 WTP-Ikana'!S18-'Z4 WTP-Ikana'!P18*C175/'Z4 WTP-Ikana'!G18</f>
        <v>1688.29820946679</v>
      </c>
      <c r="G175" s="51" t="n">
        <f aca="false">'Z4 WTP-Ikana'!$B$8-E175</f>
        <v>245.2</v>
      </c>
      <c r="H175" s="52" t="n">
        <f aca="false">F175-E175</f>
        <v>265.49820946679</v>
      </c>
      <c r="I175" s="52" t="n">
        <f aca="false">MAX(H175,G175)</f>
        <v>265.49820946679</v>
      </c>
      <c r="J175" s="4" t="str">
        <f aca="false">IFERROR("PN"&amp;SMALL(PN_list,COUNTIF(PN_list,"&lt;"&amp;I175*bar_per_m)+1),"&gt; max PN")</f>
        <v>PN30</v>
      </c>
      <c r="K175" s="4" t="str">
        <f aca="false">IF(L175="no","end at tank",IF(H175&lt;0,"NEGATIVE",IF(H175&lt;p_min-0.005,"low","OK")))</f>
        <v>OK</v>
      </c>
      <c r="L175" s="4" t="s">
        <v>414</v>
      </c>
    </row>
    <row r="176" customFormat="false" ht="15" hidden="false" customHeight="false" outlineLevel="0" collapsed="false">
      <c r="A176" s="4" t="s">
        <v>40</v>
      </c>
      <c r="B176" s="4" t="s">
        <v>363</v>
      </c>
      <c r="C176" s="47" t="n">
        <v>7326.41</v>
      </c>
      <c r="D176" s="48" t="n">
        <v>1424.6</v>
      </c>
      <c r="E176" s="49" t="n">
        <f aca="false">D176-cover</f>
        <v>1423.4</v>
      </c>
      <c r="F176" s="50" t="n">
        <f aca="false">'Z4 WTP-Ikana'!S18-'Z4 WTP-Ikana'!P18*C176/'Z4 WTP-Ikana'!G18</f>
        <v>1688.22032620942</v>
      </c>
      <c r="G176" s="51" t="n">
        <f aca="false">'Z4 WTP-Ikana'!$B$8-E176</f>
        <v>244.6</v>
      </c>
      <c r="H176" s="52" t="n">
        <f aca="false">F176-E176</f>
        <v>264.820326209423</v>
      </c>
      <c r="I176" s="52" t="n">
        <f aca="false">MAX(H176,G176)</f>
        <v>264.820326209423</v>
      </c>
      <c r="J176" s="4" t="str">
        <f aca="false">IFERROR("PN"&amp;SMALL(PN_list,COUNTIF(PN_list,"&lt;"&amp;I176*bar_per_m)+1),"&gt; max PN")</f>
        <v>PN30</v>
      </c>
      <c r="K176" s="4" t="str">
        <f aca="false">IF(L176="no","end at tank",IF(H176&lt;0,"NEGATIVE",IF(H176&lt;p_min-0.005,"low","OK")))</f>
        <v>OK</v>
      </c>
      <c r="L176" s="4" t="s">
        <v>414</v>
      </c>
    </row>
    <row r="177" customFormat="false" ht="15" hidden="false" customHeight="false" outlineLevel="0" collapsed="false">
      <c r="A177" s="4" t="s">
        <v>40</v>
      </c>
      <c r="B177" s="4" t="s">
        <v>363</v>
      </c>
      <c r="C177" s="47" t="n">
        <v>7376.41</v>
      </c>
      <c r="D177" s="48" t="n">
        <v>1424.68</v>
      </c>
      <c r="E177" s="49" t="n">
        <f aca="false">D177-cover</f>
        <v>1423.48</v>
      </c>
      <c r="F177" s="50" t="n">
        <f aca="false">'Z4 WTP-Ikana'!S18-'Z4 WTP-Ikana'!P18*C177/'Z4 WTP-Ikana'!G18</f>
        <v>1688.14244295206</v>
      </c>
      <c r="G177" s="51" t="n">
        <f aca="false">'Z4 WTP-Ikana'!$B$8-E177</f>
        <v>244.52</v>
      </c>
      <c r="H177" s="52" t="n">
        <f aca="false">F177-E177</f>
        <v>264.662442952056</v>
      </c>
      <c r="I177" s="52" t="n">
        <f aca="false">MAX(H177,G177)</f>
        <v>264.662442952056</v>
      </c>
      <c r="J177" s="4" t="str">
        <f aca="false">IFERROR("PN"&amp;SMALL(PN_list,COUNTIF(PN_list,"&lt;"&amp;I177*bar_per_m)+1),"&gt; max PN")</f>
        <v>PN30</v>
      </c>
      <c r="K177" s="4" t="str">
        <f aca="false">IF(L177="no","end at tank",IF(H177&lt;0,"NEGATIVE",IF(H177&lt;p_min-0.005,"low","OK")))</f>
        <v>OK</v>
      </c>
      <c r="L177" s="4" t="s">
        <v>414</v>
      </c>
    </row>
    <row r="178" customFormat="false" ht="15" hidden="false" customHeight="false" outlineLevel="0" collapsed="false">
      <c r="A178" s="4" t="s">
        <v>40</v>
      </c>
      <c r="B178" s="4" t="s">
        <v>363</v>
      </c>
      <c r="C178" s="47" t="n">
        <v>7426.42</v>
      </c>
      <c r="D178" s="48" t="n">
        <v>1425.32</v>
      </c>
      <c r="E178" s="49" t="n">
        <f aca="false">D178-cover</f>
        <v>1424.12</v>
      </c>
      <c r="F178" s="50" t="n">
        <f aca="false">'Z4 WTP-Ikana'!S18-'Z4 WTP-Ikana'!P18*C178/'Z4 WTP-Ikana'!G18</f>
        <v>1688.06454411804</v>
      </c>
      <c r="G178" s="51" t="n">
        <f aca="false">'Z4 WTP-Ikana'!$B$8-E178</f>
        <v>243.88</v>
      </c>
      <c r="H178" s="52" t="n">
        <f aca="false">F178-E178</f>
        <v>263.944544118037</v>
      </c>
      <c r="I178" s="52" t="n">
        <f aca="false">MAX(H178,G178)</f>
        <v>263.944544118037</v>
      </c>
      <c r="J178" s="4" t="str">
        <f aca="false">IFERROR("PN"&amp;SMALL(PN_list,COUNTIF(PN_list,"&lt;"&amp;I178*bar_per_m)+1),"&gt; max PN")</f>
        <v>PN30</v>
      </c>
      <c r="K178" s="4" t="str">
        <f aca="false">IF(L178="no","end at tank",IF(H178&lt;0,"NEGATIVE",IF(H178&lt;p_min-0.005,"low","OK")))</f>
        <v>OK</v>
      </c>
      <c r="L178" s="4" t="s">
        <v>414</v>
      </c>
    </row>
    <row r="179" customFormat="false" ht="15" hidden="false" customHeight="false" outlineLevel="0" collapsed="false">
      <c r="A179" s="4" t="s">
        <v>40</v>
      </c>
      <c r="B179" s="4" t="s">
        <v>363</v>
      </c>
      <c r="C179" s="47" t="n">
        <v>7476.42</v>
      </c>
      <c r="D179" s="48" t="n">
        <v>1425.9</v>
      </c>
      <c r="E179" s="49" t="n">
        <f aca="false">D179-cover</f>
        <v>1424.7</v>
      </c>
      <c r="F179" s="50" t="n">
        <f aca="false">'Z4 WTP-Ikana'!S18-'Z4 WTP-Ikana'!P18*C179/'Z4 WTP-Ikana'!G18</f>
        <v>1687.98666086067</v>
      </c>
      <c r="G179" s="51" t="n">
        <f aca="false">'Z4 WTP-Ikana'!$B$8-E179</f>
        <v>243.3</v>
      </c>
      <c r="H179" s="52" t="n">
        <f aca="false">F179-E179</f>
        <v>263.28666086067</v>
      </c>
      <c r="I179" s="52" t="n">
        <f aca="false">MAX(H179,G179)</f>
        <v>263.28666086067</v>
      </c>
      <c r="J179" s="4" t="str">
        <f aca="false">IFERROR("PN"&amp;SMALL(PN_list,COUNTIF(PN_list,"&lt;"&amp;I179*bar_per_m)+1),"&gt; max PN")</f>
        <v>PN30</v>
      </c>
      <c r="K179" s="4" t="str">
        <f aca="false">IF(L179="no","end at tank",IF(H179&lt;0,"NEGATIVE",IF(H179&lt;p_min-0.005,"low","OK")))</f>
        <v>OK</v>
      </c>
      <c r="L179" s="4" t="s">
        <v>414</v>
      </c>
    </row>
    <row r="180" customFormat="false" ht="15" hidden="false" customHeight="false" outlineLevel="0" collapsed="false">
      <c r="A180" s="4" t="s">
        <v>40</v>
      </c>
      <c r="B180" s="4" t="s">
        <v>363</v>
      </c>
      <c r="C180" s="47" t="n">
        <v>7526.42</v>
      </c>
      <c r="D180" s="48" t="n">
        <v>1426.1</v>
      </c>
      <c r="E180" s="49" t="n">
        <f aca="false">D180-cover</f>
        <v>1424.9</v>
      </c>
      <c r="F180" s="50" t="n">
        <f aca="false">'Z4 WTP-Ikana'!S18-'Z4 WTP-Ikana'!P18*C180/'Z4 WTP-Ikana'!G18</f>
        <v>1687.9087776033</v>
      </c>
      <c r="G180" s="51" t="n">
        <f aca="false">'Z4 WTP-Ikana'!$B$8-E180</f>
        <v>243.1</v>
      </c>
      <c r="H180" s="52" t="n">
        <f aca="false">F180-E180</f>
        <v>263.008777603303</v>
      </c>
      <c r="I180" s="52" t="n">
        <f aca="false">MAX(H180,G180)</f>
        <v>263.008777603303</v>
      </c>
      <c r="J180" s="4" t="str">
        <f aca="false">IFERROR("PN"&amp;SMALL(PN_list,COUNTIF(PN_list,"&lt;"&amp;I180*bar_per_m)+1),"&gt; max PN")</f>
        <v>PN30</v>
      </c>
      <c r="K180" s="4" t="str">
        <f aca="false">IF(L180="no","end at tank",IF(H180&lt;0,"NEGATIVE",IF(H180&lt;p_min-0.005,"low","OK")))</f>
        <v>OK</v>
      </c>
      <c r="L180" s="4" t="s">
        <v>414</v>
      </c>
    </row>
    <row r="181" customFormat="false" ht="15" hidden="false" customHeight="false" outlineLevel="0" collapsed="false">
      <c r="A181" s="4" t="s">
        <v>40</v>
      </c>
      <c r="B181" s="4" t="s">
        <v>363</v>
      </c>
      <c r="C181" s="47" t="n">
        <v>7576.43</v>
      </c>
      <c r="D181" s="48" t="n">
        <v>1426.89</v>
      </c>
      <c r="E181" s="49" t="n">
        <f aca="false">D181-cover</f>
        <v>1425.69</v>
      </c>
      <c r="F181" s="50" t="n">
        <f aca="false">'Z4 WTP-Ikana'!S18-'Z4 WTP-Ikana'!P18*C181/'Z4 WTP-Ikana'!G18</f>
        <v>1687.83087876928</v>
      </c>
      <c r="G181" s="51" t="n">
        <f aca="false">'Z4 WTP-Ikana'!$B$8-E181</f>
        <v>242.31</v>
      </c>
      <c r="H181" s="52" t="n">
        <f aca="false">F181-E181</f>
        <v>262.140878769284</v>
      </c>
      <c r="I181" s="52" t="n">
        <f aca="false">MAX(H181,G181)</f>
        <v>262.140878769284</v>
      </c>
      <c r="J181" s="4" t="str">
        <f aca="false">IFERROR("PN"&amp;SMALL(PN_list,COUNTIF(PN_list,"&lt;"&amp;I181*bar_per_m)+1),"&gt; max PN")</f>
        <v>PN30</v>
      </c>
      <c r="K181" s="4" t="str">
        <f aca="false">IF(L181="no","end at tank",IF(H181&lt;0,"NEGATIVE",IF(H181&lt;p_min-0.005,"low","OK")))</f>
        <v>OK</v>
      </c>
      <c r="L181" s="4" t="s">
        <v>414</v>
      </c>
    </row>
    <row r="182" customFormat="false" ht="15" hidden="false" customHeight="false" outlineLevel="0" collapsed="false">
      <c r="A182" s="4" t="s">
        <v>40</v>
      </c>
      <c r="B182" s="4" t="s">
        <v>363</v>
      </c>
      <c r="C182" s="47" t="n">
        <v>7626.43</v>
      </c>
      <c r="D182" s="48" t="n">
        <v>1426.97</v>
      </c>
      <c r="E182" s="49" t="n">
        <f aca="false">D182-cover</f>
        <v>1425.77</v>
      </c>
      <c r="F182" s="50" t="n">
        <f aca="false">'Z4 WTP-Ikana'!S18-'Z4 WTP-Ikana'!P18*C182/'Z4 WTP-Ikana'!G18</f>
        <v>1687.75299551192</v>
      </c>
      <c r="G182" s="51" t="n">
        <f aca="false">'Z4 WTP-Ikana'!$B$8-E182</f>
        <v>242.23</v>
      </c>
      <c r="H182" s="52" t="n">
        <f aca="false">F182-E182</f>
        <v>261.982995511917</v>
      </c>
      <c r="I182" s="52" t="n">
        <f aca="false">MAX(H182,G182)</f>
        <v>261.982995511917</v>
      </c>
      <c r="J182" s="4" t="str">
        <f aca="false">IFERROR("PN"&amp;SMALL(PN_list,COUNTIF(PN_list,"&lt;"&amp;I182*bar_per_m)+1),"&gt; max PN")</f>
        <v>PN30</v>
      </c>
      <c r="K182" s="4" t="str">
        <f aca="false">IF(L182="no","end at tank",IF(H182&lt;0,"NEGATIVE",IF(H182&lt;p_min-0.005,"low","OK")))</f>
        <v>OK</v>
      </c>
      <c r="L182" s="4" t="s">
        <v>414</v>
      </c>
    </row>
    <row r="183" customFormat="false" ht="15" hidden="false" customHeight="false" outlineLevel="0" collapsed="false">
      <c r="A183" s="4" t="s">
        <v>40</v>
      </c>
      <c r="B183" s="4" t="s">
        <v>363</v>
      </c>
      <c r="C183" s="47" t="n">
        <v>7676.43</v>
      </c>
      <c r="D183" s="48" t="n">
        <v>1427.23</v>
      </c>
      <c r="E183" s="49" t="n">
        <f aca="false">D183-cover</f>
        <v>1426.03</v>
      </c>
      <c r="F183" s="50" t="n">
        <f aca="false">'Z4 WTP-Ikana'!S18-'Z4 WTP-Ikana'!P18*C183/'Z4 WTP-Ikana'!G18</f>
        <v>1687.67511225455</v>
      </c>
      <c r="G183" s="51" t="n">
        <f aca="false">'Z4 WTP-Ikana'!$B$8-E183</f>
        <v>241.97</v>
      </c>
      <c r="H183" s="52" t="n">
        <f aca="false">F183-E183</f>
        <v>261.64511225455</v>
      </c>
      <c r="I183" s="52" t="n">
        <f aca="false">MAX(H183,G183)</f>
        <v>261.64511225455</v>
      </c>
      <c r="J183" s="4" t="str">
        <f aca="false">IFERROR("PN"&amp;SMALL(PN_list,COUNTIF(PN_list,"&lt;"&amp;I183*bar_per_m)+1),"&gt; max PN")</f>
        <v>PN30</v>
      </c>
      <c r="K183" s="4" t="str">
        <f aca="false">IF(L183="no","end at tank",IF(H183&lt;0,"NEGATIVE",IF(H183&lt;p_min-0.005,"low","OK")))</f>
        <v>OK</v>
      </c>
      <c r="L183" s="4" t="s">
        <v>414</v>
      </c>
    </row>
    <row r="184" customFormat="false" ht="15" hidden="false" customHeight="false" outlineLevel="0" collapsed="false">
      <c r="A184" s="4" t="s">
        <v>40</v>
      </c>
      <c r="B184" s="4" t="s">
        <v>363</v>
      </c>
      <c r="C184" s="47" t="n">
        <v>7726.43</v>
      </c>
      <c r="D184" s="48" t="n">
        <v>1427.92</v>
      </c>
      <c r="E184" s="49" t="n">
        <f aca="false">D184-cover</f>
        <v>1426.72</v>
      </c>
      <c r="F184" s="50" t="n">
        <f aca="false">'Z4 WTP-Ikana'!S18-'Z4 WTP-Ikana'!P18*C184/'Z4 WTP-Ikana'!G18</f>
        <v>1687.59722899718</v>
      </c>
      <c r="G184" s="51" t="n">
        <f aca="false">'Z4 WTP-Ikana'!$B$8-E184</f>
        <v>241.28</v>
      </c>
      <c r="H184" s="52" t="n">
        <f aca="false">F184-E184</f>
        <v>260.877228997183</v>
      </c>
      <c r="I184" s="52" t="n">
        <f aca="false">MAX(H184,G184)</f>
        <v>260.877228997183</v>
      </c>
      <c r="J184" s="4" t="str">
        <f aca="false">IFERROR("PN"&amp;SMALL(PN_list,COUNTIF(PN_list,"&lt;"&amp;I184*bar_per_m)+1),"&gt; max PN")</f>
        <v>PN30</v>
      </c>
      <c r="K184" s="4" t="str">
        <f aca="false">IF(L184="no","end at tank",IF(H184&lt;0,"NEGATIVE",IF(H184&lt;p_min-0.005,"low","OK")))</f>
        <v>OK</v>
      </c>
      <c r="L184" s="4" t="s">
        <v>414</v>
      </c>
    </row>
    <row r="185" customFormat="false" ht="15" hidden="false" customHeight="false" outlineLevel="0" collapsed="false">
      <c r="A185" s="4" t="s">
        <v>40</v>
      </c>
      <c r="B185" s="4" t="s">
        <v>363</v>
      </c>
      <c r="C185" s="47" t="n">
        <v>7776.43</v>
      </c>
      <c r="D185" s="48" t="n">
        <v>1427.78</v>
      </c>
      <c r="E185" s="49" t="n">
        <f aca="false">D185-cover</f>
        <v>1426.58</v>
      </c>
      <c r="F185" s="50" t="n">
        <f aca="false">'Z4 WTP-Ikana'!S18-'Z4 WTP-Ikana'!P18*C185/'Z4 WTP-Ikana'!G18</f>
        <v>1687.51934573982</v>
      </c>
      <c r="G185" s="51" t="n">
        <f aca="false">'Z4 WTP-Ikana'!$B$8-E185</f>
        <v>241.42</v>
      </c>
      <c r="H185" s="52" t="n">
        <f aca="false">F185-E185</f>
        <v>260.939345739816</v>
      </c>
      <c r="I185" s="52" t="n">
        <f aca="false">MAX(H185,G185)</f>
        <v>260.939345739816</v>
      </c>
      <c r="J185" s="4" t="str">
        <f aca="false">IFERROR("PN"&amp;SMALL(PN_list,COUNTIF(PN_list,"&lt;"&amp;I185*bar_per_m)+1),"&gt; max PN")</f>
        <v>PN30</v>
      </c>
      <c r="K185" s="4" t="str">
        <f aca="false">IF(L185="no","end at tank",IF(H185&lt;0,"NEGATIVE",IF(H185&lt;p_min-0.005,"low","OK")))</f>
        <v>OK</v>
      </c>
      <c r="L185" s="4" t="s">
        <v>414</v>
      </c>
    </row>
    <row r="186" customFormat="false" ht="15" hidden="false" customHeight="false" outlineLevel="0" collapsed="false">
      <c r="A186" s="4" t="s">
        <v>40</v>
      </c>
      <c r="B186" s="4" t="s">
        <v>363</v>
      </c>
      <c r="C186" s="47" t="n">
        <v>7826.43</v>
      </c>
      <c r="D186" s="48" t="n">
        <v>1428.17</v>
      </c>
      <c r="E186" s="49" t="n">
        <f aca="false">D186-cover</f>
        <v>1426.97</v>
      </c>
      <c r="F186" s="50" t="n">
        <f aca="false">'Z4 WTP-Ikana'!S18-'Z4 WTP-Ikana'!P18*C186/'Z4 WTP-Ikana'!G18</f>
        <v>1687.44146248245</v>
      </c>
      <c r="G186" s="51" t="n">
        <f aca="false">'Z4 WTP-Ikana'!$B$8-E186</f>
        <v>241.03</v>
      </c>
      <c r="H186" s="52" t="n">
        <f aca="false">F186-E186</f>
        <v>260.471462482449</v>
      </c>
      <c r="I186" s="52" t="n">
        <f aca="false">MAX(H186,G186)</f>
        <v>260.471462482449</v>
      </c>
      <c r="J186" s="4" t="str">
        <f aca="false">IFERROR("PN"&amp;SMALL(PN_list,COUNTIF(PN_list,"&lt;"&amp;I186*bar_per_m)+1),"&gt; max PN")</f>
        <v>PN30</v>
      </c>
      <c r="K186" s="4" t="str">
        <f aca="false">IF(L186="no","end at tank",IF(H186&lt;0,"NEGATIVE",IF(H186&lt;p_min-0.005,"low","OK")))</f>
        <v>OK</v>
      </c>
      <c r="L186" s="4" t="s">
        <v>414</v>
      </c>
    </row>
    <row r="187" customFormat="false" ht="15" hidden="false" customHeight="false" outlineLevel="0" collapsed="false">
      <c r="A187" s="4" t="s">
        <v>40</v>
      </c>
      <c r="B187" s="4" t="s">
        <v>363</v>
      </c>
      <c r="C187" s="47" t="n">
        <v>7876.43</v>
      </c>
      <c r="D187" s="48" t="n">
        <v>1428.23</v>
      </c>
      <c r="E187" s="49" t="n">
        <f aca="false">D187-cover</f>
        <v>1427.03</v>
      </c>
      <c r="F187" s="50" t="n">
        <f aca="false">'Z4 WTP-Ikana'!S18-'Z4 WTP-Ikana'!P18*C187/'Z4 WTP-Ikana'!G18</f>
        <v>1687.36357922508</v>
      </c>
      <c r="G187" s="51" t="n">
        <f aca="false">'Z4 WTP-Ikana'!$B$8-E187</f>
        <v>240.97</v>
      </c>
      <c r="H187" s="52" t="n">
        <f aca="false">F187-E187</f>
        <v>260.333579225082</v>
      </c>
      <c r="I187" s="52" t="n">
        <f aca="false">MAX(H187,G187)</f>
        <v>260.333579225082</v>
      </c>
      <c r="J187" s="4" t="str">
        <f aca="false">IFERROR("PN"&amp;SMALL(PN_list,COUNTIF(PN_list,"&lt;"&amp;I187*bar_per_m)+1),"&gt; max PN")</f>
        <v>PN30</v>
      </c>
      <c r="K187" s="4" t="str">
        <f aca="false">IF(L187="no","end at tank",IF(H187&lt;0,"NEGATIVE",IF(H187&lt;p_min-0.005,"low","OK")))</f>
        <v>OK</v>
      </c>
      <c r="L187" s="4" t="s">
        <v>414</v>
      </c>
    </row>
    <row r="188" customFormat="false" ht="15" hidden="false" customHeight="false" outlineLevel="0" collapsed="false">
      <c r="A188" s="4" t="s">
        <v>40</v>
      </c>
      <c r="B188" s="4" t="s">
        <v>363</v>
      </c>
      <c r="C188" s="47" t="n">
        <v>7926.43</v>
      </c>
      <c r="D188" s="48" t="n">
        <v>1428.47</v>
      </c>
      <c r="E188" s="49" t="n">
        <f aca="false">D188-cover</f>
        <v>1427.27</v>
      </c>
      <c r="F188" s="50" t="n">
        <f aca="false">'Z4 WTP-Ikana'!S18-'Z4 WTP-Ikana'!P18*C188/'Z4 WTP-Ikana'!G18</f>
        <v>1687.28569596772</v>
      </c>
      <c r="G188" s="51" t="n">
        <f aca="false">'Z4 WTP-Ikana'!$B$8-E188</f>
        <v>240.73</v>
      </c>
      <c r="H188" s="52" t="n">
        <f aca="false">F188-E188</f>
        <v>260.015695967715</v>
      </c>
      <c r="I188" s="52" t="n">
        <f aca="false">MAX(H188,G188)</f>
        <v>260.015695967715</v>
      </c>
      <c r="J188" s="4" t="str">
        <f aca="false">IFERROR("PN"&amp;SMALL(PN_list,COUNTIF(PN_list,"&lt;"&amp;I188*bar_per_m)+1),"&gt; max PN")</f>
        <v>PN30</v>
      </c>
      <c r="K188" s="4" t="str">
        <f aca="false">IF(L188="no","end at tank",IF(H188&lt;0,"NEGATIVE",IF(H188&lt;p_min-0.005,"low","OK")))</f>
        <v>OK</v>
      </c>
      <c r="L188" s="4" t="s">
        <v>414</v>
      </c>
    </row>
    <row r="189" customFormat="false" ht="15" hidden="false" customHeight="false" outlineLevel="0" collapsed="false">
      <c r="A189" s="4" t="s">
        <v>40</v>
      </c>
      <c r="B189" s="4" t="s">
        <v>363</v>
      </c>
      <c r="C189" s="47" t="n">
        <v>7976.43</v>
      </c>
      <c r="D189" s="48" t="n">
        <v>1428.35</v>
      </c>
      <c r="E189" s="49" t="n">
        <f aca="false">D189-cover</f>
        <v>1427.15</v>
      </c>
      <c r="F189" s="50" t="n">
        <f aca="false">'Z4 WTP-Ikana'!S18-'Z4 WTP-Ikana'!P18*C189/'Z4 WTP-Ikana'!G18</f>
        <v>1687.20781271035</v>
      </c>
      <c r="G189" s="51" t="n">
        <f aca="false">'Z4 WTP-Ikana'!$B$8-E189</f>
        <v>240.85</v>
      </c>
      <c r="H189" s="52" t="n">
        <f aca="false">F189-E189</f>
        <v>260.057812710348</v>
      </c>
      <c r="I189" s="52" t="n">
        <f aca="false">MAX(H189,G189)</f>
        <v>260.057812710348</v>
      </c>
      <c r="J189" s="4" t="str">
        <f aca="false">IFERROR("PN"&amp;SMALL(PN_list,COUNTIF(PN_list,"&lt;"&amp;I189*bar_per_m)+1),"&gt; max PN")</f>
        <v>PN30</v>
      </c>
      <c r="K189" s="4" t="str">
        <f aca="false">IF(L189="no","end at tank",IF(H189&lt;0,"NEGATIVE",IF(H189&lt;p_min-0.005,"low","OK")))</f>
        <v>OK</v>
      </c>
      <c r="L189" s="4" t="s">
        <v>414</v>
      </c>
    </row>
    <row r="190" customFormat="false" ht="15" hidden="false" customHeight="false" outlineLevel="0" collapsed="false">
      <c r="A190" s="4" t="s">
        <v>40</v>
      </c>
      <c r="B190" s="4" t="s">
        <v>363</v>
      </c>
      <c r="C190" s="47" t="n">
        <v>8026.44</v>
      </c>
      <c r="D190" s="48" t="n">
        <v>1428.65</v>
      </c>
      <c r="E190" s="49" t="n">
        <f aca="false">D190-cover</f>
        <v>1427.45</v>
      </c>
      <c r="F190" s="50" t="n">
        <f aca="false">'Z4 WTP-Ikana'!S18-'Z4 WTP-Ikana'!P18*C190/'Z4 WTP-Ikana'!G18</f>
        <v>1687.12991387633</v>
      </c>
      <c r="G190" s="51" t="n">
        <f aca="false">'Z4 WTP-Ikana'!$B$8-E190</f>
        <v>240.55</v>
      </c>
      <c r="H190" s="52" t="n">
        <f aca="false">F190-E190</f>
        <v>259.679913876329</v>
      </c>
      <c r="I190" s="52" t="n">
        <f aca="false">MAX(H190,G190)</f>
        <v>259.679913876329</v>
      </c>
      <c r="J190" s="4" t="str">
        <f aca="false">IFERROR("PN"&amp;SMALL(PN_list,COUNTIF(PN_list,"&lt;"&amp;I190*bar_per_m)+1),"&gt; max PN")</f>
        <v>PN30</v>
      </c>
      <c r="K190" s="4" t="str">
        <f aca="false">IF(L190="no","end at tank",IF(H190&lt;0,"NEGATIVE",IF(H190&lt;p_min-0.005,"low","OK")))</f>
        <v>OK</v>
      </c>
      <c r="L190" s="4" t="s">
        <v>414</v>
      </c>
    </row>
    <row r="191" customFormat="false" ht="15" hidden="false" customHeight="false" outlineLevel="0" collapsed="false">
      <c r="A191" s="4" t="s">
        <v>40</v>
      </c>
      <c r="B191" s="4" t="s">
        <v>363</v>
      </c>
      <c r="C191" s="47" t="n">
        <v>8076.44</v>
      </c>
      <c r="D191" s="48" t="n">
        <v>1429.44</v>
      </c>
      <c r="E191" s="49" t="n">
        <f aca="false">D191-cover</f>
        <v>1428.24</v>
      </c>
      <c r="F191" s="50" t="n">
        <f aca="false">'Z4 WTP-Ikana'!S18-'Z4 WTP-Ikana'!P18*C191/'Z4 WTP-Ikana'!G18</f>
        <v>1687.05203061896</v>
      </c>
      <c r="G191" s="51" t="n">
        <f aca="false">'Z4 WTP-Ikana'!$B$8-E191</f>
        <v>239.76</v>
      </c>
      <c r="H191" s="52" t="n">
        <f aca="false">F191-E191</f>
        <v>258.812030618962</v>
      </c>
      <c r="I191" s="52" t="n">
        <f aca="false">MAX(H191,G191)</f>
        <v>258.812030618962</v>
      </c>
      <c r="J191" s="4" t="str">
        <f aca="false">IFERROR("PN"&amp;SMALL(PN_list,COUNTIF(PN_list,"&lt;"&amp;I191*bar_per_m)+1),"&gt; max PN")</f>
        <v>PN30</v>
      </c>
      <c r="K191" s="4" t="str">
        <f aca="false">IF(L191="no","end at tank",IF(H191&lt;0,"NEGATIVE",IF(H191&lt;p_min-0.005,"low","OK")))</f>
        <v>OK</v>
      </c>
      <c r="L191" s="4" t="s">
        <v>414</v>
      </c>
    </row>
    <row r="192" customFormat="false" ht="15" hidden="false" customHeight="false" outlineLevel="0" collapsed="false">
      <c r="A192" s="4" t="s">
        <v>40</v>
      </c>
      <c r="B192" s="4" t="s">
        <v>363</v>
      </c>
      <c r="C192" s="47" t="n">
        <v>8126.44</v>
      </c>
      <c r="D192" s="48" t="n">
        <v>1429.47</v>
      </c>
      <c r="E192" s="49" t="n">
        <f aca="false">D192-cover</f>
        <v>1428.27</v>
      </c>
      <c r="F192" s="50" t="n">
        <f aca="false">'Z4 WTP-Ikana'!S18-'Z4 WTP-Ikana'!P18*C192/'Z4 WTP-Ikana'!G18</f>
        <v>1686.9741473616</v>
      </c>
      <c r="G192" s="51" t="n">
        <f aca="false">'Z4 WTP-Ikana'!$B$8-E192</f>
        <v>239.73</v>
      </c>
      <c r="H192" s="52" t="n">
        <f aca="false">F192-E192</f>
        <v>258.704147361595</v>
      </c>
      <c r="I192" s="52" t="n">
        <f aca="false">MAX(H192,G192)</f>
        <v>258.704147361595</v>
      </c>
      <c r="J192" s="4" t="str">
        <f aca="false">IFERROR("PN"&amp;SMALL(PN_list,COUNTIF(PN_list,"&lt;"&amp;I192*bar_per_m)+1),"&gt; max PN")</f>
        <v>PN30</v>
      </c>
      <c r="K192" s="4" t="str">
        <f aca="false">IF(L192="no","end at tank",IF(H192&lt;0,"NEGATIVE",IF(H192&lt;p_min-0.005,"low","OK")))</f>
        <v>OK</v>
      </c>
      <c r="L192" s="4" t="s">
        <v>414</v>
      </c>
    </row>
    <row r="193" customFormat="false" ht="15" hidden="false" customHeight="false" outlineLevel="0" collapsed="false">
      <c r="A193" s="4" t="s">
        <v>40</v>
      </c>
      <c r="B193" s="4" t="s">
        <v>363</v>
      </c>
      <c r="C193" s="47" t="n">
        <v>8176.45</v>
      </c>
      <c r="D193" s="48" t="n">
        <v>1428.89</v>
      </c>
      <c r="E193" s="49" t="n">
        <f aca="false">D193-cover</f>
        <v>1427.69</v>
      </c>
      <c r="F193" s="50" t="n">
        <f aca="false">'Z4 WTP-Ikana'!S18-'Z4 WTP-Ikana'!P18*C193/'Z4 WTP-Ikana'!G18</f>
        <v>1686.89624852758</v>
      </c>
      <c r="G193" s="51" t="n">
        <f aca="false">'Z4 WTP-Ikana'!$B$8-E193</f>
        <v>240.31</v>
      </c>
      <c r="H193" s="52" t="n">
        <f aca="false">F193-E193</f>
        <v>259.206248527577</v>
      </c>
      <c r="I193" s="52" t="n">
        <f aca="false">MAX(H193,G193)</f>
        <v>259.206248527577</v>
      </c>
      <c r="J193" s="4" t="str">
        <f aca="false">IFERROR("PN"&amp;SMALL(PN_list,COUNTIF(PN_list,"&lt;"&amp;I193*bar_per_m)+1),"&gt; max PN")</f>
        <v>PN30</v>
      </c>
      <c r="K193" s="4" t="str">
        <f aca="false">IF(L193="no","end at tank",IF(H193&lt;0,"NEGATIVE",IF(H193&lt;p_min-0.005,"low","OK")))</f>
        <v>OK</v>
      </c>
      <c r="L193" s="4" t="s">
        <v>414</v>
      </c>
    </row>
    <row r="194" customFormat="false" ht="15" hidden="false" customHeight="false" outlineLevel="0" collapsed="false">
      <c r="A194" s="4" t="s">
        <v>40</v>
      </c>
      <c r="B194" s="4" t="s">
        <v>363</v>
      </c>
      <c r="C194" s="47" t="n">
        <v>8226.45</v>
      </c>
      <c r="D194" s="48" t="n">
        <v>1428.94</v>
      </c>
      <c r="E194" s="49" t="n">
        <f aca="false">D194-cover</f>
        <v>1427.74</v>
      </c>
      <c r="F194" s="50" t="n">
        <f aca="false">'Z4 WTP-Ikana'!S18-'Z4 WTP-Ikana'!P18*C194/'Z4 WTP-Ikana'!G18</f>
        <v>1686.81836527021</v>
      </c>
      <c r="G194" s="51" t="n">
        <f aca="false">'Z4 WTP-Ikana'!$B$8-E194</f>
        <v>240.26</v>
      </c>
      <c r="H194" s="52" t="n">
        <f aca="false">F194-E194</f>
        <v>259.07836527021</v>
      </c>
      <c r="I194" s="52" t="n">
        <f aca="false">MAX(H194,G194)</f>
        <v>259.07836527021</v>
      </c>
      <c r="J194" s="4" t="str">
        <f aca="false">IFERROR("PN"&amp;SMALL(PN_list,COUNTIF(PN_list,"&lt;"&amp;I194*bar_per_m)+1),"&gt; max PN")</f>
        <v>PN30</v>
      </c>
      <c r="K194" s="4" t="str">
        <f aca="false">IF(L194="no","end at tank",IF(H194&lt;0,"NEGATIVE",IF(H194&lt;p_min-0.005,"low","OK")))</f>
        <v>OK</v>
      </c>
      <c r="L194" s="4" t="s">
        <v>414</v>
      </c>
    </row>
    <row r="195" customFormat="false" ht="15" hidden="false" customHeight="false" outlineLevel="0" collapsed="false">
      <c r="A195" s="4" t="s">
        <v>40</v>
      </c>
      <c r="B195" s="4" t="s">
        <v>363</v>
      </c>
      <c r="C195" s="47" t="n">
        <v>8276.45</v>
      </c>
      <c r="D195" s="48" t="n">
        <v>1428.77</v>
      </c>
      <c r="E195" s="49" t="n">
        <f aca="false">D195-cover</f>
        <v>1427.57</v>
      </c>
      <c r="F195" s="50" t="n">
        <f aca="false">'Z4 WTP-Ikana'!S18-'Z4 WTP-Ikana'!P18*C195/'Z4 WTP-Ikana'!G18</f>
        <v>1686.74048201284</v>
      </c>
      <c r="G195" s="51" t="n">
        <f aca="false">'Z4 WTP-Ikana'!$B$8-E195</f>
        <v>240.43</v>
      </c>
      <c r="H195" s="52" t="n">
        <f aca="false">F195-E195</f>
        <v>259.170482012843</v>
      </c>
      <c r="I195" s="52" t="n">
        <f aca="false">MAX(H195,G195)</f>
        <v>259.170482012843</v>
      </c>
      <c r="J195" s="4" t="str">
        <f aca="false">IFERROR("PN"&amp;SMALL(PN_list,COUNTIF(PN_list,"&lt;"&amp;I195*bar_per_m)+1),"&gt; max PN")</f>
        <v>PN30</v>
      </c>
      <c r="K195" s="4" t="str">
        <f aca="false">IF(L195="no","end at tank",IF(H195&lt;0,"NEGATIVE",IF(H195&lt;p_min-0.005,"low","OK")))</f>
        <v>OK</v>
      </c>
      <c r="L195" s="4" t="s">
        <v>414</v>
      </c>
    </row>
    <row r="196" customFormat="false" ht="15" hidden="false" customHeight="false" outlineLevel="0" collapsed="false">
      <c r="A196" s="4" t="s">
        <v>40</v>
      </c>
      <c r="B196" s="4" t="s">
        <v>363</v>
      </c>
      <c r="C196" s="47" t="n">
        <v>8326.45</v>
      </c>
      <c r="D196" s="48" t="n">
        <v>1429.09</v>
      </c>
      <c r="E196" s="49" t="n">
        <f aca="false">D196-cover</f>
        <v>1427.89</v>
      </c>
      <c r="F196" s="50" t="n">
        <f aca="false">'Z4 WTP-Ikana'!S18-'Z4 WTP-Ikana'!P18*C196/'Z4 WTP-Ikana'!G18</f>
        <v>1686.66259875548</v>
      </c>
      <c r="G196" s="51" t="n">
        <f aca="false">'Z4 WTP-Ikana'!$B$8-E196</f>
        <v>240.11</v>
      </c>
      <c r="H196" s="52" t="n">
        <f aca="false">F196-E196</f>
        <v>258.772598755476</v>
      </c>
      <c r="I196" s="52" t="n">
        <f aca="false">MAX(H196,G196)</f>
        <v>258.772598755476</v>
      </c>
      <c r="J196" s="4" t="str">
        <f aca="false">IFERROR("PN"&amp;SMALL(PN_list,COUNTIF(PN_list,"&lt;"&amp;I196*bar_per_m)+1),"&gt; max PN")</f>
        <v>PN30</v>
      </c>
      <c r="K196" s="4" t="str">
        <f aca="false">IF(L196="no","end at tank",IF(H196&lt;0,"NEGATIVE",IF(H196&lt;p_min-0.005,"low","OK")))</f>
        <v>OK</v>
      </c>
      <c r="L196" s="4" t="s">
        <v>414</v>
      </c>
    </row>
    <row r="197" customFormat="false" ht="15" hidden="false" customHeight="false" outlineLevel="0" collapsed="false">
      <c r="A197" s="4" t="s">
        <v>40</v>
      </c>
      <c r="B197" s="4" t="s">
        <v>363</v>
      </c>
      <c r="C197" s="47" t="n">
        <v>8376.45</v>
      </c>
      <c r="D197" s="48" t="n">
        <v>1429.26</v>
      </c>
      <c r="E197" s="49" t="n">
        <f aca="false">D197-cover</f>
        <v>1428.06</v>
      </c>
      <c r="F197" s="50" t="n">
        <f aca="false">'Z4 WTP-Ikana'!S18-'Z4 WTP-Ikana'!P18*C197/'Z4 WTP-Ikana'!G18</f>
        <v>1686.58471549811</v>
      </c>
      <c r="G197" s="51" t="n">
        <f aca="false">'Z4 WTP-Ikana'!$B$8-E197</f>
        <v>239.94</v>
      </c>
      <c r="H197" s="52" t="n">
        <f aca="false">F197-E197</f>
        <v>258.524715498108</v>
      </c>
      <c r="I197" s="52" t="n">
        <f aca="false">MAX(H197,G197)</f>
        <v>258.524715498108</v>
      </c>
      <c r="J197" s="4" t="str">
        <f aca="false">IFERROR("PN"&amp;SMALL(PN_list,COUNTIF(PN_list,"&lt;"&amp;I197*bar_per_m)+1),"&gt; max PN")</f>
        <v>PN30</v>
      </c>
      <c r="K197" s="4" t="str">
        <f aca="false">IF(L197="no","end at tank",IF(H197&lt;0,"NEGATIVE",IF(H197&lt;p_min-0.005,"low","OK")))</f>
        <v>OK</v>
      </c>
      <c r="L197" s="4" t="s">
        <v>414</v>
      </c>
    </row>
    <row r="198" customFormat="false" ht="15" hidden="false" customHeight="false" outlineLevel="0" collapsed="false">
      <c r="A198" s="4" t="s">
        <v>40</v>
      </c>
      <c r="B198" s="4" t="s">
        <v>363</v>
      </c>
      <c r="C198" s="47" t="n">
        <v>8426.45</v>
      </c>
      <c r="D198" s="48" t="n">
        <v>1428.36</v>
      </c>
      <c r="E198" s="49" t="n">
        <f aca="false">D198-cover</f>
        <v>1427.16</v>
      </c>
      <c r="F198" s="50" t="n">
        <f aca="false">'Z4 WTP-Ikana'!S18-'Z4 WTP-Ikana'!P18*C198/'Z4 WTP-Ikana'!G18</f>
        <v>1686.50683224074</v>
      </c>
      <c r="G198" s="51" t="n">
        <f aca="false">'Z4 WTP-Ikana'!$B$8-E198</f>
        <v>240.84</v>
      </c>
      <c r="H198" s="52" t="n">
        <f aca="false">F198-E198</f>
        <v>259.346832240742</v>
      </c>
      <c r="I198" s="52" t="n">
        <f aca="false">MAX(H198,G198)</f>
        <v>259.346832240742</v>
      </c>
      <c r="J198" s="4" t="str">
        <f aca="false">IFERROR("PN"&amp;SMALL(PN_list,COUNTIF(PN_list,"&lt;"&amp;I198*bar_per_m)+1),"&gt; max PN")</f>
        <v>PN30</v>
      </c>
      <c r="K198" s="4" t="str">
        <f aca="false">IF(L198="no","end at tank",IF(H198&lt;0,"NEGATIVE",IF(H198&lt;p_min-0.005,"low","OK")))</f>
        <v>OK</v>
      </c>
      <c r="L198" s="4" t="s">
        <v>414</v>
      </c>
    </row>
    <row r="199" customFormat="false" ht="15" hidden="false" customHeight="false" outlineLevel="0" collapsed="false">
      <c r="A199" s="4" t="s">
        <v>40</v>
      </c>
      <c r="B199" s="4" t="s">
        <v>363</v>
      </c>
      <c r="C199" s="47" t="n">
        <v>8476.46</v>
      </c>
      <c r="D199" s="48" t="n">
        <v>1428.03</v>
      </c>
      <c r="E199" s="49" t="n">
        <f aca="false">D199-cover</f>
        <v>1426.83</v>
      </c>
      <c r="F199" s="50" t="n">
        <f aca="false">'Z4 WTP-Ikana'!S18-'Z4 WTP-Ikana'!P18*C199/'Z4 WTP-Ikana'!G18</f>
        <v>1686.42893340672</v>
      </c>
      <c r="G199" s="51" t="n">
        <f aca="false">'Z4 WTP-Ikana'!$B$8-E199</f>
        <v>241.17</v>
      </c>
      <c r="H199" s="52" t="n">
        <f aca="false">F199-E199</f>
        <v>259.598933406723</v>
      </c>
      <c r="I199" s="52" t="n">
        <f aca="false">MAX(H199,G199)</f>
        <v>259.598933406723</v>
      </c>
      <c r="J199" s="4" t="str">
        <f aca="false">IFERROR("PN"&amp;SMALL(PN_list,COUNTIF(PN_list,"&lt;"&amp;I199*bar_per_m)+1),"&gt; max PN")</f>
        <v>PN30</v>
      </c>
      <c r="K199" s="4" t="str">
        <f aca="false">IF(L199="no","end at tank",IF(H199&lt;0,"NEGATIVE",IF(H199&lt;p_min-0.005,"low","OK")))</f>
        <v>OK</v>
      </c>
      <c r="L199" s="4" t="s">
        <v>414</v>
      </c>
    </row>
    <row r="200" customFormat="false" ht="15" hidden="false" customHeight="false" outlineLevel="0" collapsed="false">
      <c r="A200" s="4" t="s">
        <v>40</v>
      </c>
      <c r="B200" s="4" t="s">
        <v>363</v>
      </c>
      <c r="C200" s="47" t="n">
        <v>8526.46</v>
      </c>
      <c r="D200" s="48" t="n">
        <v>1427.63</v>
      </c>
      <c r="E200" s="49" t="n">
        <f aca="false">D200-cover</f>
        <v>1426.43</v>
      </c>
      <c r="F200" s="50" t="n">
        <f aca="false">'Z4 WTP-Ikana'!S18-'Z4 WTP-Ikana'!P18*C200/'Z4 WTP-Ikana'!G18</f>
        <v>1686.35105014936</v>
      </c>
      <c r="G200" s="51" t="n">
        <f aca="false">'Z4 WTP-Ikana'!$B$8-E200</f>
        <v>241.57</v>
      </c>
      <c r="H200" s="52" t="n">
        <f aca="false">F200-E200</f>
        <v>259.921050149356</v>
      </c>
      <c r="I200" s="52" t="n">
        <f aca="false">MAX(H200,G200)</f>
        <v>259.921050149356</v>
      </c>
      <c r="J200" s="4" t="str">
        <f aca="false">IFERROR("PN"&amp;SMALL(PN_list,COUNTIF(PN_list,"&lt;"&amp;I200*bar_per_m)+1),"&gt; max PN")</f>
        <v>PN30</v>
      </c>
      <c r="K200" s="4" t="str">
        <f aca="false">IF(L200="no","end at tank",IF(H200&lt;0,"NEGATIVE",IF(H200&lt;p_min-0.005,"low","OK")))</f>
        <v>OK</v>
      </c>
      <c r="L200" s="4" t="s">
        <v>414</v>
      </c>
    </row>
    <row r="201" customFormat="false" ht="15" hidden="false" customHeight="false" outlineLevel="0" collapsed="false">
      <c r="A201" s="4" t="s">
        <v>40</v>
      </c>
      <c r="B201" s="4" t="s">
        <v>363</v>
      </c>
      <c r="C201" s="47" t="n">
        <v>8576.46</v>
      </c>
      <c r="D201" s="48" t="n">
        <v>1427.43</v>
      </c>
      <c r="E201" s="49" t="n">
        <f aca="false">D201-cover</f>
        <v>1426.23</v>
      </c>
      <c r="F201" s="50" t="n">
        <f aca="false">'Z4 WTP-Ikana'!S18-'Z4 WTP-Ikana'!P18*C201/'Z4 WTP-Ikana'!G18</f>
        <v>1686.27316689199</v>
      </c>
      <c r="G201" s="51" t="n">
        <f aca="false">'Z4 WTP-Ikana'!$B$8-E201</f>
        <v>241.77</v>
      </c>
      <c r="H201" s="52" t="n">
        <f aca="false">F201-E201</f>
        <v>260.043166891989</v>
      </c>
      <c r="I201" s="52" t="n">
        <f aca="false">MAX(H201,G201)</f>
        <v>260.043166891989</v>
      </c>
      <c r="J201" s="4" t="str">
        <f aca="false">IFERROR("PN"&amp;SMALL(PN_list,COUNTIF(PN_list,"&lt;"&amp;I201*bar_per_m)+1),"&gt; max PN")</f>
        <v>PN30</v>
      </c>
      <c r="K201" s="4" t="str">
        <f aca="false">IF(L201="no","end at tank",IF(H201&lt;0,"NEGATIVE",IF(H201&lt;p_min-0.005,"low","OK")))</f>
        <v>OK</v>
      </c>
      <c r="L201" s="4" t="s">
        <v>414</v>
      </c>
    </row>
    <row r="202" customFormat="false" ht="15" hidden="false" customHeight="false" outlineLevel="0" collapsed="false">
      <c r="A202" s="4" t="s">
        <v>40</v>
      </c>
      <c r="B202" s="4" t="s">
        <v>363</v>
      </c>
      <c r="C202" s="47" t="n">
        <v>8626.46</v>
      </c>
      <c r="D202" s="48" t="n">
        <v>1427.25</v>
      </c>
      <c r="E202" s="49" t="n">
        <f aca="false">D202-cover</f>
        <v>1426.05</v>
      </c>
      <c r="F202" s="50" t="n">
        <f aca="false">'Z4 WTP-Ikana'!S18-'Z4 WTP-Ikana'!P18*C202/'Z4 WTP-Ikana'!G18</f>
        <v>1686.19528363462</v>
      </c>
      <c r="G202" s="51" t="n">
        <f aca="false">'Z4 WTP-Ikana'!$B$8-E202</f>
        <v>241.95</v>
      </c>
      <c r="H202" s="52" t="n">
        <f aca="false">F202-E202</f>
        <v>260.145283634622</v>
      </c>
      <c r="I202" s="52" t="n">
        <f aca="false">MAX(H202,G202)</f>
        <v>260.145283634622</v>
      </c>
      <c r="J202" s="4" t="str">
        <f aca="false">IFERROR("PN"&amp;SMALL(PN_list,COUNTIF(PN_list,"&lt;"&amp;I202*bar_per_m)+1),"&gt; max PN")</f>
        <v>PN30</v>
      </c>
      <c r="K202" s="4" t="str">
        <f aca="false">IF(L202="no","end at tank",IF(H202&lt;0,"NEGATIVE",IF(H202&lt;p_min-0.005,"low","OK")))</f>
        <v>OK</v>
      </c>
      <c r="L202" s="4" t="s">
        <v>414</v>
      </c>
    </row>
    <row r="203" customFormat="false" ht="15" hidden="false" customHeight="false" outlineLevel="0" collapsed="false">
      <c r="A203" s="4" t="s">
        <v>40</v>
      </c>
      <c r="B203" s="4" t="s">
        <v>363</v>
      </c>
      <c r="C203" s="47" t="n">
        <v>8676.46</v>
      </c>
      <c r="D203" s="48" t="n">
        <v>1427.59</v>
      </c>
      <c r="E203" s="49" t="n">
        <f aca="false">D203-cover</f>
        <v>1426.39</v>
      </c>
      <c r="F203" s="50" t="n">
        <f aca="false">'Z4 WTP-Ikana'!S18-'Z4 WTP-Ikana'!P18*C203/'Z4 WTP-Ikana'!G18</f>
        <v>1686.11740037725</v>
      </c>
      <c r="G203" s="51" t="n">
        <f aca="false">'Z4 WTP-Ikana'!$B$8-E203</f>
        <v>241.61</v>
      </c>
      <c r="H203" s="52" t="n">
        <f aca="false">F203-E203</f>
        <v>259.727400377255</v>
      </c>
      <c r="I203" s="52" t="n">
        <f aca="false">MAX(H203,G203)</f>
        <v>259.727400377255</v>
      </c>
      <c r="J203" s="4" t="str">
        <f aca="false">IFERROR("PN"&amp;SMALL(PN_list,COUNTIF(PN_list,"&lt;"&amp;I203*bar_per_m)+1),"&gt; max PN")</f>
        <v>PN30</v>
      </c>
      <c r="K203" s="4" t="str">
        <f aca="false">IF(L203="no","end at tank",IF(H203&lt;0,"NEGATIVE",IF(H203&lt;p_min-0.005,"low","OK")))</f>
        <v>OK</v>
      </c>
      <c r="L203" s="4" t="s">
        <v>414</v>
      </c>
    </row>
    <row r="204" customFormat="false" ht="15" hidden="false" customHeight="false" outlineLevel="0" collapsed="false">
      <c r="A204" s="4" t="s">
        <v>40</v>
      </c>
      <c r="B204" s="4" t="s">
        <v>363</v>
      </c>
      <c r="C204" s="47" t="n">
        <v>8726.46</v>
      </c>
      <c r="D204" s="48" t="n">
        <v>1427.04</v>
      </c>
      <c r="E204" s="49" t="n">
        <f aca="false">D204-cover</f>
        <v>1425.84</v>
      </c>
      <c r="F204" s="50" t="n">
        <f aca="false">'Z4 WTP-Ikana'!S18-'Z4 WTP-Ikana'!P18*C204/'Z4 WTP-Ikana'!G18</f>
        <v>1686.03951711989</v>
      </c>
      <c r="G204" s="51" t="n">
        <f aca="false">'Z4 WTP-Ikana'!$B$8-E204</f>
        <v>242.16</v>
      </c>
      <c r="H204" s="52" t="n">
        <f aca="false">F204-E204</f>
        <v>260.199517119888</v>
      </c>
      <c r="I204" s="52" t="n">
        <f aca="false">MAX(H204,G204)</f>
        <v>260.199517119888</v>
      </c>
      <c r="J204" s="4" t="str">
        <f aca="false">IFERROR("PN"&amp;SMALL(PN_list,COUNTIF(PN_list,"&lt;"&amp;I204*bar_per_m)+1),"&gt; max PN")</f>
        <v>PN30</v>
      </c>
      <c r="K204" s="4" t="str">
        <f aca="false">IF(L204="no","end at tank",IF(H204&lt;0,"NEGATIVE",IF(H204&lt;p_min-0.005,"low","OK")))</f>
        <v>OK</v>
      </c>
      <c r="L204" s="4" t="s">
        <v>414</v>
      </c>
    </row>
    <row r="205" customFormat="false" ht="15" hidden="false" customHeight="false" outlineLevel="0" collapsed="false">
      <c r="A205" s="4" t="s">
        <v>40</v>
      </c>
      <c r="B205" s="4" t="s">
        <v>363</v>
      </c>
      <c r="C205" s="47" t="n">
        <v>8776.46</v>
      </c>
      <c r="D205" s="48" t="n">
        <v>1427.08</v>
      </c>
      <c r="E205" s="49" t="n">
        <f aca="false">D205-cover</f>
        <v>1425.88</v>
      </c>
      <c r="F205" s="50" t="n">
        <f aca="false">'Z4 WTP-Ikana'!S18-'Z4 WTP-Ikana'!P18*C205/'Z4 WTP-Ikana'!G18</f>
        <v>1685.96163386252</v>
      </c>
      <c r="G205" s="51" t="n">
        <f aca="false">'Z4 WTP-Ikana'!$B$8-E205</f>
        <v>242.12</v>
      </c>
      <c r="H205" s="52" t="n">
        <f aca="false">F205-E205</f>
        <v>260.081633862521</v>
      </c>
      <c r="I205" s="52" t="n">
        <f aca="false">MAX(H205,G205)</f>
        <v>260.081633862521</v>
      </c>
      <c r="J205" s="4" t="str">
        <f aca="false">IFERROR("PN"&amp;SMALL(PN_list,COUNTIF(PN_list,"&lt;"&amp;I205*bar_per_m)+1),"&gt; max PN")</f>
        <v>PN30</v>
      </c>
      <c r="K205" s="4" t="str">
        <f aca="false">IF(L205="no","end at tank",IF(H205&lt;0,"NEGATIVE",IF(H205&lt;p_min-0.005,"low","OK")))</f>
        <v>OK</v>
      </c>
      <c r="L205" s="4" t="s">
        <v>414</v>
      </c>
    </row>
    <row r="206" customFormat="false" ht="15" hidden="false" customHeight="false" outlineLevel="0" collapsed="false">
      <c r="A206" s="4" t="s">
        <v>40</v>
      </c>
      <c r="B206" s="4" t="s">
        <v>363</v>
      </c>
      <c r="C206" s="47" t="n">
        <v>8826.46</v>
      </c>
      <c r="D206" s="48" t="n">
        <v>1427.35</v>
      </c>
      <c r="E206" s="49" t="n">
        <f aca="false">D206-cover</f>
        <v>1426.15</v>
      </c>
      <c r="F206" s="50" t="n">
        <f aca="false">'Z4 WTP-Ikana'!S18-'Z4 WTP-Ikana'!P18*C206/'Z4 WTP-Ikana'!G18</f>
        <v>1685.88375060515</v>
      </c>
      <c r="G206" s="51" t="n">
        <f aca="false">'Z4 WTP-Ikana'!$B$8-E206</f>
        <v>241.85</v>
      </c>
      <c r="H206" s="52" t="n">
        <f aca="false">F206-E206</f>
        <v>259.733750605154</v>
      </c>
      <c r="I206" s="52" t="n">
        <f aca="false">MAX(H206,G206)</f>
        <v>259.733750605154</v>
      </c>
      <c r="J206" s="4" t="str">
        <f aca="false">IFERROR("PN"&amp;SMALL(PN_list,COUNTIF(PN_list,"&lt;"&amp;I206*bar_per_m)+1),"&gt; max PN")</f>
        <v>PN30</v>
      </c>
      <c r="K206" s="4" t="str">
        <f aca="false">IF(L206="no","end at tank",IF(H206&lt;0,"NEGATIVE",IF(H206&lt;p_min-0.005,"low","OK")))</f>
        <v>OK</v>
      </c>
      <c r="L206" s="4" t="s">
        <v>414</v>
      </c>
    </row>
    <row r="207" customFormat="false" ht="15" hidden="false" customHeight="false" outlineLevel="0" collapsed="false">
      <c r="A207" s="4" t="s">
        <v>40</v>
      </c>
      <c r="B207" s="4" t="s">
        <v>363</v>
      </c>
      <c r="C207" s="47" t="n">
        <v>8876.46</v>
      </c>
      <c r="D207" s="48" t="n">
        <v>1427.23</v>
      </c>
      <c r="E207" s="49" t="n">
        <f aca="false">D207-cover</f>
        <v>1426.03</v>
      </c>
      <c r="F207" s="50" t="n">
        <f aca="false">'Z4 WTP-Ikana'!S18-'Z4 WTP-Ikana'!P18*C207/'Z4 WTP-Ikana'!G18</f>
        <v>1685.80586734779</v>
      </c>
      <c r="G207" s="51" t="n">
        <f aca="false">'Z4 WTP-Ikana'!$B$8-E207</f>
        <v>241.97</v>
      </c>
      <c r="H207" s="52" t="n">
        <f aca="false">F207-E207</f>
        <v>259.775867347786</v>
      </c>
      <c r="I207" s="52" t="n">
        <f aca="false">MAX(H207,G207)</f>
        <v>259.775867347786</v>
      </c>
      <c r="J207" s="4" t="str">
        <f aca="false">IFERROR("PN"&amp;SMALL(PN_list,COUNTIF(PN_list,"&lt;"&amp;I207*bar_per_m)+1),"&gt; max PN")</f>
        <v>PN30</v>
      </c>
      <c r="K207" s="4" t="str">
        <f aca="false">IF(L207="no","end at tank",IF(H207&lt;0,"NEGATIVE",IF(H207&lt;p_min-0.005,"low","OK")))</f>
        <v>OK</v>
      </c>
      <c r="L207" s="4" t="s">
        <v>414</v>
      </c>
    </row>
    <row r="208" customFormat="false" ht="15" hidden="false" customHeight="false" outlineLevel="0" collapsed="false">
      <c r="A208" s="4" t="s">
        <v>40</v>
      </c>
      <c r="B208" s="4" t="s">
        <v>363</v>
      </c>
      <c r="C208" s="47" t="n">
        <v>8926.47</v>
      </c>
      <c r="D208" s="48" t="n">
        <v>1427.71</v>
      </c>
      <c r="E208" s="49" t="n">
        <f aca="false">D208-cover</f>
        <v>1426.51</v>
      </c>
      <c r="F208" s="50" t="n">
        <f aca="false">'Z4 WTP-Ikana'!S18-'Z4 WTP-Ikana'!P18*C208/'Z4 WTP-Ikana'!G18</f>
        <v>1685.72796851377</v>
      </c>
      <c r="G208" s="51" t="n">
        <f aca="false">'Z4 WTP-Ikana'!$B$8-E208</f>
        <v>241.49</v>
      </c>
      <c r="H208" s="52" t="n">
        <f aca="false">F208-E208</f>
        <v>259.217968513768</v>
      </c>
      <c r="I208" s="52" t="n">
        <f aca="false">MAX(H208,G208)</f>
        <v>259.217968513768</v>
      </c>
      <c r="J208" s="4" t="str">
        <f aca="false">IFERROR("PN"&amp;SMALL(PN_list,COUNTIF(PN_list,"&lt;"&amp;I208*bar_per_m)+1),"&gt; max PN")</f>
        <v>PN30</v>
      </c>
      <c r="K208" s="4" t="str">
        <f aca="false">IF(L208="no","end at tank",IF(H208&lt;0,"NEGATIVE",IF(H208&lt;p_min-0.005,"low","OK")))</f>
        <v>OK</v>
      </c>
      <c r="L208" s="4" t="s">
        <v>414</v>
      </c>
    </row>
    <row r="209" customFormat="false" ht="15" hidden="false" customHeight="false" outlineLevel="0" collapsed="false">
      <c r="A209" s="4" t="s">
        <v>40</v>
      </c>
      <c r="B209" s="4" t="s">
        <v>363</v>
      </c>
      <c r="C209" s="47" t="n">
        <v>8976.47</v>
      </c>
      <c r="D209" s="48" t="n">
        <v>1428.1</v>
      </c>
      <c r="E209" s="49" t="n">
        <f aca="false">D209-cover</f>
        <v>1426.9</v>
      </c>
      <c r="F209" s="50" t="n">
        <f aca="false">'Z4 WTP-Ikana'!S18-'Z4 WTP-Ikana'!P18*C209/'Z4 WTP-Ikana'!G18</f>
        <v>1685.6500852564</v>
      </c>
      <c r="G209" s="51" t="n">
        <f aca="false">'Z4 WTP-Ikana'!$B$8-E209</f>
        <v>241.1</v>
      </c>
      <c r="H209" s="52" t="n">
        <f aca="false">F209-E209</f>
        <v>258.750085256401</v>
      </c>
      <c r="I209" s="52" t="n">
        <f aca="false">MAX(H209,G209)</f>
        <v>258.750085256401</v>
      </c>
      <c r="J209" s="4" t="str">
        <f aca="false">IFERROR("PN"&amp;SMALL(PN_list,COUNTIF(PN_list,"&lt;"&amp;I209*bar_per_m)+1),"&gt; max PN")</f>
        <v>PN30</v>
      </c>
      <c r="K209" s="4" t="str">
        <f aca="false">IF(L209="no","end at tank",IF(H209&lt;0,"NEGATIVE",IF(H209&lt;p_min-0.005,"low","OK")))</f>
        <v>OK</v>
      </c>
      <c r="L209" s="4" t="s">
        <v>414</v>
      </c>
    </row>
    <row r="210" customFormat="false" ht="15" hidden="false" customHeight="false" outlineLevel="0" collapsed="false">
      <c r="A210" s="4" t="s">
        <v>40</v>
      </c>
      <c r="B210" s="4" t="s">
        <v>363</v>
      </c>
      <c r="C210" s="47" t="n">
        <v>9026.47</v>
      </c>
      <c r="D210" s="48" t="n">
        <v>1428.86</v>
      </c>
      <c r="E210" s="49" t="n">
        <f aca="false">D210-cover</f>
        <v>1427.66</v>
      </c>
      <c r="F210" s="50" t="n">
        <f aca="false">'Z4 WTP-Ikana'!S18-'Z4 WTP-Ikana'!P18*C210/'Z4 WTP-Ikana'!G18</f>
        <v>1685.57220199903</v>
      </c>
      <c r="G210" s="51" t="n">
        <f aca="false">'Z4 WTP-Ikana'!$B$8-E210</f>
        <v>240.34</v>
      </c>
      <c r="H210" s="52" t="n">
        <f aca="false">F210-E210</f>
        <v>257.912201999034</v>
      </c>
      <c r="I210" s="52" t="n">
        <f aca="false">MAX(H210,G210)</f>
        <v>257.912201999034</v>
      </c>
      <c r="J210" s="4" t="str">
        <f aca="false">IFERROR("PN"&amp;SMALL(PN_list,COUNTIF(PN_list,"&lt;"&amp;I210*bar_per_m)+1),"&gt; max PN")</f>
        <v>PN30</v>
      </c>
      <c r="K210" s="4" t="str">
        <f aca="false">IF(L210="no","end at tank",IF(H210&lt;0,"NEGATIVE",IF(H210&lt;p_min-0.005,"low","OK")))</f>
        <v>OK</v>
      </c>
      <c r="L210" s="4" t="s">
        <v>414</v>
      </c>
    </row>
    <row r="211" customFormat="false" ht="15" hidden="false" customHeight="false" outlineLevel="0" collapsed="false">
      <c r="A211" s="4" t="s">
        <v>40</v>
      </c>
      <c r="B211" s="4" t="s">
        <v>363</v>
      </c>
      <c r="C211" s="47" t="n">
        <v>9076.48</v>
      </c>
      <c r="D211" s="48" t="n">
        <v>1429.55</v>
      </c>
      <c r="E211" s="49" t="n">
        <f aca="false">D211-cover</f>
        <v>1428.35</v>
      </c>
      <c r="F211" s="50" t="n">
        <f aca="false">'Z4 WTP-Ikana'!S18-'Z4 WTP-Ikana'!P18*C211/'Z4 WTP-Ikana'!G18</f>
        <v>1685.49430316502</v>
      </c>
      <c r="G211" s="51" t="n">
        <f aca="false">'Z4 WTP-Ikana'!$B$8-E211</f>
        <v>239.65</v>
      </c>
      <c r="H211" s="52" t="n">
        <f aca="false">F211-E211</f>
        <v>257.144303165015</v>
      </c>
      <c r="I211" s="52" t="n">
        <f aca="false">MAX(H211,G211)</f>
        <v>257.144303165015</v>
      </c>
      <c r="J211" s="4" t="str">
        <f aca="false">IFERROR("PN"&amp;SMALL(PN_list,COUNTIF(PN_list,"&lt;"&amp;I211*bar_per_m)+1),"&gt; max PN")</f>
        <v>PN30</v>
      </c>
      <c r="K211" s="4" t="str">
        <f aca="false">IF(L211="no","end at tank",IF(H211&lt;0,"NEGATIVE",IF(H211&lt;p_min-0.005,"low","OK")))</f>
        <v>OK</v>
      </c>
      <c r="L211" s="4" t="s">
        <v>414</v>
      </c>
    </row>
    <row r="212" customFormat="false" ht="15" hidden="false" customHeight="false" outlineLevel="0" collapsed="false">
      <c r="A212" s="4" t="s">
        <v>40</v>
      </c>
      <c r="B212" s="4" t="s">
        <v>363</v>
      </c>
      <c r="C212" s="47" t="n">
        <v>9126.48</v>
      </c>
      <c r="D212" s="48" t="n">
        <v>1429.71</v>
      </c>
      <c r="E212" s="49" t="n">
        <f aca="false">D212-cover</f>
        <v>1428.51</v>
      </c>
      <c r="F212" s="50" t="n">
        <f aca="false">'Z4 WTP-Ikana'!S18-'Z4 WTP-Ikana'!P18*C212/'Z4 WTP-Ikana'!G18</f>
        <v>1685.41641990765</v>
      </c>
      <c r="G212" s="51" t="n">
        <f aca="false">'Z4 WTP-Ikana'!$B$8-E212</f>
        <v>239.49</v>
      </c>
      <c r="H212" s="52" t="n">
        <f aca="false">F212-E212</f>
        <v>256.906419907648</v>
      </c>
      <c r="I212" s="52" t="n">
        <f aca="false">MAX(H212,G212)</f>
        <v>256.906419907648</v>
      </c>
      <c r="J212" s="4" t="str">
        <f aca="false">IFERROR("PN"&amp;SMALL(PN_list,COUNTIF(PN_list,"&lt;"&amp;I212*bar_per_m)+1),"&gt; max PN")</f>
        <v>PN30</v>
      </c>
      <c r="K212" s="4" t="str">
        <f aca="false">IF(L212="no","end at tank",IF(H212&lt;0,"NEGATIVE",IF(H212&lt;p_min-0.005,"low","OK")))</f>
        <v>OK</v>
      </c>
      <c r="L212" s="4" t="s">
        <v>414</v>
      </c>
    </row>
    <row r="213" customFormat="false" ht="15" hidden="false" customHeight="false" outlineLevel="0" collapsed="false">
      <c r="A213" s="4" t="s">
        <v>40</v>
      </c>
      <c r="B213" s="4" t="s">
        <v>363</v>
      </c>
      <c r="C213" s="47" t="n">
        <v>9176.48</v>
      </c>
      <c r="D213" s="48" t="n">
        <v>1429.55</v>
      </c>
      <c r="E213" s="49" t="n">
        <f aca="false">D213-cover</f>
        <v>1428.35</v>
      </c>
      <c r="F213" s="50" t="n">
        <f aca="false">'Z4 WTP-Ikana'!S18-'Z4 WTP-Ikana'!P18*C213/'Z4 WTP-Ikana'!G18</f>
        <v>1685.33853665028</v>
      </c>
      <c r="G213" s="51" t="n">
        <f aca="false">'Z4 WTP-Ikana'!$B$8-E213</f>
        <v>239.65</v>
      </c>
      <c r="H213" s="52" t="n">
        <f aca="false">F213-E213</f>
        <v>256.988536650281</v>
      </c>
      <c r="I213" s="52" t="n">
        <f aca="false">MAX(H213,G213)</f>
        <v>256.988536650281</v>
      </c>
      <c r="J213" s="4" t="str">
        <f aca="false">IFERROR("PN"&amp;SMALL(PN_list,COUNTIF(PN_list,"&lt;"&amp;I213*bar_per_m)+1),"&gt; max PN")</f>
        <v>PN30</v>
      </c>
      <c r="K213" s="4" t="str">
        <f aca="false">IF(L213="no","end at tank",IF(H213&lt;0,"NEGATIVE",IF(H213&lt;p_min-0.005,"low","OK")))</f>
        <v>OK</v>
      </c>
      <c r="L213" s="4" t="s">
        <v>414</v>
      </c>
    </row>
    <row r="214" customFormat="false" ht="15" hidden="false" customHeight="false" outlineLevel="0" collapsed="false">
      <c r="A214" s="4" t="s">
        <v>40</v>
      </c>
      <c r="B214" s="4" t="s">
        <v>363</v>
      </c>
      <c r="C214" s="47" t="n">
        <v>9226.48</v>
      </c>
      <c r="D214" s="48" t="n">
        <v>1429.91</v>
      </c>
      <c r="E214" s="49" t="n">
        <f aca="false">D214-cover</f>
        <v>1428.71</v>
      </c>
      <c r="F214" s="50" t="n">
        <f aca="false">'Z4 WTP-Ikana'!S18-'Z4 WTP-Ikana'!P18*C214/'Z4 WTP-Ikana'!G18</f>
        <v>1685.26065339291</v>
      </c>
      <c r="G214" s="51" t="n">
        <f aca="false">'Z4 WTP-Ikana'!$B$8-E214</f>
        <v>239.29</v>
      </c>
      <c r="H214" s="52" t="n">
        <f aca="false">F214-E214</f>
        <v>256.550653392914</v>
      </c>
      <c r="I214" s="52" t="n">
        <f aca="false">MAX(H214,G214)</f>
        <v>256.550653392914</v>
      </c>
      <c r="J214" s="4" t="str">
        <f aca="false">IFERROR("PN"&amp;SMALL(PN_list,COUNTIF(PN_list,"&lt;"&amp;I214*bar_per_m)+1),"&gt; max PN")</f>
        <v>PN30</v>
      </c>
      <c r="K214" s="4" t="str">
        <f aca="false">IF(L214="no","end at tank",IF(H214&lt;0,"NEGATIVE",IF(H214&lt;p_min-0.005,"low","OK")))</f>
        <v>OK</v>
      </c>
      <c r="L214" s="4" t="s">
        <v>414</v>
      </c>
    </row>
    <row r="215" customFormat="false" ht="15" hidden="false" customHeight="false" outlineLevel="0" collapsed="false">
      <c r="A215" s="4" t="s">
        <v>40</v>
      </c>
      <c r="B215" s="4" t="s">
        <v>363</v>
      </c>
      <c r="C215" s="47" t="n">
        <v>9276.48</v>
      </c>
      <c r="D215" s="48" t="n">
        <v>1430.21</v>
      </c>
      <c r="E215" s="49" t="n">
        <f aca="false">D215-cover</f>
        <v>1429.01</v>
      </c>
      <c r="F215" s="50" t="n">
        <f aca="false">'Z4 WTP-Ikana'!S18-'Z4 WTP-Ikana'!P18*C215/'Z4 WTP-Ikana'!G18</f>
        <v>1685.18277013555</v>
      </c>
      <c r="G215" s="51" t="n">
        <f aca="false">'Z4 WTP-Ikana'!$B$8-E215</f>
        <v>238.99</v>
      </c>
      <c r="H215" s="52" t="n">
        <f aca="false">F215-E215</f>
        <v>256.172770135547</v>
      </c>
      <c r="I215" s="52" t="n">
        <f aca="false">MAX(H215,G215)</f>
        <v>256.172770135547</v>
      </c>
      <c r="J215" s="4" t="str">
        <f aca="false">IFERROR("PN"&amp;SMALL(PN_list,COUNTIF(PN_list,"&lt;"&amp;I215*bar_per_m)+1),"&gt; max PN")</f>
        <v>PN30</v>
      </c>
      <c r="K215" s="4" t="str">
        <f aca="false">IF(L215="no","end at tank",IF(H215&lt;0,"NEGATIVE",IF(H215&lt;p_min-0.005,"low","OK")))</f>
        <v>OK</v>
      </c>
      <c r="L215" s="4" t="s">
        <v>414</v>
      </c>
    </row>
    <row r="216" customFormat="false" ht="15" hidden="false" customHeight="false" outlineLevel="0" collapsed="false">
      <c r="A216" s="4" t="s">
        <v>40</v>
      </c>
      <c r="B216" s="4" t="s">
        <v>363</v>
      </c>
      <c r="C216" s="47" t="n">
        <v>9326.48</v>
      </c>
      <c r="D216" s="48" t="n">
        <v>1430.45</v>
      </c>
      <c r="E216" s="49" t="n">
        <f aca="false">D216-cover</f>
        <v>1429.25</v>
      </c>
      <c r="F216" s="50" t="n">
        <f aca="false">'Z4 WTP-Ikana'!S18-'Z4 WTP-Ikana'!P18*C216/'Z4 WTP-Ikana'!G18</f>
        <v>1685.10488687818</v>
      </c>
      <c r="G216" s="51" t="n">
        <f aca="false">'Z4 WTP-Ikana'!$B$8-E216</f>
        <v>238.75</v>
      </c>
      <c r="H216" s="52" t="n">
        <f aca="false">F216-E216</f>
        <v>255.85488687818</v>
      </c>
      <c r="I216" s="52" t="n">
        <f aca="false">MAX(H216,G216)</f>
        <v>255.85488687818</v>
      </c>
      <c r="J216" s="4" t="str">
        <f aca="false">IFERROR("PN"&amp;SMALL(PN_list,COUNTIF(PN_list,"&lt;"&amp;I216*bar_per_m)+1),"&gt; max PN")</f>
        <v>PN30</v>
      </c>
      <c r="K216" s="4" t="str">
        <f aca="false">IF(L216="no","end at tank",IF(H216&lt;0,"NEGATIVE",IF(H216&lt;p_min-0.005,"low","OK")))</f>
        <v>OK</v>
      </c>
      <c r="L216" s="4" t="s">
        <v>414</v>
      </c>
    </row>
    <row r="217" customFormat="false" ht="15" hidden="false" customHeight="false" outlineLevel="0" collapsed="false">
      <c r="A217" s="4" t="s">
        <v>40</v>
      </c>
      <c r="B217" s="4" t="s">
        <v>363</v>
      </c>
      <c r="C217" s="47" t="n">
        <v>9376.48</v>
      </c>
      <c r="D217" s="48" t="n">
        <v>1430.33</v>
      </c>
      <c r="E217" s="49" t="n">
        <f aca="false">D217-cover</f>
        <v>1429.13</v>
      </c>
      <c r="F217" s="50" t="n">
        <f aca="false">'Z4 WTP-Ikana'!S18-'Z4 WTP-Ikana'!P18*C217/'Z4 WTP-Ikana'!G18</f>
        <v>1685.02700362081</v>
      </c>
      <c r="G217" s="51" t="n">
        <f aca="false">'Z4 WTP-Ikana'!$B$8-E217</f>
        <v>238.87</v>
      </c>
      <c r="H217" s="52" t="n">
        <f aca="false">F217-E217</f>
        <v>255.897003620813</v>
      </c>
      <c r="I217" s="52" t="n">
        <f aca="false">MAX(H217,G217)</f>
        <v>255.897003620813</v>
      </c>
      <c r="J217" s="4" t="str">
        <f aca="false">IFERROR("PN"&amp;SMALL(PN_list,COUNTIF(PN_list,"&lt;"&amp;I217*bar_per_m)+1),"&gt; max PN")</f>
        <v>PN30</v>
      </c>
      <c r="K217" s="4" t="str">
        <f aca="false">IF(L217="no","end at tank",IF(H217&lt;0,"NEGATIVE",IF(H217&lt;p_min-0.005,"low","OK")))</f>
        <v>OK</v>
      </c>
      <c r="L217" s="4" t="s">
        <v>414</v>
      </c>
    </row>
    <row r="218" customFormat="false" ht="15" hidden="false" customHeight="false" outlineLevel="0" collapsed="false">
      <c r="A218" s="4" t="s">
        <v>40</v>
      </c>
      <c r="B218" s="4" t="s">
        <v>363</v>
      </c>
      <c r="C218" s="47" t="n">
        <v>9426.48</v>
      </c>
      <c r="D218" s="48" t="n">
        <v>1430.23</v>
      </c>
      <c r="E218" s="49" t="n">
        <f aca="false">D218-cover</f>
        <v>1429.03</v>
      </c>
      <c r="F218" s="50" t="n">
        <f aca="false">'Z4 WTP-Ikana'!S18-'Z4 WTP-Ikana'!P18*C218/'Z4 WTP-Ikana'!G18</f>
        <v>1684.94912036345</v>
      </c>
      <c r="G218" s="51" t="n">
        <f aca="false">'Z4 WTP-Ikana'!$B$8-E218</f>
        <v>238.97</v>
      </c>
      <c r="H218" s="52" t="n">
        <f aca="false">F218-E218</f>
        <v>255.919120363446</v>
      </c>
      <c r="I218" s="52" t="n">
        <f aca="false">MAX(H218,G218)</f>
        <v>255.919120363446</v>
      </c>
      <c r="J218" s="4" t="str">
        <f aca="false">IFERROR("PN"&amp;SMALL(PN_list,COUNTIF(PN_list,"&lt;"&amp;I218*bar_per_m)+1),"&gt; max PN")</f>
        <v>PN30</v>
      </c>
      <c r="K218" s="4" t="str">
        <f aca="false">IF(L218="no","end at tank",IF(H218&lt;0,"NEGATIVE",IF(H218&lt;p_min-0.005,"low","OK")))</f>
        <v>OK</v>
      </c>
      <c r="L218" s="4" t="s">
        <v>414</v>
      </c>
    </row>
    <row r="219" customFormat="false" ht="15" hidden="false" customHeight="false" outlineLevel="0" collapsed="false">
      <c r="A219" s="4" t="s">
        <v>40</v>
      </c>
      <c r="B219" s="4" t="s">
        <v>363</v>
      </c>
      <c r="C219" s="47" t="n">
        <v>9476.48</v>
      </c>
      <c r="D219" s="48" t="n">
        <v>1430.08</v>
      </c>
      <c r="E219" s="49" t="n">
        <f aca="false">D219-cover</f>
        <v>1428.88</v>
      </c>
      <c r="F219" s="50" t="n">
        <f aca="false">'Z4 WTP-Ikana'!S18-'Z4 WTP-Ikana'!P18*C219/'Z4 WTP-Ikana'!G18</f>
        <v>1684.87123710608</v>
      </c>
      <c r="G219" s="51" t="n">
        <f aca="false">'Z4 WTP-Ikana'!$B$8-E219</f>
        <v>239.12</v>
      </c>
      <c r="H219" s="52" t="n">
        <f aca="false">F219-E219</f>
        <v>255.991237106079</v>
      </c>
      <c r="I219" s="52" t="n">
        <f aca="false">MAX(H219,G219)</f>
        <v>255.991237106079</v>
      </c>
      <c r="J219" s="4" t="str">
        <f aca="false">IFERROR("PN"&amp;SMALL(PN_list,COUNTIF(PN_list,"&lt;"&amp;I219*bar_per_m)+1),"&gt; max PN")</f>
        <v>PN30</v>
      </c>
      <c r="K219" s="4" t="str">
        <f aca="false">IF(L219="no","end at tank",IF(H219&lt;0,"NEGATIVE",IF(H219&lt;p_min-0.005,"low","OK")))</f>
        <v>OK</v>
      </c>
      <c r="L219" s="4" t="s">
        <v>414</v>
      </c>
    </row>
    <row r="220" customFormat="false" ht="15" hidden="false" customHeight="false" outlineLevel="0" collapsed="false">
      <c r="A220" s="4" t="s">
        <v>40</v>
      </c>
      <c r="B220" s="4" t="s">
        <v>363</v>
      </c>
      <c r="C220" s="47" t="n">
        <v>9526.48</v>
      </c>
      <c r="D220" s="48" t="n">
        <v>1430.26</v>
      </c>
      <c r="E220" s="49" t="n">
        <f aca="false">D220-cover</f>
        <v>1429.06</v>
      </c>
      <c r="F220" s="50" t="n">
        <f aca="false">'Z4 WTP-Ikana'!S18-'Z4 WTP-Ikana'!P18*C220/'Z4 WTP-Ikana'!G18</f>
        <v>1684.79335384871</v>
      </c>
      <c r="G220" s="51" t="n">
        <f aca="false">'Z4 WTP-Ikana'!$B$8-E220</f>
        <v>238.94</v>
      </c>
      <c r="H220" s="52" t="n">
        <f aca="false">F220-E220</f>
        <v>255.733353848712</v>
      </c>
      <c r="I220" s="52" t="n">
        <f aca="false">MAX(H220,G220)</f>
        <v>255.733353848712</v>
      </c>
      <c r="J220" s="4" t="str">
        <f aca="false">IFERROR("PN"&amp;SMALL(PN_list,COUNTIF(PN_list,"&lt;"&amp;I220*bar_per_m)+1),"&gt; max PN")</f>
        <v>PN30</v>
      </c>
      <c r="K220" s="4" t="str">
        <f aca="false">IF(L220="no","end at tank",IF(H220&lt;0,"NEGATIVE",IF(H220&lt;p_min-0.005,"low","OK")))</f>
        <v>OK</v>
      </c>
      <c r="L220" s="4" t="s">
        <v>414</v>
      </c>
    </row>
    <row r="221" customFormat="false" ht="15" hidden="false" customHeight="false" outlineLevel="0" collapsed="false">
      <c r="A221" s="4" t="s">
        <v>40</v>
      </c>
      <c r="B221" s="4" t="s">
        <v>363</v>
      </c>
      <c r="C221" s="47" t="n">
        <v>9576.49</v>
      </c>
      <c r="D221" s="48" t="n">
        <v>1429.35</v>
      </c>
      <c r="E221" s="49" t="n">
        <f aca="false">D221-cover</f>
        <v>1428.15</v>
      </c>
      <c r="F221" s="50" t="n">
        <f aca="false">'Z4 WTP-Ikana'!S18-'Z4 WTP-Ikana'!P18*C221/'Z4 WTP-Ikana'!G18</f>
        <v>1684.71545501469</v>
      </c>
      <c r="G221" s="51" t="n">
        <f aca="false">'Z4 WTP-Ikana'!$B$8-E221</f>
        <v>239.85</v>
      </c>
      <c r="H221" s="52" t="n">
        <f aca="false">F221-E221</f>
        <v>256.565455014693</v>
      </c>
      <c r="I221" s="52" t="n">
        <f aca="false">MAX(H221,G221)</f>
        <v>256.565455014693</v>
      </c>
      <c r="J221" s="4" t="str">
        <f aca="false">IFERROR("PN"&amp;SMALL(PN_list,COUNTIF(PN_list,"&lt;"&amp;I221*bar_per_m)+1),"&gt; max PN")</f>
        <v>PN30</v>
      </c>
      <c r="K221" s="4" t="str">
        <f aca="false">IF(L221="no","end at tank",IF(H221&lt;0,"NEGATIVE",IF(H221&lt;p_min-0.005,"low","OK")))</f>
        <v>OK</v>
      </c>
      <c r="L221" s="4" t="s">
        <v>414</v>
      </c>
    </row>
    <row r="222" customFormat="false" ht="15" hidden="false" customHeight="false" outlineLevel="0" collapsed="false">
      <c r="A222" s="4" t="s">
        <v>40</v>
      </c>
      <c r="B222" s="4" t="s">
        <v>363</v>
      </c>
      <c r="C222" s="47" t="n">
        <v>9626.49</v>
      </c>
      <c r="D222" s="48" t="n">
        <v>1428.97</v>
      </c>
      <c r="E222" s="49" t="n">
        <f aca="false">D222-cover</f>
        <v>1427.77</v>
      </c>
      <c r="F222" s="50" t="n">
        <f aca="false">'Z4 WTP-Ikana'!S18-'Z4 WTP-Ikana'!P18*C222/'Z4 WTP-Ikana'!G18</f>
        <v>1684.63757175733</v>
      </c>
      <c r="G222" s="51" t="n">
        <f aca="false">'Z4 WTP-Ikana'!$B$8-E222</f>
        <v>240.23</v>
      </c>
      <c r="H222" s="52" t="n">
        <f aca="false">F222-E222</f>
        <v>256.867571757326</v>
      </c>
      <c r="I222" s="52" t="n">
        <f aca="false">MAX(H222,G222)</f>
        <v>256.867571757326</v>
      </c>
      <c r="J222" s="4" t="str">
        <f aca="false">IFERROR("PN"&amp;SMALL(PN_list,COUNTIF(PN_list,"&lt;"&amp;I222*bar_per_m)+1),"&gt; max PN")</f>
        <v>PN30</v>
      </c>
      <c r="K222" s="4" t="str">
        <f aca="false">IF(L222="no","end at tank",IF(H222&lt;0,"NEGATIVE",IF(H222&lt;p_min-0.005,"low","OK")))</f>
        <v>OK</v>
      </c>
      <c r="L222" s="4" t="s">
        <v>414</v>
      </c>
    </row>
    <row r="223" customFormat="false" ht="15" hidden="false" customHeight="false" outlineLevel="0" collapsed="false">
      <c r="A223" s="4" t="s">
        <v>40</v>
      </c>
      <c r="B223" s="4" t="s">
        <v>363</v>
      </c>
      <c r="C223" s="47" t="n">
        <v>9676.49</v>
      </c>
      <c r="D223" s="48" t="n">
        <v>1429.29</v>
      </c>
      <c r="E223" s="49" t="n">
        <f aca="false">D223-cover</f>
        <v>1428.09</v>
      </c>
      <c r="F223" s="50" t="n">
        <f aca="false">'Z4 WTP-Ikana'!S18-'Z4 WTP-Ikana'!P18*C223/'Z4 WTP-Ikana'!G18</f>
        <v>1684.55968849996</v>
      </c>
      <c r="G223" s="51" t="n">
        <f aca="false">'Z4 WTP-Ikana'!$B$8-E223</f>
        <v>239.91</v>
      </c>
      <c r="H223" s="52" t="n">
        <f aca="false">F223-E223</f>
        <v>256.469688499959</v>
      </c>
      <c r="I223" s="52" t="n">
        <f aca="false">MAX(H223,G223)</f>
        <v>256.469688499959</v>
      </c>
      <c r="J223" s="4" t="str">
        <f aca="false">IFERROR("PN"&amp;SMALL(PN_list,COUNTIF(PN_list,"&lt;"&amp;I223*bar_per_m)+1),"&gt; max PN")</f>
        <v>PN30</v>
      </c>
      <c r="K223" s="4" t="str">
        <f aca="false">IF(L223="no","end at tank",IF(H223&lt;0,"NEGATIVE",IF(H223&lt;p_min-0.005,"low","OK")))</f>
        <v>OK</v>
      </c>
      <c r="L223" s="4" t="s">
        <v>414</v>
      </c>
    </row>
    <row r="224" customFormat="false" ht="15" hidden="false" customHeight="false" outlineLevel="0" collapsed="false">
      <c r="A224" s="4" t="s">
        <v>40</v>
      </c>
      <c r="B224" s="4" t="s">
        <v>363</v>
      </c>
      <c r="C224" s="47" t="n">
        <v>9726.5</v>
      </c>
      <c r="D224" s="48" t="n">
        <v>1428.43</v>
      </c>
      <c r="E224" s="49" t="n">
        <f aca="false">D224-cover</f>
        <v>1427.23</v>
      </c>
      <c r="F224" s="50" t="n">
        <f aca="false">'Z4 WTP-Ikana'!S18-'Z4 WTP-Ikana'!P18*C224/'Z4 WTP-Ikana'!G18</f>
        <v>1684.48178966594</v>
      </c>
      <c r="G224" s="51" t="n">
        <f aca="false">'Z4 WTP-Ikana'!$B$8-E224</f>
        <v>240.77</v>
      </c>
      <c r="H224" s="52" t="n">
        <f aca="false">F224-E224</f>
        <v>257.25178966594</v>
      </c>
      <c r="I224" s="52" t="n">
        <f aca="false">MAX(H224,G224)</f>
        <v>257.25178966594</v>
      </c>
      <c r="J224" s="4" t="str">
        <f aca="false">IFERROR("PN"&amp;SMALL(PN_list,COUNTIF(PN_list,"&lt;"&amp;I224*bar_per_m)+1),"&gt; max PN")</f>
        <v>PN30</v>
      </c>
      <c r="K224" s="4" t="str">
        <f aca="false">IF(L224="no","end at tank",IF(H224&lt;0,"NEGATIVE",IF(H224&lt;p_min-0.005,"low","OK")))</f>
        <v>OK</v>
      </c>
      <c r="L224" s="4" t="s">
        <v>414</v>
      </c>
    </row>
    <row r="225" customFormat="false" ht="15" hidden="false" customHeight="false" outlineLevel="0" collapsed="false">
      <c r="A225" s="4" t="s">
        <v>40</v>
      </c>
      <c r="B225" s="4" t="s">
        <v>363</v>
      </c>
      <c r="C225" s="47" t="n">
        <v>9776.5</v>
      </c>
      <c r="D225" s="48" t="n">
        <v>1428.09</v>
      </c>
      <c r="E225" s="49" t="n">
        <f aca="false">D225-cover</f>
        <v>1426.89</v>
      </c>
      <c r="F225" s="50" t="n">
        <f aca="false">'Z4 WTP-Ikana'!S18-'Z4 WTP-Ikana'!P18*C225/'Z4 WTP-Ikana'!G18</f>
        <v>1684.40390640857</v>
      </c>
      <c r="G225" s="51" t="n">
        <f aca="false">'Z4 WTP-Ikana'!$B$8-E225</f>
        <v>241.11</v>
      </c>
      <c r="H225" s="52" t="n">
        <f aca="false">F225-E225</f>
        <v>257.513906408573</v>
      </c>
      <c r="I225" s="52" t="n">
        <f aca="false">MAX(H225,G225)</f>
        <v>257.513906408573</v>
      </c>
      <c r="J225" s="4" t="str">
        <f aca="false">IFERROR("PN"&amp;SMALL(PN_list,COUNTIF(PN_list,"&lt;"&amp;I225*bar_per_m)+1),"&gt; max PN")</f>
        <v>PN30</v>
      </c>
      <c r="K225" s="4" t="str">
        <f aca="false">IF(L225="no","end at tank",IF(H225&lt;0,"NEGATIVE",IF(H225&lt;p_min-0.005,"low","OK")))</f>
        <v>OK</v>
      </c>
      <c r="L225" s="4" t="s">
        <v>414</v>
      </c>
    </row>
    <row r="226" customFormat="false" ht="15" hidden="false" customHeight="false" outlineLevel="0" collapsed="false">
      <c r="A226" s="4" t="s">
        <v>40</v>
      </c>
      <c r="B226" s="4" t="s">
        <v>363</v>
      </c>
      <c r="C226" s="47" t="n">
        <v>9826.5</v>
      </c>
      <c r="D226" s="48" t="n">
        <v>1427.97</v>
      </c>
      <c r="E226" s="49" t="n">
        <f aca="false">D226-cover</f>
        <v>1426.77</v>
      </c>
      <c r="F226" s="50" t="n">
        <f aca="false">'Z4 WTP-Ikana'!S18-'Z4 WTP-Ikana'!P18*C226/'Z4 WTP-Ikana'!G18</f>
        <v>1684.32602315121</v>
      </c>
      <c r="G226" s="51" t="n">
        <f aca="false">'Z4 WTP-Ikana'!$B$8-E226</f>
        <v>241.23</v>
      </c>
      <c r="H226" s="52" t="n">
        <f aca="false">F226-E226</f>
        <v>257.556023151206</v>
      </c>
      <c r="I226" s="52" t="n">
        <f aca="false">MAX(H226,G226)</f>
        <v>257.556023151206</v>
      </c>
      <c r="J226" s="4" t="str">
        <f aca="false">IFERROR("PN"&amp;SMALL(PN_list,COUNTIF(PN_list,"&lt;"&amp;I226*bar_per_m)+1),"&gt; max PN")</f>
        <v>PN30</v>
      </c>
      <c r="K226" s="4" t="str">
        <f aca="false">IF(L226="no","end at tank",IF(H226&lt;0,"NEGATIVE",IF(H226&lt;p_min-0.005,"low","OK")))</f>
        <v>OK</v>
      </c>
      <c r="L226" s="4" t="s">
        <v>414</v>
      </c>
    </row>
    <row r="227" customFormat="false" ht="15" hidden="false" customHeight="false" outlineLevel="0" collapsed="false">
      <c r="A227" s="4" t="s">
        <v>40</v>
      </c>
      <c r="B227" s="4" t="s">
        <v>363</v>
      </c>
      <c r="C227" s="47" t="n">
        <v>9876.5</v>
      </c>
      <c r="D227" s="48" t="n">
        <v>1427.85</v>
      </c>
      <c r="E227" s="49" t="n">
        <f aca="false">D227-cover</f>
        <v>1426.65</v>
      </c>
      <c r="F227" s="50" t="n">
        <f aca="false">'Z4 WTP-Ikana'!S18-'Z4 WTP-Ikana'!P18*C227/'Z4 WTP-Ikana'!G18</f>
        <v>1684.24813989384</v>
      </c>
      <c r="G227" s="51" t="n">
        <f aca="false">'Z4 WTP-Ikana'!$B$8-E227</f>
        <v>241.35</v>
      </c>
      <c r="H227" s="52" t="n">
        <f aca="false">F227-E227</f>
        <v>257.598139893839</v>
      </c>
      <c r="I227" s="52" t="n">
        <f aca="false">MAX(H227,G227)</f>
        <v>257.598139893839</v>
      </c>
      <c r="J227" s="4" t="str">
        <f aca="false">IFERROR("PN"&amp;SMALL(PN_list,COUNTIF(PN_list,"&lt;"&amp;I227*bar_per_m)+1),"&gt; max PN")</f>
        <v>PN30</v>
      </c>
      <c r="K227" s="4" t="str">
        <f aca="false">IF(L227="no","end at tank",IF(H227&lt;0,"NEGATIVE",IF(H227&lt;p_min-0.005,"low","OK")))</f>
        <v>OK</v>
      </c>
      <c r="L227" s="4" t="s">
        <v>414</v>
      </c>
    </row>
    <row r="228" customFormat="false" ht="15" hidden="false" customHeight="false" outlineLevel="0" collapsed="false">
      <c r="A228" s="4" t="s">
        <v>40</v>
      </c>
      <c r="B228" s="4" t="s">
        <v>363</v>
      </c>
      <c r="C228" s="47" t="n">
        <v>9926.5</v>
      </c>
      <c r="D228" s="48" t="n">
        <v>1427.67</v>
      </c>
      <c r="E228" s="49" t="n">
        <f aca="false">D228-cover</f>
        <v>1426.47</v>
      </c>
      <c r="F228" s="50" t="n">
        <f aca="false">'Z4 WTP-Ikana'!S18-'Z4 WTP-Ikana'!P18*C228/'Z4 WTP-Ikana'!G18</f>
        <v>1684.17025663647</v>
      </c>
      <c r="G228" s="51" t="n">
        <f aca="false">'Z4 WTP-Ikana'!$B$8-E228</f>
        <v>241.53</v>
      </c>
      <c r="H228" s="52" t="n">
        <f aca="false">F228-E228</f>
        <v>257.700256636472</v>
      </c>
      <c r="I228" s="52" t="n">
        <f aca="false">MAX(H228,G228)</f>
        <v>257.700256636472</v>
      </c>
      <c r="J228" s="4" t="str">
        <f aca="false">IFERROR("PN"&amp;SMALL(PN_list,COUNTIF(PN_list,"&lt;"&amp;I228*bar_per_m)+1),"&gt; max PN")</f>
        <v>PN30</v>
      </c>
      <c r="K228" s="4" t="str">
        <f aca="false">IF(L228="no","end at tank",IF(H228&lt;0,"NEGATIVE",IF(H228&lt;p_min-0.005,"low","OK")))</f>
        <v>OK</v>
      </c>
      <c r="L228" s="4" t="s">
        <v>414</v>
      </c>
    </row>
    <row r="229" customFormat="false" ht="15" hidden="false" customHeight="false" outlineLevel="0" collapsed="false">
      <c r="A229" s="4" t="s">
        <v>40</v>
      </c>
      <c r="B229" s="4" t="s">
        <v>363</v>
      </c>
      <c r="C229" s="47" t="n">
        <v>9976.5</v>
      </c>
      <c r="D229" s="48" t="n">
        <v>1427.19</v>
      </c>
      <c r="E229" s="49" t="n">
        <f aca="false">D229-cover</f>
        <v>1425.99</v>
      </c>
      <c r="F229" s="50" t="n">
        <f aca="false">'Z4 WTP-Ikana'!S18-'Z4 WTP-Ikana'!P18*C229/'Z4 WTP-Ikana'!G18</f>
        <v>1684.0923733791</v>
      </c>
      <c r="G229" s="51" t="n">
        <f aca="false">'Z4 WTP-Ikana'!$B$8-E229</f>
        <v>242.01</v>
      </c>
      <c r="H229" s="52" t="n">
        <f aca="false">F229-E229</f>
        <v>258.102373379105</v>
      </c>
      <c r="I229" s="52" t="n">
        <f aca="false">MAX(H229,G229)</f>
        <v>258.102373379105</v>
      </c>
      <c r="J229" s="4" t="str">
        <f aca="false">IFERROR("PN"&amp;SMALL(PN_list,COUNTIF(PN_list,"&lt;"&amp;I229*bar_per_m)+1),"&gt; max PN")</f>
        <v>PN30</v>
      </c>
      <c r="K229" s="4" t="str">
        <f aca="false">IF(L229="no","end at tank",IF(H229&lt;0,"NEGATIVE",IF(H229&lt;p_min-0.005,"low","OK")))</f>
        <v>OK</v>
      </c>
      <c r="L229" s="4" t="s">
        <v>414</v>
      </c>
    </row>
    <row r="230" customFormat="false" ht="15" hidden="false" customHeight="false" outlineLevel="0" collapsed="false">
      <c r="A230" s="4" t="s">
        <v>40</v>
      </c>
      <c r="B230" s="4" t="s">
        <v>363</v>
      </c>
      <c r="C230" s="47" t="n">
        <v>10026.51</v>
      </c>
      <c r="D230" s="48" t="n">
        <v>1426.81</v>
      </c>
      <c r="E230" s="49" t="n">
        <f aca="false">D230-cover</f>
        <v>1425.61</v>
      </c>
      <c r="F230" s="50" t="n">
        <f aca="false">'Z4 WTP-Ikana'!S18-'Z4 WTP-Ikana'!P18*C230/'Z4 WTP-Ikana'!G18</f>
        <v>1684.01447454509</v>
      </c>
      <c r="G230" s="51" t="n">
        <f aca="false">'Z4 WTP-Ikana'!$B$8-E230</f>
        <v>242.39</v>
      </c>
      <c r="H230" s="52" t="n">
        <f aca="false">F230-E230</f>
        <v>258.404474545087</v>
      </c>
      <c r="I230" s="52" t="n">
        <f aca="false">MAX(H230,G230)</f>
        <v>258.404474545087</v>
      </c>
      <c r="J230" s="4" t="str">
        <f aca="false">IFERROR("PN"&amp;SMALL(PN_list,COUNTIF(PN_list,"&lt;"&amp;I230*bar_per_m)+1),"&gt; max PN")</f>
        <v>PN30</v>
      </c>
      <c r="K230" s="4" t="str">
        <f aca="false">IF(L230="no","end at tank",IF(H230&lt;0,"NEGATIVE",IF(H230&lt;p_min-0.005,"low","OK")))</f>
        <v>OK</v>
      </c>
      <c r="L230" s="4" t="s">
        <v>414</v>
      </c>
    </row>
    <row r="231" customFormat="false" ht="15" hidden="false" customHeight="false" outlineLevel="0" collapsed="false">
      <c r="A231" s="4" t="s">
        <v>40</v>
      </c>
      <c r="B231" s="4" t="s">
        <v>363</v>
      </c>
      <c r="C231" s="47" t="n">
        <v>10076.51</v>
      </c>
      <c r="D231" s="48" t="n">
        <v>1427.15</v>
      </c>
      <c r="E231" s="49" t="n">
        <f aca="false">D231-cover</f>
        <v>1425.95</v>
      </c>
      <c r="F231" s="50" t="n">
        <f aca="false">'Z4 WTP-Ikana'!S18-'Z4 WTP-Ikana'!P18*C231/'Z4 WTP-Ikana'!G18</f>
        <v>1683.93659128772</v>
      </c>
      <c r="G231" s="51" t="n">
        <f aca="false">'Z4 WTP-Ikana'!$B$8-E231</f>
        <v>242.05</v>
      </c>
      <c r="H231" s="52" t="n">
        <f aca="false">F231-E231</f>
        <v>257.986591287719</v>
      </c>
      <c r="I231" s="52" t="n">
        <f aca="false">MAX(H231,G231)</f>
        <v>257.986591287719</v>
      </c>
      <c r="J231" s="4" t="str">
        <f aca="false">IFERROR("PN"&amp;SMALL(PN_list,COUNTIF(PN_list,"&lt;"&amp;I231*bar_per_m)+1),"&gt; max PN")</f>
        <v>PN30</v>
      </c>
      <c r="K231" s="4" t="str">
        <f aca="false">IF(L231="no","end at tank",IF(H231&lt;0,"NEGATIVE",IF(H231&lt;p_min-0.005,"low","OK")))</f>
        <v>OK</v>
      </c>
      <c r="L231" s="4" t="s">
        <v>414</v>
      </c>
    </row>
    <row r="232" customFormat="false" ht="15" hidden="false" customHeight="false" outlineLevel="0" collapsed="false">
      <c r="A232" s="4" t="s">
        <v>40</v>
      </c>
      <c r="B232" s="4" t="s">
        <v>363</v>
      </c>
      <c r="C232" s="47" t="n">
        <v>10126.52</v>
      </c>
      <c r="D232" s="48" t="n">
        <v>1425.87</v>
      </c>
      <c r="E232" s="49" t="n">
        <f aca="false">D232-cover</f>
        <v>1424.67</v>
      </c>
      <c r="F232" s="50" t="n">
        <f aca="false">'Z4 WTP-Ikana'!S18-'Z4 WTP-Ikana'!P18*C232/'Z4 WTP-Ikana'!G18</f>
        <v>1683.8586924537</v>
      </c>
      <c r="G232" s="51" t="n">
        <f aca="false">'Z4 WTP-Ikana'!$B$8-E232</f>
        <v>243.33</v>
      </c>
      <c r="H232" s="52" t="n">
        <f aca="false">F232-E232</f>
        <v>259.188692453701</v>
      </c>
      <c r="I232" s="52" t="n">
        <f aca="false">MAX(H232,G232)</f>
        <v>259.188692453701</v>
      </c>
      <c r="J232" s="4" t="str">
        <f aca="false">IFERROR("PN"&amp;SMALL(PN_list,COUNTIF(PN_list,"&lt;"&amp;I232*bar_per_m)+1),"&gt; max PN")</f>
        <v>PN30</v>
      </c>
      <c r="K232" s="4" t="str">
        <f aca="false">IF(L232="no","end at tank",IF(H232&lt;0,"NEGATIVE",IF(H232&lt;p_min-0.005,"low","OK")))</f>
        <v>OK</v>
      </c>
      <c r="L232" s="4" t="s">
        <v>414</v>
      </c>
    </row>
    <row r="233" customFormat="false" ht="15" hidden="false" customHeight="false" outlineLevel="0" collapsed="false">
      <c r="A233" s="4" t="s">
        <v>40</v>
      </c>
      <c r="B233" s="4" t="s">
        <v>363</v>
      </c>
      <c r="C233" s="47" t="n">
        <v>10176.52</v>
      </c>
      <c r="D233" s="48" t="n">
        <v>1426.01</v>
      </c>
      <c r="E233" s="49" t="n">
        <f aca="false">D233-cover</f>
        <v>1424.81</v>
      </c>
      <c r="F233" s="50" t="n">
        <f aca="false">'Z4 WTP-Ikana'!S18-'Z4 WTP-Ikana'!P18*C233/'Z4 WTP-Ikana'!G18</f>
        <v>1683.78080919633</v>
      </c>
      <c r="G233" s="51" t="n">
        <f aca="false">'Z4 WTP-Ikana'!$B$8-E233</f>
        <v>243.19</v>
      </c>
      <c r="H233" s="52" t="n">
        <f aca="false">F233-E233</f>
        <v>258.970809196334</v>
      </c>
      <c r="I233" s="52" t="n">
        <f aca="false">MAX(H233,G233)</f>
        <v>258.970809196334</v>
      </c>
      <c r="J233" s="4" t="str">
        <f aca="false">IFERROR("PN"&amp;SMALL(PN_list,COUNTIF(PN_list,"&lt;"&amp;I233*bar_per_m)+1),"&gt; max PN")</f>
        <v>PN30</v>
      </c>
      <c r="K233" s="4" t="str">
        <f aca="false">IF(L233="no","end at tank",IF(H233&lt;0,"NEGATIVE",IF(H233&lt;p_min-0.005,"low","OK")))</f>
        <v>OK</v>
      </c>
      <c r="L233" s="4" t="s">
        <v>414</v>
      </c>
    </row>
    <row r="234" customFormat="false" ht="15" hidden="false" customHeight="false" outlineLevel="0" collapsed="false">
      <c r="A234" s="4" t="s">
        <v>40</v>
      </c>
      <c r="B234" s="4" t="s">
        <v>363</v>
      </c>
      <c r="C234" s="47" t="n">
        <v>10226.52</v>
      </c>
      <c r="D234" s="48" t="n">
        <v>1425.68</v>
      </c>
      <c r="E234" s="49" t="n">
        <f aca="false">D234-cover</f>
        <v>1424.48</v>
      </c>
      <c r="F234" s="50" t="n">
        <f aca="false">'Z4 WTP-Ikana'!S18-'Z4 WTP-Ikana'!P18*C234/'Z4 WTP-Ikana'!G18</f>
        <v>1683.70292593897</v>
      </c>
      <c r="G234" s="51" t="n">
        <f aca="false">'Z4 WTP-Ikana'!$B$8-E234</f>
        <v>243.52</v>
      </c>
      <c r="H234" s="52" t="n">
        <f aca="false">F234-E234</f>
        <v>259.222925938967</v>
      </c>
      <c r="I234" s="52" t="n">
        <f aca="false">MAX(H234,G234)</f>
        <v>259.222925938967</v>
      </c>
      <c r="J234" s="4" t="str">
        <f aca="false">IFERROR("PN"&amp;SMALL(PN_list,COUNTIF(PN_list,"&lt;"&amp;I234*bar_per_m)+1),"&gt; max PN")</f>
        <v>PN30</v>
      </c>
      <c r="K234" s="4" t="str">
        <f aca="false">IF(L234="no","end at tank",IF(H234&lt;0,"NEGATIVE",IF(H234&lt;p_min-0.005,"low","OK")))</f>
        <v>OK</v>
      </c>
      <c r="L234" s="4" t="s">
        <v>414</v>
      </c>
    </row>
    <row r="235" customFormat="false" ht="15" hidden="false" customHeight="false" outlineLevel="0" collapsed="false">
      <c r="A235" s="4" t="s">
        <v>40</v>
      </c>
      <c r="B235" s="4" t="s">
        <v>363</v>
      </c>
      <c r="C235" s="47" t="n">
        <v>10276.53</v>
      </c>
      <c r="D235" s="48" t="n">
        <v>1424.91</v>
      </c>
      <c r="E235" s="49" t="n">
        <f aca="false">D235-cover</f>
        <v>1423.71</v>
      </c>
      <c r="F235" s="50" t="n">
        <f aca="false">'Z4 WTP-Ikana'!S18-'Z4 WTP-Ikana'!P18*C235/'Z4 WTP-Ikana'!G18</f>
        <v>1683.62502710495</v>
      </c>
      <c r="G235" s="51" t="n">
        <f aca="false">'Z4 WTP-Ikana'!$B$8-E235</f>
        <v>244.29</v>
      </c>
      <c r="H235" s="52" t="n">
        <f aca="false">F235-E235</f>
        <v>259.915027104948</v>
      </c>
      <c r="I235" s="52" t="n">
        <f aca="false">MAX(H235,G235)</f>
        <v>259.915027104948</v>
      </c>
      <c r="J235" s="4" t="str">
        <f aca="false">IFERROR("PN"&amp;SMALL(PN_list,COUNTIF(PN_list,"&lt;"&amp;I235*bar_per_m)+1),"&gt; max PN")</f>
        <v>PN30</v>
      </c>
      <c r="K235" s="4" t="str">
        <f aca="false">IF(L235="no","end at tank",IF(H235&lt;0,"NEGATIVE",IF(H235&lt;p_min-0.005,"low","OK")))</f>
        <v>OK</v>
      </c>
      <c r="L235" s="4" t="s">
        <v>414</v>
      </c>
    </row>
    <row r="236" customFormat="false" ht="15" hidden="false" customHeight="false" outlineLevel="0" collapsed="false">
      <c r="A236" s="4" t="s">
        <v>40</v>
      </c>
      <c r="B236" s="4" t="s">
        <v>363</v>
      </c>
      <c r="C236" s="47" t="n">
        <v>10326.53</v>
      </c>
      <c r="D236" s="48" t="n">
        <v>1424.62</v>
      </c>
      <c r="E236" s="49" t="n">
        <f aca="false">D236-cover</f>
        <v>1423.42</v>
      </c>
      <c r="F236" s="50" t="n">
        <f aca="false">'Z4 WTP-Ikana'!S18-'Z4 WTP-Ikana'!P18*C236/'Z4 WTP-Ikana'!G18</f>
        <v>1683.54714384758</v>
      </c>
      <c r="G236" s="51" t="n">
        <f aca="false">'Z4 WTP-Ikana'!$B$8-E236</f>
        <v>244.58</v>
      </c>
      <c r="H236" s="52" t="n">
        <f aca="false">F236-E236</f>
        <v>260.127143847581</v>
      </c>
      <c r="I236" s="52" t="n">
        <f aca="false">MAX(H236,G236)</f>
        <v>260.127143847581</v>
      </c>
      <c r="J236" s="4" t="str">
        <f aca="false">IFERROR("PN"&amp;SMALL(PN_list,COUNTIF(PN_list,"&lt;"&amp;I236*bar_per_m)+1),"&gt; max PN")</f>
        <v>PN30</v>
      </c>
      <c r="K236" s="4" t="str">
        <f aca="false">IF(L236="no","end at tank",IF(H236&lt;0,"NEGATIVE",IF(H236&lt;p_min-0.005,"low","OK")))</f>
        <v>OK</v>
      </c>
      <c r="L236" s="4" t="s">
        <v>414</v>
      </c>
    </row>
    <row r="237" customFormat="false" ht="15" hidden="false" customHeight="false" outlineLevel="0" collapsed="false">
      <c r="A237" s="4" t="s">
        <v>40</v>
      </c>
      <c r="B237" s="4" t="s">
        <v>363</v>
      </c>
      <c r="C237" s="47" t="n">
        <v>10376.53</v>
      </c>
      <c r="D237" s="48" t="n">
        <v>1424.2</v>
      </c>
      <c r="E237" s="49" t="n">
        <f aca="false">D237-cover</f>
        <v>1423</v>
      </c>
      <c r="F237" s="50" t="n">
        <f aca="false">'Z4 WTP-Ikana'!S18-'Z4 WTP-Ikana'!P18*C237/'Z4 WTP-Ikana'!G18</f>
        <v>1683.46926059021</v>
      </c>
      <c r="G237" s="51" t="n">
        <f aca="false">'Z4 WTP-Ikana'!$B$8-E237</f>
        <v>245</v>
      </c>
      <c r="H237" s="52" t="n">
        <f aca="false">F237-E237</f>
        <v>260.469260590214</v>
      </c>
      <c r="I237" s="52" t="n">
        <f aca="false">MAX(H237,G237)</f>
        <v>260.469260590214</v>
      </c>
      <c r="J237" s="4" t="str">
        <f aca="false">IFERROR("PN"&amp;SMALL(PN_list,COUNTIF(PN_list,"&lt;"&amp;I237*bar_per_m)+1),"&gt; max PN")</f>
        <v>PN30</v>
      </c>
      <c r="K237" s="4" t="str">
        <f aca="false">IF(L237="no","end at tank",IF(H237&lt;0,"NEGATIVE",IF(H237&lt;p_min-0.005,"low","OK")))</f>
        <v>OK</v>
      </c>
      <c r="L237" s="4" t="s">
        <v>414</v>
      </c>
    </row>
    <row r="238" customFormat="false" ht="15" hidden="false" customHeight="false" outlineLevel="0" collapsed="false">
      <c r="A238" s="4" t="s">
        <v>40</v>
      </c>
      <c r="B238" s="4" t="s">
        <v>363</v>
      </c>
      <c r="C238" s="47" t="n">
        <v>10426.53</v>
      </c>
      <c r="D238" s="48" t="n">
        <v>1424.48</v>
      </c>
      <c r="E238" s="49" t="n">
        <f aca="false">D238-cover</f>
        <v>1423.28</v>
      </c>
      <c r="F238" s="50" t="n">
        <f aca="false">'Z4 WTP-Ikana'!S18-'Z4 WTP-Ikana'!P18*C238/'Z4 WTP-Ikana'!G18</f>
        <v>1683.39137733285</v>
      </c>
      <c r="G238" s="51" t="n">
        <f aca="false">'Z4 WTP-Ikana'!$B$8-E238</f>
        <v>244.72</v>
      </c>
      <c r="H238" s="52" t="n">
        <f aca="false">F238-E238</f>
        <v>260.111377332847</v>
      </c>
      <c r="I238" s="52" t="n">
        <f aca="false">MAX(H238,G238)</f>
        <v>260.111377332847</v>
      </c>
      <c r="J238" s="4" t="str">
        <f aca="false">IFERROR("PN"&amp;SMALL(PN_list,COUNTIF(PN_list,"&lt;"&amp;I238*bar_per_m)+1),"&gt; max PN")</f>
        <v>PN30</v>
      </c>
      <c r="K238" s="4" t="str">
        <f aca="false">IF(L238="no","end at tank",IF(H238&lt;0,"NEGATIVE",IF(H238&lt;p_min-0.005,"low","OK")))</f>
        <v>OK</v>
      </c>
      <c r="L238" s="4" t="s">
        <v>414</v>
      </c>
    </row>
    <row r="239" customFormat="false" ht="15" hidden="false" customHeight="false" outlineLevel="0" collapsed="false">
      <c r="A239" s="4" t="s">
        <v>40</v>
      </c>
      <c r="B239" s="4" t="s">
        <v>363</v>
      </c>
      <c r="C239" s="47" t="n">
        <v>10476.54</v>
      </c>
      <c r="D239" s="48" t="n">
        <v>1423.48</v>
      </c>
      <c r="E239" s="49" t="n">
        <f aca="false">D239-cover</f>
        <v>1422.28</v>
      </c>
      <c r="F239" s="50" t="n">
        <f aca="false">'Z4 WTP-Ikana'!S18-'Z4 WTP-Ikana'!P18*C239/'Z4 WTP-Ikana'!G18</f>
        <v>1683.31347849883</v>
      </c>
      <c r="G239" s="51" t="n">
        <f aca="false">'Z4 WTP-Ikana'!$B$8-E239</f>
        <v>245.72</v>
      </c>
      <c r="H239" s="52" t="n">
        <f aca="false">F239-E239</f>
        <v>261.033478498828</v>
      </c>
      <c r="I239" s="52" t="n">
        <f aca="false">MAX(H239,G239)</f>
        <v>261.033478498828</v>
      </c>
      <c r="J239" s="4" t="str">
        <f aca="false">IFERROR("PN"&amp;SMALL(PN_list,COUNTIF(PN_list,"&lt;"&amp;I239*bar_per_m)+1),"&gt; max PN")</f>
        <v>PN30</v>
      </c>
      <c r="K239" s="4" t="str">
        <f aca="false">IF(L239="no","end at tank",IF(H239&lt;0,"NEGATIVE",IF(H239&lt;p_min-0.005,"low","OK")))</f>
        <v>OK</v>
      </c>
      <c r="L239" s="4" t="s">
        <v>414</v>
      </c>
    </row>
    <row r="240" customFormat="false" ht="15" hidden="false" customHeight="false" outlineLevel="0" collapsed="false">
      <c r="A240" s="4" t="s">
        <v>40</v>
      </c>
      <c r="B240" s="4" t="s">
        <v>363</v>
      </c>
      <c r="C240" s="47" t="n">
        <v>10526.54</v>
      </c>
      <c r="D240" s="48" t="n">
        <v>1423.17</v>
      </c>
      <c r="E240" s="49" t="n">
        <f aca="false">D240-cover</f>
        <v>1421.97</v>
      </c>
      <c r="F240" s="50" t="n">
        <f aca="false">'Z4 WTP-Ikana'!S18-'Z4 WTP-Ikana'!P18*C240/'Z4 WTP-Ikana'!G18</f>
        <v>1683.23559524146</v>
      </c>
      <c r="G240" s="51" t="n">
        <f aca="false">'Z4 WTP-Ikana'!$B$8-E240</f>
        <v>246.03</v>
      </c>
      <c r="H240" s="52" t="n">
        <f aca="false">F240-E240</f>
        <v>261.265595241461</v>
      </c>
      <c r="I240" s="52" t="n">
        <f aca="false">MAX(H240,G240)</f>
        <v>261.265595241461</v>
      </c>
      <c r="J240" s="4" t="str">
        <f aca="false">IFERROR("PN"&amp;SMALL(PN_list,COUNTIF(PN_list,"&lt;"&amp;I240*bar_per_m)+1),"&gt; max PN")</f>
        <v>PN30</v>
      </c>
      <c r="K240" s="4" t="str">
        <f aca="false">IF(L240="no","end at tank",IF(H240&lt;0,"NEGATIVE",IF(H240&lt;p_min-0.005,"low","OK")))</f>
        <v>OK</v>
      </c>
      <c r="L240" s="4" t="s">
        <v>414</v>
      </c>
    </row>
    <row r="241" customFormat="false" ht="15" hidden="false" customHeight="false" outlineLevel="0" collapsed="false">
      <c r="A241" s="4" t="s">
        <v>40</v>
      </c>
      <c r="B241" s="4" t="s">
        <v>363</v>
      </c>
      <c r="C241" s="47" t="n">
        <v>10576.54</v>
      </c>
      <c r="D241" s="48" t="n">
        <v>1422.95</v>
      </c>
      <c r="E241" s="49" t="n">
        <f aca="false">D241-cover</f>
        <v>1421.75</v>
      </c>
      <c r="F241" s="50" t="n">
        <f aca="false">'Z4 WTP-Ikana'!S18-'Z4 WTP-Ikana'!P18*C241/'Z4 WTP-Ikana'!G18</f>
        <v>1683.15771198409</v>
      </c>
      <c r="G241" s="51" t="n">
        <f aca="false">'Z4 WTP-Ikana'!$B$8-E241</f>
        <v>246.25</v>
      </c>
      <c r="H241" s="52" t="n">
        <f aca="false">F241-E241</f>
        <v>261.407711984094</v>
      </c>
      <c r="I241" s="52" t="n">
        <f aca="false">MAX(H241,G241)</f>
        <v>261.407711984094</v>
      </c>
      <c r="J241" s="4" t="str">
        <f aca="false">IFERROR("PN"&amp;SMALL(PN_list,COUNTIF(PN_list,"&lt;"&amp;I241*bar_per_m)+1),"&gt; max PN")</f>
        <v>PN30</v>
      </c>
      <c r="K241" s="4" t="str">
        <f aca="false">IF(L241="no","end at tank",IF(H241&lt;0,"NEGATIVE",IF(H241&lt;p_min-0.005,"low","OK")))</f>
        <v>OK</v>
      </c>
      <c r="L241" s="4" t="s">
        <v>414</v>
      </c>
    </row>
    <row r="242" customFormat="false" ht="15" hidden="false" customHeight="false" outlineLevel="0" collapsed="false">
      <c r="A242" s="4" t="s">
        <v>40</v>
      </c>
      <c r="B242" s="4" t="s">
        <v>363</v>
      </c>
      <c r="C242" s="47" t="n">
        <v>10626.55</v>
      </c>
      <c r="D242" s="48" t="n">
        <v>1422.74</v>
      </c>
      <c r="E242" s="49" t="n">
        <f aca="false">D242-cover</f>
        <v>1421.54</v>
      </c>
      <c r="F242" s="50" t="n">
        <f aca="false">'Z4 WTP-Ikana'!S18-'Z4 WTP-Ikana'!P18*C242/'Z4 WTP-Ikana'!G18</f>
        <v>1683.07981315008</v>
      </c>
      <c r="G242" s="51" t="n">
        <f aca="false">'Z4 WTP-Ikana'!$B$8-E242</f>
        <v>246.46</v>
      </c>
      <c r="H242" s="52" t="n">
        <f aca="false">F242-E242</f>
        <v>261.539813150076</v>
      </c>
      <c r="I242" s="52" t="n">
        <f aca="false">MAX(H242,G242)</f>
        <v>261.539813150076</v>
      </c>
      <c r="J242" s="4" t="str">
        <f aca="false">IFERROR("PN"&amp;SMALL(PN_list,COUNTIF(PN_list,"&lt;"&amp;I242*bar_per_m)+1),"&gt; max PN")</f>
        <v>PN30</v>
      </c>
      <c r="K242" s="4" t="str">
        <f aca="false">IF(L242="no","end at tank",IF(H242&lt;0,"NEGATIVE",IF(H242&lt;p_min-0.005,"low","OK")))</f>
        <v>OK</v>
      </c>
      <c r="L242" s="4" t="s">
        <v>414</v>
      </c>
    </row>
    <row r="243" customFormat="false" ht="15" hidden="false" customHeight="false" outlineLevel="0" collapsed="false">
      <c r="A243" s="4" t="s">
        <v>40</v>
      </c>
      <c r="B243" s="4" t="s">
        <v>363</v>
      </c>
      <c r="C243" s="47" t="n">
        <v>10676.56</v>
      </c>
      <c r="D243" s="48" t="n">
        <v>1421.48</v>
      </c>
      <c r="E243" s="49" t="n">
        <f aca="false">D243-cover</f>
        <v>1420.28</v>
      </c>
      <c r="F243" s="50" t="n">
        <f aca="false">'Z4 WTP-Ikana'!S18-'Z4 WTP-Ikana'!P18*C243/'Z4 WTP-Ikana'!G18</f>
        <v>1683.00191431606</v>
      </c>
      <c r="G243" s="51" t="n">
        <f aca="false">'Z4 WTP-Ikana'!$B$8-E243</f>
        <v>247.72</v>
      </c>
      <c r="H243" s="52" t="n">
        <f aca="false">F243-E243</f>
        <v>262.721914316057</v>
      </c>
      <c r="I243" s="52" t="n">
        <f aca="false">MAX(H243,G243)</f>
        <v>262.721914316057</v>
      </c>
      <c r="J243" s="4" t="str">
        <f aca="false">IFERROR("PN"&amp;SMALL(PN_list,COUNTIF(PN_list,"&lt;"&amp;I243*bar_per_m)+1),"&gt; max PN")</f>
        <v>PN30</v>
      </c>
      <c r="K243" s="4" t="str">
        <f aca="false">IF(L243="no","end at tank",IF(H243&lt;0,"NEGATIVE",IF(H243&lt;p_min-0.005,"low","OK")))</f>
        <v>OK</v>
      </c>
      <c r="L243" s="4" t="s">
        <v>414</v>
      </c>
    </row>
    <row r="244" customFormat="false" ht="15" hidden="false" customHeight="false" outlineLevel="0" collapsed="false">
      <c r="A244" s="4" t="s">
        <v>40</v>
      </c>
      <c r="B244" s="4" t="s">
        <v>363</v>
      </c>
      <c r="C244" s="47" t="n">
        <v>10726.56</v>
      </c>
      <c r="D244" s="48" t="n">
        <v>1421.5</v>
      </c>
      <c r="E244" s="49" t="n">
        <f aca="false">D244-cover</f>
        <v>1420.3</v>
      </c>
      <c r="F244" s="50" t="n">
        <f aca="false">'Z4 WTP-Ikana'!S18-'Z4 WTP-Ikana'!P18*C244/'Z4 WTP-Ikana'!G18</f>
        <v>1682.92403105869</v>
      </c>
      <c r="G244" s="51" t="n">
        <f aca="false">'Z4 WTP-Ikana'!$B$8-E244</f>
        <v>247.7</v>
      </c>
      <c r="H244" s="52" t="n">
        <f aca="false">F244-E244</f>
        <v>262.62403105869</v>
      </c>
      <c r="I244" s="52" t="n">
        <f aca="false">MAX(H244,G244)</f>
        <v>262.62403105869</v>
      </c>
      <c r="J244" s="4" t="str">
        <f aca="false">IFERROR("PN"&amp;SMALL(PN_list,COUNTIF(PN_list,"&lt;"&amp;I244*bar_per_m)+1),"&gt; max PN")</f>
        <v>PN30</v>
      </c>
      <c r="K244" s="4" t="str">
        <f aca="false">IF(L244="no","end at tank",IF(H244&lt;0,"NEGATIVE",IF(H244&lt;p_min-0.005,"low","OK")))</f>
        <v>OK</v>
      </c>
      <c r="L244" s="4" t="s">
        <v>414</v>
      </c>
    </row>
    <row r="245" customFormat="false" ht="15" hidden="false" customHeight="false" outlineLevel="0" collapsed="false">
      <c r="A245" s="4" t="s">
        <v>40</v>
      </c>
      <c r="B245" s="4" t="s">
        <v>363</v>
      </c>
      <c r="C245" s="47" t="n">
        <v>10776.56</v>
      </c>
      <c r="D245" s="48" t="n">
        <v>1421.52</v>
      </c>
      <c r="E245" s="49" t="n">
        <f aca="false">D245-cover</f>
        <v>1420.32</v>
      </c>
      <c r="F245" s="50" t="n">
        <f aca="false">'Z4 WTP-Ikana'!S18-'Z4 WTP-Ikana'!P18*C245/'Z4 WTP-Ikana'!G18</f>
        <v>1682.84614780132</v>
      </c>
      <c r="G245" s="51" t="n">
        <f aca="false">'Z4 WTP-Ikana'!$B$8-E245</f>
        <v>247.68</v>
      </c>
      <c r="H245" s="52" t="n">
        <f aca="false">F245-E245</f>
        <v>262.526147801323</v>
      </c>
      <c r="I245" s="52" t="n">
        <f aca="false">MAX(H245,G245)</f>
        <v>262.526147801323</v>
      </c>
      <c r="J245" s="4" t="str">
        <f aca="false">IFERROR("PN"&amp;SMALL(PN_list,COUNTIF(PN_list,"&lt;"&amp;I245*bar_per_m)+1),"&gt; max PN")</f>
        <v>PN30</v>
      </c>
      <c r="K245" s="4" t="str">
        <f aca="false">IF(L245="no","end at tank",IF(H245&lt;0,"NEGATIVE",IF(H245&lt;p_min-0.005,"low","OK")))</f>
        <v>OK</v>
      </c>
      <c r="L245" s="4" t="s">
        <v>414</v>
      </c>
    </row>
    <row r="246" customFormat="false" ht="15" hidden="false" customHeight="false" outlineLevel="0" collapsed="false">
      <c r="A246" s="4" t="s">
        <v>40</v>
      </c>
      <c r="B246" s="4" t="s">
        <v>363</v>
      </c>
      <c r="C246" s="47" t="n">
        <v>10826.57</v>
      </c>
      <c r="D246" s="48" t="n">
        <v>1420.52</v>
      </c>
      <c r="E246" s="49" t="n">
        <f aca="false">D246-cover</f>
        <v>1419.32</v>
      </c>
      <c r="F246" s="50" t="n">
        <f aca="false">'Z4 WTP-Ikana'!S18-'Z4 WTP-Ikana'!P18*C246/'Z4 WTP-Ikana'!G18</f>
        <v>1682.7682489673</v>
      </c>
      <c r="G246" s="51" t="n">
        <f aca="false">'Z4 WTP-Ikana'!$B$8-E246</f>
        <v>248.68</v>
      </c>
      <c r="H246" s="52" t="n">
        <f aca="false">F246-E246</f>
        <v>263.448248967305</v>
      </c>
      <c r="I246" s="52" t="n">
        <f aca="false">MAX(H246,G246)</f>
        <v>263.448248967305</v>
      </c>
      <c r="J246" s="4" t="str">
        <f aca="false">IFERROR("PN"&amp;SMALL(PN_list,COUNTIF(PN_list,"&lt;"&amp;I246*bar_per_m)+1),"&gt; max PN")</f>
        <v>PN30</v>
      </c>
      <c r="K246" s="4" t="str">
        <f aca="false">IF(L246="no","end at tank",IF(H246&lt;0,"NEGATIVE",IF(H246&lt;p_min-0.005,"low","OK")))</f>
        <v>OK</v>
      </c>
      <c r="L246" s="4" t="s">
        <v>414</v>
      </c>
    </row>
    <row r="247" customFormat="false" ht="15" hidden="false" customHeight="false" outlineLevel="0" collapsed="false">
      <c r="A247" s="4" t="s">
        <v>40</v>
      </c>
      <c r="B247" s="4" t="s">
        <v>363</v>
      </c>
      <c r="C247" s="47" t="n">
        <v>10876.58</v>
      </c>
      <c r="D247" s="48" t="n">
        <v>1419.9</v>
      </c>
      <c r="E247" s="49" t="n">
        <f aca="false">D247-cover</f>
        <v>1418.7</v>
      </c>
      <c r="F247" s="50" t="n">
        <f aca="false">'Z4 WTP-Ikana'!S18-'Z4 WTP-Ikana'!P18*C247/'Z4 WTP-Ikana'!G18</f>
        <v>1682.69035013329</v>
      </c>
      <c r="G247" s="51" t="n">
        <f aca="false">'Z4 WTP-Ikana'!$B$8-E247</f>
        <v>249.3</v>
      </c>
      <c r="H247" s="52" t="n">
        <f aca="false">F247-E247</f>
        <v>263.990350133286</v>
      </c>
      <c r="I247" s="52" t="n">
        <f aca="false">MAX(H247,G247)</f>
        <v>263.990350133286</v>
      </c>
      <c r="J247" s="4" t="str">
        <f aca="false">IFERROR("PN"&amp;SMALL(PN_list,COUNTIF(PN_list,"&lt;"&amp;I247*bar_per_m)+1),"&gt; max PN")</f>
        <v>PN30</v>
      </c>
      <c r="K247" s="4" t="str">
        <f aca="false">IF(L247="no","end at tank",IF(H247&lt;0,"NEGATIVE",IF(H247&lt;p_min-0.005,"low","OK")))</f>
        <v>OK</v>
      </c>
      <c r="L247" s="4" t="s">
        <v>414</v>
      </c>
    </row>
    <row r="248" customFormat="false" ht="15" hidden="false" customHeight="false" outlineLevel="0" collapsed="false">
      <c r="A248" s="4" t="s">
        <v>40</v>
      </c>
      <c r="B248" s="4" t="s">
        <v>363</v>
      </c>
      <c r="C248" s="47" t="n">
        <v>10926.58</v>
      </c>
      <c r="D248" s="48" t="n">
        <v>1419.82</v>
      </c>
      <c r="E248" s="49" t="n">
        <f aca="false">D248-cover</f>
        <v>1418.62</v>
      </c>
      <c r="F248" s="50" t="n">
        <f aca="false">'Z4 WTP-Ikana'!S18-'Z4 WTP-Ikana'!P18*C248/'Z4 WTP-Ikana'!G18</f>
        <v>1682.61246687592</v>
      </c>
      <c r="G248" s="51" t="n">
        <f aca="false">'Z4 WTP-Ikana'!$B$8-E248</f>
        <v>249.38</v>
      </c>
      <c r="H248" s="52" t="n">
        <f aca="false">F248-E248</f>
        <v>263.992466875919</v>
      </c>
      <c r="I248" s="52" t="n">
        <f aca="false">MAX(H248,G248)</f>
        <v>263.992466875919</v>
      </c>
      <c r="J248" s="4" t="str">
        <f aca="false">IFERROR("PN"&amp;SMALL(PN_list,COUNTIF(PN_list,"&lt;"&amp;I248*bar_per_m)+1),"&gt; max PN")</f>
        <v>PN30</v>
      </c>
      <c r="K248" s="4" t="str">
        <f aca="false">IF(L248="no","end at tank",IF(H248&lt;0,"NEGATIVE",IF(H248&lt;p_min-0.005,"low","OK")))</f>
        <v>OK</v>
      </c>
      <c r="L248" s="4" t="s">
        <v>414</v>
      </c>
    </row>
    <row r="249" customFormat="false" ht="15" hidden="false" customHeight="false" outlineLevel="0" collapsed="false">
      <c r="A249" s="4" t="s">
        <v>40</v>
      </c>
      <c r="B249" s="4" t="s">
        <v>363</v>
      </c>
      <c r="C249" s="47" t="n">
        <v>10976.58</v>
      </c>
      <c r="D249" s="48" t="n">
        <v>1419.58</v>
      </c>
      <c r="E249" s="49" t="n">
        <f aca="false">D249-cover</f>
        <v>1418.38</v>
      </c>
      <c r="F249" s="50" t="n">
        <f aca="false">'Z4 WTP-Ikana'!S18-'Z4 WTP-Ikana'!P18*C249/'Z4 WTP-Ikana'!G18</f>
        <v>1682.53458361855</v>
      </c>
      <c r="G249" s="51" t="n">
        <f aca="false">'Z4 WTP-Ikana'!$B$8-E249</f>
        <v>249.62</v>
      </c>
      <c r="H249" s="52" t="n">
        <f aca="false">F249-E249</f>
        <v>264.154583618552</v>
      </c>
      <c r="I249" s="52" t="n">
        <f aca="false">MAX(H249,G249)</f>
        <v>264.154583618552</v>
      </c>
      <c r="J249" s="4" t="str">
        <f aca="false">IFERROR("PN"&amp;SMALL(PN_list,COUNTIF(PN_list,"&lt;"&amp;I249*bar_per_m)+1),"&gt; max PN")</f>
        <v>PN30</v>
      </c>
      <c r="K249" s="4" t="str">
        <f aca="false">IF(L249="no","end at tank",IF(H249&lt;0,"NEGATIVE",IF(H249&lt;p_min-0.005,"low","OK")))</f>
        <v>OK</v>
      </c>
      <c r="L249" s="4" t="s">
        <v>414</v>
      </c>
    </row>
    <row r="250" customFormat="false" ht="15" hidden="false" customHeight="false" outlineLevel="0" collapsed="false">
      <c r="A250" s="4" t="s">
        <v>40</v>
      </c>
      <c r="B250" s="4" t="s">
        <v>363</v>
      </c>
      <c r="C250" s="47" t="n">
        <v>11026.58</v>
      </c>
      <c r="D250" s="48" t="n">
        <v>1419.54</v>
      </c>
      <c r="E250" s="49" t="n">
        <f aca="false">D250-cover</f>
        <v>1418.34</v>
      </c>
      <c r="F250" s="50" t="n">
        <f aca="false">'Z4 WTP-Ikana'!S18-'Z4 WTP-Ikana'!P18*C250/'Z4 WTP-Ikana'!G18</f>
        <v>1682.45670036118</v>
      </c>
      <c r="G250" s="51" t="n">
        <f aca="false">'Z4 WTP-Ikana'!$B$8-E250</f>
        <v>249.66</v>
      </c>
      <c r="H250" s="52" t="n">
        <f aca="false">F250-E250</f>
        <v>264.116700361185</v>
      </c>
      <c r="I250" s="52" t="n">
        <f aca="false">MAX(H250,G250)</f>
        <v>264.116700361185</v>
      </c>
      <c r="J250" s="4" t="str">
        <f aca="false">IFERROR("PN"&amp;SMALL(PN_list,COUNTIF(PN_list,"&lt;"&amp;I250*bar_per_m)+1),"&gt; max PN")</f>
        <v>PN30</v>
      </c>
      <c r="K250" s="4" t="str">
        <f aca="false">IF(L250="no","end at tank",IF(H250&lt;0,"NEGATIVE",IF(H250&lt;p_min-0.005,"low","OK")))</f>
        <v>OK</v>
      </c>
      <c r="L250" s="4" t="s">
        <v>414</v>
      </c>
    </row>
    <row r="251" customFormat="false" ht="15" hidden="false" customHeight="false" outlineLevel="0" collapsed="false">
      <c r="A251" s="4" t="s">
        <v>40</v>
      </c>
      <c r="B251" s="4" t="s">
        <v>363</v>
      </c>
      <c r="C251" s="47" t="n">
        <v>11076.58</v>
      </c>
      <c r="D251" s="48" t="n">
        <v>1419.22</v>
      </c>
      <c r="E251" s="49" t="n">
        <f aca="false">D251-cover</f>
        <v>1418.02</v>
      </c>
      <c r="F251" s="50" t="n">
        <f aca="false">'Z4 WTP-Ikana'!S18-'Z4 WTP-Ikana'!P18*C251/'Z4 WTP-Ikana'!G18</f>
        <v>1682.37881710382</v>
      </c>
      <c r="G251" s="51" t="n">
        <f aca="false">'Z4 WTP-Ikana'!$B$8-E251</f>
        <v>249.98</v>
      </c>
      <c r="H251" s="52" t="n">
        <f aca="false">F251-E251</f>
        <v>264.358817103818</v>
      </c>
      <c r="I251" s="52" t="n">
        <f aca="false">MAX(H251,G251)</f>
        <v>264.358817103818</v>
      </c>
      <c r="J251" s="4" t="str">
        <f aca="false">IFERROR("PN"&amp;SMALL(PN_list,COUNTIF(PN_list,"&lt;"&amp;I251*bar_per_m)+1),"&gt; max PN")</f>
        <v>PN30</v>
      </c>
      <c r="K251" s="4" t="str">
        <f aca="false">IF(L251="no","end at tank",IF(H251&lt;0,"NEGATIVE",IF(H251&lt;p_min-0.005,"low","OK")))</f>
        <v>OK</v>
      </c>
      <c r="L251" s="4" t="s">
        <v>414</v>
      </c>
    </row>
    <row r="252" customFormat="false" ht="15" hidden="false" customHeight="false" outlineLevel="0" collapsed="false">
      <c r="A252" s="4" t="s">
        <v>40</v>
      </c>
      <c r="B252" s="4" t="s">
        <v>363</v>
      </c>
      <c r="C252" s="47" t="n">
        <v>11126.58</v>
      </c>
      <c r="D252" s="48" t="n">
        <v>1419.1</v>
      </c>
      <c r="E252" s="49" t="n">
        <f aca="false">D252-cover</f>
        <v>1417.9</v>
      </c>
      <c r="F252" s="50" t="n">
        <f aca="false">'Z4 WTP-Ikana'!S18-'Z4 WTP-Ikana'!P18*C252/'Z4 WTP-Ikana'!G18</f>
        <v>1682.30093384645</v>
      </c>
      <c r="G252" s="51" t="n">
        <f aca="false">'Z4 WTP-Ikana'!$B$8-E252</f>
        <v>250.1</v>
      </c>
      <c r="H252" s="52" t="n">
        <f aca="false">F252-E252</f>
        <v>264.400933846451</v>
      </c>
      <c r="I252" s="52" t="n">
        <f aca="false">MAX(H252,G252)</f>
        <v>264.400933846451</v>
      </c>
      <c r="J252" s="4" t="str">
        <f aca="false">IFERROR("PN"&amp;SMALL(PN_list,COUNTIF(PN_list,"&lt;"&amp;I252*bar_per_m)+1),"&gt; max PN")</f>
        <v>PN30</v>
      </c>
      <c r="K252" s="4" t="str">
        <f aca="false">IF(L252="no","end at tank",IF(H252&lt;0,"NEGATIVE",IF(H252&lt;p_min-0.005,"low","OK")))</f>
        <v>OK</v>
      </c>
      <c r="L252" s="4" t="s">
        <v>414</v>
      </c>
    </row>
    <row r="253" customFormat="false" ht="15" hidden="false" customHeight="false" outlineLevel="0" collapsed="false">
      <c r="A253" s="4" t="s">
        <v>40</v>
      </c>
      <c r="B253" s="4" t="s">
        <v>363</v>
      </c>
      <c r="C253" s="47" t="n">
        <v>11176.58</v>
      </c>
      <c r="D253" s="48" t="n">
        <v>1418.84</v>
      </c>
      <c r="E253" s="49" t="n">
        <f aca="false">D253-cover</f>
        <v>1417.64</v>
      </c>
      <c r="F253" s="50" t="n">
        <f aca="false">'Z4 WTP-Ikana'!S18-'Z4 WTP-Ikana'!P18*C253/'Z4 WTP-Ikana'!G18</f>
        <v>1682.22305058908</v>
      </c>
      <c r="G253" s="51" t="n">
        <f aca="false">'Z4 WTP-Ikana'!$B$8-E253</f>
        <v>250.36</v>
      </c>
      <c r="H253" s="52" t="n">
        <f aca="false">F253-E253</f>
        <v>264.583050589084</v>
      </c>
      <c r="I253" s="52" t="n">
        <f aca="false">MAX(H253,G253)</f>
        <v>264.583050589084</v>
      </c>
      <c r="J253" s="4" t="str">
        <f aca="false">IFERROR("PN"&amp;SMALL(PN_list,COUNTIF(PN_list,"&lt;"&amp;I253*bar_per_m)+1),"&gt; max PN")</f>
        <v>PN30</v>
      </c>
      <c r="K253" s="4" t="str">
        <f aca="false">IF(L253="no","end at tank",IF(H253&lt;0,"NEGATIVE",IF(H253&lt;p_min-0.005,"low","OK")))</f>
        <v>OK</v>
      </c>
      <c r="L253" s="4" t="s">
        <v>414</v>
      </c>
    </row>
    <row r="254" customFormat="false" ht="15" hidden="false" customHeight="false" outlineLevel="0" collapsed="false">
      <c r="A254" s="4" t="s">
        <v>40</v>
      </c>
      <c r="B254" s="4" t="s">
        <v>363</v>
      </c>
      <c r="C254" s="47" t="n">
        <v>11226.58</v>
      </c>
      <c r="D254" s="48" t="n">
        <v>1418.44</v>
      </c>
      <c r="E254" s="49" t="n">
        <f aca="false">D254-cover</f>
        <v>1417.24</v>
      </c>
      <c r="F254" s="50" t="n">
        <f aca="false">'Z4 WTP-Ikana'!S18-'Z4 WTP-Ikana'!P18*C254/'Z4 WTP-Ikana'!G18</f>
        <v>1682.14516733172</v>
      </c>
      <c r="G254" s="51" t="n">
        <f aca="false">'Z4 WTP-Ikana'!$B$8-E254</f>
        <v>250.76</v>
      </c>
      <c r="H254" s="52" t="n">
        <f aca="false">F254-E254</f>
        <v>264.905167331717</v>
      </c>
      <c r="I254" s="52" t="n">
        <f aca="false">MAX(H254,G254)</f>
        <v>264.905167331717</v>
      </c>
      <c r="J254" s="4" t="str">
        <f aca="false">IFERROR("PN"&amp;SMALL(PN_list,COUNTIF(PN_list,"&lt;"&amp;I254*bar_per_m)+1),"&gt; max PN")</f>
        <v>PN30</v>
      </c>
      <c r="K254" s="4" t="str">
        <f aca="false">IF(L254="no","end at tank",IF(H254&lt;0,"NEGATIVE",IF(H254&lt;p_min-0.005,"low","OK")))</f>
        <v>OK</v>
      </c>
      <c r="L254" s="4" t="s">
        <v>414</v>
      </c>
    </row>
    <row r="255" customFormat="false" ht="15" hidden="false" customHeight="false" outlineLevel="0" collapsed="false">
      <c r="A255" s="4" t="s">
        <v>40</v>
      </c>
      <c r="B255" s="4" t="s">
        <v>363</v>
      </c>
      <c r="C255" s="47" t="n">
        <v>11276.61</v>
      </c>
      <c r="D255" s="48" t="n">
        <v>1416.65</v>
      </c>
      <c r="E255" s="49" t="n">
        <f aca="false">D255-cover</f>
        <v>1415.45</v>
      </c>
      <c r="F255" s="50" t="n">
        <f aca="false">'Z4 WTP-Ikana'!S18-'Z4 WTP-Ikana'!P18*C255/'Z4 WTP-Ikana'!G18</f>
        <v>1682.0672373444</v>
      </c>
      <c r="G255" s="51" t="n">
        <f aca="false">'Z4 WTP-Ikana'!$B$8-E255</f>
        <v>252.55</v>
      </c>
      <c r="H255" s="52" t="n">
        <f aca="false">F255-E255</f>
        <v>266.617237344395</v>
      </c>
      <c r="I255" s="52" t="n">
        <f aca="false">MAX(H255,G255)</f>
        <v>266.617237344395</v>
      </c>
      <c r="J255" s="4" t="str">
        <f aca="false">IFERROR("PN"&amp;SMALL(PN_list,COUNTIF(PN_list,"&lt;"&amp;I255*bar_per_m)+1),"&gt; max PN")</f>
        <v>PN30</v>
      </c>
      <c r="K255" s="4" t="str">
        <f aca="false">IF(L255="no","end at tank",IF(H255&lt;0,"NEGATIVE",IF(H255&lt;p_min-0.005,"low","OK")))</f>
        <v>OK</v>
      </c>
      <c r="L255" s="4" t="s">
        <v>414</v>
      </c>
    </row>
    <row r="256" customFormat="false" ht="15" hidden="false" customHeight="false" outlineLevel="0" collapsed="false">
      <c r="A256" s="4" t="s">
        <v>40</v>
      </c>
      <c r="B256" s="4" t="s">
        <v>363</v>
      </c>
      <c r="C256" s="47" t="n">
        <v>11326.61</v>
      </c>
      <c r="D256" s="48" t="n">
        <v>1416.14</v>
      </c>
      <c r="E256" s="49" t="n">
        <f aca="false">D256-cover</f>
        <v>1414.94</v>
      </c>
      <c r="F256" s="50" t="n">
        <f aca="false">'Z4 WTP-Ikana'!S18-'Z4 WTP-Ikana'!P18*C256/'Z4 WTP-Ikana'!G18</f>
        <v>1681.98935408703</v>
      </c>
      <c r="G256" s="51" t="n">
        <f aca="false">'Z4 WTP-Ikana'!$B$8-E256</f>
        <v>253.06</v>
      </c>
      <c r="H256" s="52" t="n">
        <f aca="false">F256-E256</f>
        <v>267.049354087028</v>
      </c>
      <c r="I256" s="52" t="n">
        <f aca="false">MAX(H256,G256)</f>
        <v>267.049354087028</v>
      </c>
      <c r="J256" s="4" t="str">
        <f aca="false">IFERROR("PN"&amp;SMALL(PN_list,COUNTIF(PN_list,"&lt;"&amp;I256*bar_per_m)+1),"&gt; max PN")</f>
        <v>PN30</v>
      </c>
      <c r="K256" s="4" t="str">
        <f aca="false">IF(L256="no","end at tank",IF(H256&lt;0,"NEGATIVE",IF(H256&lt;p_min-0.005,"low","OK")))</f>
        <v>OK</v>
      </c>
      <c r="L256" s="4" t="s">
        <v>414</v>
      </c>
    </row>
    <row r="257" customFormat="false" ht="15" hidden="false" customHeight="false" outlineLevel="0" collapsed="false">
      <c r="A257" s="4" t="s">
        <v>40</v>
      </c>
      <c r="B257" s="4" t="s">
        <v>363</v>
      </c>
      <c r="C257" s="47" t="n">
        <v>11376.62</v>
      </c>
      <c r="D257" s="48" t="n">
        <v>1417.15</v>
      </c>
      <c r="E257" s="49" t="n">
        <f aca="false">D257-cover</f>
        <v>1415.95</v>
      </c>
      <c r="F257" s="50" t="n">
        <f aca="false">'Z4 WTP-Ikana'!S18-'Z4 WTP-Ikana'!P18*C257/'Z4 WTP-Ikana'!G18</f>
        <v>1681.91145525301</v>
      </c>
      <c r="G257" s="51" t="n">
        <f aca="false">'Z4 WTP-Ikana'!$B$8-E257</f>
        <v>252.05</v>
      </c>
      <c r="H257" s="52" t="n">
        <f aca="false">F257-E257</f>
        <v>265.961455253009</v>
      </c>
      <c r="I257" s="52" t="n">
        <f aca="false">MAX(H257,G257)</f>
        <v>265.961455253009</v>
      </c>
      <c r="J257" s="4" t="str">
        <f aca="false">IFERROR("PN"&amp;SMALL(PN_list,COUNTIF(PN_list,"&lt;"&amp;I257*bar_per_m)+1),"&gt; max PN")</f>
        <v>PN30</v>
      </c>
      <c r="K257" s="4" t="str">
        <f aca="false">IF(L257="no","end at tank",IF(H257&lt;0,"NEGATIVE",IF(H257&lt;p_min-0.005,"low","OK")))</f>
        <v>OK</v>
      </c>
      <c r="L257" s="4" t="s">
        <v>414</v>
      </c>
    </row>
    <row r="258" customFormat="false" ht="15" hidden="false" customHeight="false" outlineLevel="0" collapsed="false">
      <c r="A258" s="4" t="s">
        <v>40</v>
      </c>
      <c r="B258" s="4" t="s">
        <v>363</v>
      </c>
      <c r="C258" s="47" t="n">
        <v>11426.62</v>
      </c>
      <c r="D258" s="48" t="n">
        <v>1417.02</v>
      </c>
      <c r="E258" s="49" t="n">
        <f aca="false">D258-cover</f>
        <v>1415.82</v>
      </c>
      <c r="F258" s="50" t="n">
        <f aca="false">'Z4 WTP-Ikana'!S18-'Z4 WTP-Ikana'!P18*C258/'Z4 WTP-Ikana'!G18</f>
        <v>1681.83357199564</v>
      </c>
      <c r="G258" s="51" t="n">
        <f aca="false">'Z4 WTP-Ikana'!$B$8-E258</f>
        <v>252.18</v>
      </c>
      <c r="H258" s="52" t="n">
        <f aca="false">F258-E258</f>
        <v>266.013571995642</v>
      </c>
      <c r="I258" s="52" t="n">
        <f aca="false">MAX(H258,G258)</f>
        <v>266.013571995642</v>
      </c>
      <c r="J258" s="4" t="str">
        <f aca="false">IFERROR("PN"&amp;SMALL(PN_list,COUNTIF(PN_list,"&lt;"&amp;I258*bar_per_m)+1),"&gt; max PN")</f>
        <v>PN30</v>
      </c>
      <c r="K258" s="4" t="str">
        <f aca="false">IF(L258="no","end at tank",IF(H258&lt;0,"NEGATIVE",IF(H258&lt;p_min-0.005,"low","OK")))</f>
        <v>OK</v>
      </c>
      <c r="L258" s="4" t="s">
        <v>414</v>
      </c>
    </row>
    <row r="259" customFormat="false" ht="15" hidden="false" customHeight="false" outlineLevel="0" collapsed="false">
      <c r="A259" s="4" t="s">
        <v>40</v>
      </c>
      <c r="B259" s="4" t="s">
        <v>363</v>
      </c>
      <c r="C259" s="47" t="n">
        <v>11476.63</v>
      </c>
      <c r="D259" s="48" t="n">
        <v>1416.51</v>
      </c>
      <c r="E259" s="49" t="n">
        <f aca="false">D259-cover</f>
        <v>1415.31</v>
      </c>
      <c r="F259" s="50" t="n">
        <f aca="false">'Z4 WTP-Ikana'!S18-'Z4 WTP-Ikana'!P18*C259/'Z4 WTP-Ikana'!G18</f>
        <v>1681.75567316162</v>
      </c>
      <c r="G259" s="51" t="n">
        <f aca="false">'Z4 WTP-Ikana'!$B$8-E259</f>
        <v>252.69</v>
      </c>
      <c r="H259" s="52" t="n">
        <f aca="false">F259-E259</f>
        <v>266.445673161624</v>
      </c>
      <c r="I259" s="52" t="n">
        <f aca="false">MAX(H259,G259)</f>
        <v>266.445673161624</v>
      </c>
      <c r="J259" s="4" t="str">
        <f aca="false">IFERROR("PN"&amp;SMALL(PN_list,COUNTIF(PN_list,"&lt;"&amp;I259*bar_per_m)+1),"&gt; max PN")</f>
        <v>PN30</v>
      </c>
      <c r="K259" s="4" t="str">
        <f aca="false">IF(L259="no","end at tank",IF(H259&lt;0,"NEGATIVE",IF(H259&lt;p_min-0.005,"low","OK")))</f>
        <v>OK</v>
      </c>
      <c r="L259" s="4" t="s">
        <v>414</v>
      </c>
    </row>
    <row r="260" customFormat="false" ht="15" hidden="false" customHeight="false" outlineLevel="0" collapsed="false">
      <c r="A260" s="4" t="s">
        <v>40</v>
      </c>
      <c r="B260" s="4" t="s">
        <v>363</v>
      </c>
      <c r="C260" s="47" t="n">
        <v>11526.64</v>
      </c>
      <c r="D260" s="48" t="n">
        <v>1417.72</v>
      </c>
      <c r="E260" s="49" t="n">
        <f aca="false">D260-cover</f>
        <v>1416.52</v>
      </c>
      <c r="F260" s="50" t="n">
        <f aca="false">'Z4 WTP-Ikana'!S18-'Z4 WTP-Ikana'!P18*C260/'Z4 WTP-Ikana'!G18</f>
        <v>1681.67777432761</v>
      </c>
      <c r="G260" s="51" t="n">
        <f aca="false">'Z4 WTP-Ikana'!$B$8-E260</f>
        <v>251.48</v>
      </c>
      <c r="H260" s="52" t="n">
        <f aca="false">F260-E260</f>
        <v>265.157774327605</v>
      </c>
      <c r="I260" s="52" t="n">
        <f aca="false">MAX(H260,G260)</f>
        <v>265.157774327605</v>
      </c>
      <c r="J260" s="4" t="str">
        <f aca="false">IFERROR("PN"&amp;SMALL(PN_list,COUNTIF(PN_list,"&lt;"&amp;I260*bar_per_m)+1),"&gt; max PN")</f>
        <v>PN30</v>
      </c>
      <c r="K260" s="4" t="str">
        <f aca="false">IF(L260="no","end at tank",IF(H260&lt;0,"NEGATIVE",IF(H260&lt;p_min-0.005,"low","OK")))</f>
        <v>OK</v>
      </c>
      <c r="L260" s="4" t="s">
        <v>414</v>
      </c>
    </row>
    <row r="261" customFormat="false" ht="15" hidden="false" customHeight="false" outlineLevel="0" collapsed="false">
      <c r="A261" s="4" t="s">
        <v>40</v>
      </c>
      <c r="B261" s="4" t="s">
        <v>363</v>
      </c>
      <c r="C261" s="47" t="n">
        <v>11576.65</v>
      </c>
      <c r="D261" s="48" t="n">
        <v>1418.69</v>
      </c>
      <c r="E261" s="49" t="n">
        <f aca="false">D261-cover</f>
        <v>1417.49</v>
      </c>
      <c r="F261" s="50" t="n">
        <f aca="false">'Z4 WTP-Ikana'!S18-'Z4 WTP-Ikana'!P18*C261/'Z4 WTP-Ikana'!G18</f>
        <v>1681.59987549359</v>
      </c>
      <c r="G261" s="51" t="n">
        <f aca="false">'Z4 WTP-Ikana'!$B$8-E261</f>
        <v>250.51</v>
      </c>
      <c r="H261" s="52" t="n">
        <f aca="false">F261-E261</f>
        <v>264.109875493587</v>
      </c>
      <c r="I261" s="52" t="n">
        <f aca="false">MAX(H261,G261)</f>
        <v>264.109875493587</v>
      </c>
      <c r="J261" s="4" t="str">
        <f aca="false">IFERROR("PN"&amp;SMALL(PN_list,COUNTIF(PN_list,"&lt;"&amp;I261*bar_per_m)+1),"&gt; max PN")</f>
        <v>PN30</v>
      </c>
      <c r="K261" s="4" t="str">
        <f aca="false">IF(L261="no","end at tank",IF(H261&lt;0,"NEGATIVE",IF(H261&lt;p_min-0.005,"low","OK")))</f>
        <v>OK</v>
      </c>
      <c r="L261" s="4" t="s">
        <v>414</v>
      </c>
    </row>
    <row r="262" customFormat="false" ht="15" hidden="false" customHeight="false" outlineLevel="0" collapsed="false">
      <c r="A262" s="4" t="s">
        <v>40</v>
      </c>
      <c r="B262" s="4" t="s">
        <v>363</v>
      </c>
      <c r="C262" s="47" t="n">
        <v>11626.65</v>
      </c>
      <c r="D262" s="48" t="n">
        <v>1418.71</v>
      </c>
      <c r="E262" s="49" t="n">
        <f aca="false">D262-cover</f>
        <v>1417.51</v>
      </c>
      <c r="F262" s="50" t="n">
        <f aca="false">'Z4 WTP-Ikana'!S18-'Z4 WTP-Ikana'!P18*C262/'Z4 WTP-Ikana'!G18</f>
        <v>1681.52199223622</v>
      </c>
      <c r="G262" s="51" t="n">
        <f aca="false">'Z4 WTP-Ikana'!$B$8-E262</f>
        <v>250.49</v>
      </c>
      <c r="H262" s="52" t="n">
        <f aca="false">F262-E262</f>
        <v>264.01199223622</v>
      </c>
      <c r="I262" s="52" t="n">
        <f aca="false">MAX(H262,G262)</f>
        <v>264.01199223622</v>
      </c>
      <c r="J262" s="4" t="str">
        <f aca="false">IFERROR("PN"&amp;SMALL(PN_list,COUNTIF(PN_list,"&lt;"&amp;I262*bar_per_m)+1),"&gt; max PN")</f>
        <v>PN30</v>
      </c>
      <c r="K262" s="4" t="str">
        <f aca="false">IF(L262="no","end at tank",IF(H262&lt;0,"NEGATIVE",IF(H262&lt;p_min-0.005,"low","OK")))</f>
        <v>OK</v>
      </c>
      <c r="L262" s="4" t="s">
        <v>414</v>
      </c>
    </row>
    <row r="263" customFormat="false" ht="15" hidden="false" customHeight="false" outlineLevel="0" collapsed="false">
      <c r="A263" s="4" t="s">
        <v>40</v>
      </c>
      <c r="B263" s="4" t="s">
        <v>363</v>
      </c>
      <c r="C263" s="47" t="n">
        <v>11676.65</v>
      </c>
      <c r="D263" s="48" t="n">
        <v>1418.43</v>
      </c>
      <c r="E263" s="49" t="n">
        <f aca="false">D263-cover</f>
        <v>1417.23</v>
      </c>
      <c r="F263" s="50" t="n">
        <f aca="false">'Z4 WTP-Ikana'!S18-'Z4 WTP-Ikana'!P18*C263/'Z4 WTP-Ikana'!G18</f>
        <v>1681.44410897885</v>
      </c>
      <c r="G263" s="51" t="n">
        <f aca="false">'Z4 WTP-Ikana'!$B$8-E263</f>
        <v>250.77</v>
      </c>
      <c r="H263" s="52" t="n">
        <f aca="false">F263-E263</f>
        <v>264.214108978853</v>
      </c>
      <c r="I263" s="52" t="n">
        <f aca="false">MAX(H263,G263)</f>
        <v>264.214108978853</v>
      </c>
      <c r="J263" s="4" t="str">
        <f aca="false">IFERROR("PN"&amp;SMALL(PN_list,COUNTIF(PN_list,"&lt;"&amp;I263*bar_per_m)+1),"&gt; max PN")</f>
        <v>PN30</v>
      </c>
      <c r="K263" s="4" t="str">
        <f aca="false">IF(L263="no","end at tank",IF(H263&lt;0,"NEGATIVE",IF(H263&lt;p_min-0.005,"low","OK")))</f>
        <v>OK</v>
      </c>
      <c r="L263" s="4" t="s">
        <v>414</v>
      </c>
    </row>
    <row r="264" customFormat="false" ht="15" hidden="false" customHeight="false" outlineLevel="0" collapsed="false">
      <c r="A264" s="4" t="s">
        <v>40</v>
      </c>
      <c r="B264" s="4" t="s">
        <v>363</v>
      </c>
      <c r="C264" s="47" t="n">
        <v>11726.65</v>
      </c>
      <c r="D264" s="48" t="n">
        <v>1418.37</v>
      </c>
      <c r="E264" s="49" t="n">
        <f aca="false">D264-cover</f>
        <v>1417.17</v>
      </c>
      <c r="F264" s="50" t="n">
        <f aca="false">'Z4 WTP-Ikana'!S18-'Z4 WTP-Ikana'!P18*C264/'Z4 WTP-Ikana'!G18</f>
        <v>1681.36622572149</v>
      </c>
      <c r="G264" s="51" t="n">
        <f aca="false">'Z4 WTP-Ikana'!$B$8-E264</f>
        <v>250.83</v>
      </c>
      <c r="H264" s="52" t="n">
        <f aca="false">F264-E264</f>
        <v>264.196225721486</v>
      </c>
      <c r="I264" s="52" t="n">
        <f aca="false">MAX(H264,G264)</f>
        <v>264.196225721486</v>
      </c>
      <c r="J264" s="4" t="str">
        <f aca="false">IFERROR("PN"&amp;SMALL(PN_list,COUNTIF(PN_list,"&lt;"&amp;I264*bar_per_m)+1),"&gt; max PN")</f>
        <v>PN30</v>
      </c>
      <c r="K264" s="4" t="str">
        <f aca="false">IF(L264="no","end at tank",IF(H264&lt;0,"NEGATIVE",IF(H264&lt;p_min-0.005,"low","OK")))</f>
        <v>OK</v>
      </c>
      <c r="L264" s="4" t="s">
        <v>414</v>
      </c>
    </row>
    <row r="265" customFormat="false" ht="15" hidden="false" customHeight="false" outlineLevel="0" collapsed="false">
      <c r="A265" s="4" t="s">
        <v>40</v>
      </c>
      <c r="B265" s="4" t="s">
        <v>363</v>
      </c>
      <c r="C265" s="47" t="n">
        <v>11776.65</v>
      </c>
      <c r="D265" s="48" t="n">
        <v>1418.92</v>
      </c>
      <c r="E265" s="49" t="n">
        <f aca="false">D265-cover</f>
        <v>1417.72</v>
      </c>
      <c r="F265" s="50" t="n">
        <f aca="false">'Z4 WTP-Ikana'!S18-'Z4 WTP-Ikana'!P18*C265/'Z4 WTP-Ikana'!G18</f>
        <v>1681.28834246412</v>
      </c>
      <c r="G265" s="51" t="n">
        <f aca="false">'Z4 WTP-Ikana'!$B$8-E265</f>
        <v>250.28</v>
      </c>
      <c r="H265" s="52" t="n">
        <f aca="false">F265-E265</f>
        <v>263.568342464118</v>
      </c>
      <c r="I265" s="52" t="n">
        <f aca="false">MAX(H265,G265)</f>
        <v>263.568342464118</v>
      </c>
      <c r="J265" s="4" t="str">
        <f aca="false">IFERROR("PN"&amp;SMALL(PN_list,COUNTIF(PN_list,"&lt;"&amp;I265*bar_per_m)+1),"&gt; max PN")</f>
        <v>PN30</v>
      </c>
      <c r="K265" s="4" t="str">
        <f aca="false">IF(L265="no","end at tank",IF(H265&lt;0,"NEGATIVE",IF(H265&lt;p_min-0.005,"low","OK")))</f>
        <v>OK</v>
      </c>
      <c r="L265" s="4" t="s">
        <v>414</v>
      </c>
    </row>
    <row r="266" customFormat="false" ht="15" hidden="false" customHeight="false" outlineLevel="0" collapsed="false">
      <c r="A266" s="4" t="s">
        <v>40</v>
      </c>
      <c r="B266" s="4" t="s">
        <v>363</v>
      </c>
      <c r="C266" s="47" t="n">
        <v>11826.66</v>
      </c>
      <c r="D266" s="48" t="n">
        <v>1419.29</v>
      </c>
      <c r="E266" s="49" t="n">
        <f aca="false">D266-cover</f>
        <v>1418.09</v>
      </c>
      <c r="F266" s="50" t="n">
        <f aca="false">'Z4 WTP-Ikana'!S18-'Z4 WTP-Ikana'!P18*C266/'Z4 WTP-Ikana'!G18</f>
        <v>1681.2104436301</v>
      </c>
      <c r="G266" s="51" t="n">
        <f aca="false">'Z4 WTP-Ikana'!$B$8-E266</f>
        <v>249.91</v>
      </c>
      <c r="H266" s="52" t="n">
        <f aca="false">F266-E266</f>
        <v>263.1204436301</v>
      </c>
      <c r="I266" s="52" t="n">
        <f aca="false">MAX(H266,G266)</f>
        <v>263.1204436301</v>
      </c>
      <c r="J266" s="4" t="str">
        <f aca="false">IFERROR("PN"&amp;SMALL(PN_list,COUNTIF(PN_list,"&lt;"&amp;I266*bar_per_m)+1),"&gt; max PN")</f>
        <v>PN30</v>
      </c>
      <c r="K266" s="4" t="str">
        <f aca="false">IF(L266="no","end at tank",IF(H266&lt;0,"NEGATIVE",IF(H266&lt;p_min-0.005,"low","OK")))</f>
        <v>OK</v>
      </c>
      <c r="L266" s="4" t="s">
        <v>414</v>
      </c>
    </row>
    <row r="267" customFormat="false" ht="15" hidden="false" customHeight="false" outlineLevel="0" collapsed="false">
      <c r="A267" s="4" t="s">
        <v>40</v>
      </c>
      <c r="B267" s="4" t="s">
        <v>363</v>
      </c>
      <c r="C267" s="47" t="n">
        <v>11876.66</v>
      </c>
      <c r="D267" s="48" t="n">
        <v>1418.45</v>
      </c>
      <c r="E267" s="49" t="n">
        <f aca="false">D267-cover</f>
        <v>1417.25</v>
      </c>
      <c r="F267" s="50" t="n">
        <f aca="false">'Z4 WTP-Ikana'!S18-'Z4 WTP-Ikana'!P18*C267/'Z4 WTP-Ikana'!G18</f>
        <v>1681.13256037273</v>
      </c>
      <c r="G267" s="51" t="n">
        <f aca="false">'Z4 WTP-Ikana'!$B$8-E267</f>
        <v>250.75</v>
      </c>
      <c r="H267" s="52" t="n">
        <f aca="false">F267-E267</f>
        <v>263.882560372733</v>
      </c>
      <c r="I267" s="52" t="n">
        <f aca="false">MAX(H267,G267)</f>
        <v>263.882560372733</v>
      </c>
      <c r="J267" s="4" t="str">
        <f aca="false">IFERROR("PN"&amp;SMALL(PN_list,COUNTIF(PN_list,"&lt;"&amp;I267*bar_per_m)+1),"&gt; max PN")</f>
        <v>PN30</v>
      </c>
      <c r="K267" s="4" t="str">
        <f aca="false">IF(L267="no","end at tank",IF(H267&lt;0,"NEGATIVE",IF(H267&lt;p_min-0.005,"low","OK")))</f>
        <v>OK</v>
      </c>
      <c r="L267" s="4" t="s">
        <v>414</v>
      </c>
    </row>
    <row r="268" customFormat="false" ht="15" hidden="false" customHeight="false" outlineLevel="0" collapsed="false">
      <c r="A268" s="4" t="s">
        <v>40</v>
      </c>
      <c r="B268" s="4" t="s">
        <v>363</v>
      </c>
      <c r="C268" s="47" t="n">
        <v>11926.67</v>
      </c>
      <c r="D268" s="48" t="n">
        <v>1418.98</v>
      </c>
      <c r="E268" s="49" t="n">
        <f aca="false">D268-cover</f>
        <v>1417.78</v>
      </c>
      <c r="F268" s="50" t="n">
        <f aca="false">'Z4 WTP-Ikana'!S18-'Z4 WTP-Ikana'!P18*C268/'Z4 WTP-Ikana'!G18</f>
        <v>1681.05466153871</v>
      </c>
      <c r="G268" s="51" t="n">
        <f aca="false">'Z4 WTP-Ikana'!$B$8-E268</f>
        <v>250.22</v>
      </c>
      <c r="H268" s="52" t="n">
        <f aca="false">F268-E268</f>
        <v>263.274661538714</v>
      </c>
      <c r="I268" s="52" t="n">
        <f aca="false">MAX(H268,G268)</f>
        <v>263.274661538714</v>
      </c>
      <c r="J268" s="4" t="str">
        <f aca="false">IFERROR("PN"&amp;SMALL(PN_list,COUNTIF(PN_list,"&lt;"&amp;I268*bar_per_m)+1),"&gt; max PN")</f>
        <v>PN30</v>
      </c>
      <c r="K268" s="4" t="str">
        <f aca="false">IF(L268="no","end at tank",IF(H268&lt;0,"NEGATIVE",IF(H268&lt;p_min-0.005,"low","OK")))</f>
        <v>OK</v>
      </c>
      <c r="L268" s="4" t="s">
        <v>414</v>
      </c>
    </row>
    <row r="269" customFormat="false" ht="15" hidden="false" customHeight="false" outlineLevel="0" collapsed="false">
      <c r="A269" s="4" t="s">
        <v>40</v>
      </c>
      <c r="B269" s="4" t="s">
        <v>363</v>
      </c>
      <c r="C269" s="47" t="n">
        <v>11976.74</v>
      </c>
      <c r="D269" s="48" t="n">
        <v>1421.64</v>
      </c>
      <c r="E269" s="49" t="n">
        <f aca="false">D269-cover</f>
        <v>1420.44</v>
      </c>
      <c r="F269" s="50" t="n">
        <f aca="false">'Z4 WTP-Ikana'!S18-'Z4 WTP-Ikana'!P18*C269/'Z4 WTP-Ikana'!G18</f>
        <v>1680.97666924479</v>
      </c>
      <c r="G269" s="51" t="n">
        <f aca="false">'Z4 WTP-Ikana'!$B$8-E269</f>
        <v>247.56</v>
      </c>
      <c r="H269" s="52" t="n">
        <f aca="false">F269-E269</f>
        <v>260.536669244787</v>
      </c>
      <c r="I269" s="52" t="n">
        <f aca="false">MAX(H269,G269)</f>
        <v>260.536669244787</v>
      </c>
      <c r="J269" s="4" t="str">
        <f aca="false">IFERROR("PN"&amp;SMALL(PN_list,COUNTIF(PN_list,"&lt;"&amp;I269*bar_per_m)+1),"&gt; max PN")</f>
        <v>PN30</v>
      </c>
      <c r="K269" s="4" t="str">
        <f aca="false">IF(L269="no","end at tank",IF(H269&lt;0,"NEGATIVE",IF(H269&lt;p_min-0.005,"low","OK")))</f>
        <v>OK</v>
      </c>
      <c r="L269" s="4" t="s">
        <v>414</v>
      </c>
    </row>
    <row r="270" customFormat="false" ht="15" hidden="false" customHeight="false" outlineLevel="0" collapsed="false">
      <c r="A270" s="4" t="s">
        <v>40</v>
      </c>
      <c r="B270" s="4" t="s">
        <v>363</v>
      </c>
      <c r="C270" s="47" t="n">
        <v>12026.75</v>
      </c>
      <c r="D270" s="48" t="n">
        <v>1422.92</v>
      </c>
      <c r="E270" s="49" t="n">
        <f aca="false">D270-cover</f>
        <v>1421.72</v>
      </c>
      <c r="F270" s="50" t="n">
        <f aca="false">'Z4 WTP-Ikana'!S18-'Z4 WTP-Ikana'!P18*C270/'Z4 WTP-Ikana'!G18</f>
        <v>1680.89877041077</v>
      </c>
      <c r="G270" s="51" t="n">
        <f aca="false">'Z4 WTP-Ikana'!$B$8-E270</f>
        <v>246.28</v>
      </c>
      <c r="H270" s="52" t="n">
        <f aca="false">F270-E270</f>
        <v>259.178770410768</v>
      </c>
      <c r="I270" s="52" t="n">
        <f aca="false">MAX(H270,G270)</f>
        <v>259.178770410768</v>
      </c>
      <c r="J270" s="4" t="str">
        <f aca="false">IFERROR("PN"&amp;SMALL(PN_list,COUNTIF(PN_list,"&lt;"&amp;I270*bar_per_m)+1),"&gt; max PN")</f>
        <v>PN30</v>
      </c>
      <c r="K270" s="4" t="str">
        <f aca="false">IF(L270="no","end at tank",IF(H270&lt;0,"NEGATIVE",IF(H270&lt;p_min-0.005,"low","OK")))</f>
        <v>OK</v>
      </c>
      <c r="L270" s="4" t="s">
        <v>414</v>
      </c>
    </row>
    <row r="271" customFormat="false" ht="15" hidden="false" customHeight="false" outlineLevel="0" collapsed="false">
      <c r="A271" s="4" t="s">
        <v>40</v>
      </c>
      <c r="B271" s="4" t="s">
        <v>363</v>
      </c>
      <c r="C271" s="47" t="n">
        <v>12076.78</v>
      </c>
      <c r="D271" s="48" t="n">
        <v>1424.42</v>
      </c>
      <c r="E271" s="49" t="n">
        <f aca="false">D271-cover</f>
        <v>1423.22</v>
      </c>
      <c r="F271" s="50" t="n">
        <f aca="false">'Z4 WTP-Ikana'!S18-'Z4 WTP-Ikana'!P18*C271/'Z4 WTP-Ikana'!G18</f>
        <v>1680.82084042345</v>
      </c>
      <c r="G271" s="51" t="n">
        <f aca="false">'Z4 WTP-Ikana'!$B$8-E271</f>
        <v>244.78</v>
      </c>
      <c r="H271" s="52" t="n">
        <f aca="false">F271-E271</f>
        <v>257.600840423447</v>
      </c>
      <c r="I271" s="52" t="n">
        <f aca="false">MAX(H271,G271)</f>
        <v>257.600840423447</v>
      </c>
      <c r="J271" s="4" t="str">
        <f aca="false">IFERROR("PN"&amp;SMALL(PN_list,COUNTIF(PN_list,"&lt;"&amp;I271*bar_per_m)+1),"&gt; max PN")</f>
        <v>PN30</v>
      </c>
      <c r="K271" s="4" t="str">
        <f aca="false">IF(L271="no","end at tank",IF(H271&lt;0,"NEGATIVE",IF(H271&lt;p_min-0.005,"low","OK")))</f>
        <v>OK</v>
      </c>
      <c r="L271" s="4" t="s">
        <v>414</v>
      </c>
    </row>
    <row r="272" customFormat="false" ht="15" hidden="false" customHeight="false" outlineLevel="0" collapsed="false">
      <c r="A272" s="4" t="s">
        <v>40</v>
      </c>
      <c r="B272" s="4" t="s">
        <v>363</v>
      </c>
      <c r="C272" s="47" t="n">
        <v>12126.79</v>
      </c>
      <c r="D272" s="48" t="n">
        <v>1425.45</v>
      </c>
      <c r="E272" s="49" t="n">
        <f aca="false">D272-cover</f>
        <v>1424.25</v>
      </c>
      <c r="F272" s="50" t="n">
        <f aca="false">'Z4 WTP-Ikana'!S18-'Z4 WTP-Ikana'!P18*C272/'Z4 WTP-Ikana'!G18</f>
        <v>1680.74294158943</v>
      </c>
      <c r="G272" s="51" t="n">
        <f aca="false">'Z4 WTP-Ikana'!$B$8-E272</f>
        <v>243.75</v>
      </c>
      <c r="H272" s="52" t="n">
        <f aca="false">F272-E272</f>
        <v>256.492941589428</v>
      </c>
      <c r="I272" s="52" t="n">
        <f aca="false">MAX(H272,G272)</f>
        <v>256.492941589428</v>
      </c>
      <c r="J272" s="4" t="str">
        <f aca="false">IFERROR("PN"&amp;SMALL(PN_list,COUNTIF(PN_list,"&lt;"&amp;I272*bar_per_m)+1),"&gt; max PN")</f>
        <v>PN30</v>
      </c>
      <c r="K272" s="4" t="str">
        <f aca="false">IF(L272="no","end at tank",IF(H272&lt;0,"NEGATIVE",IF(H272&lt;p_min-0.005,"low","OK")))</f>
        <v>OK</v>
      </c>
      <c r="L272" s="4" t="s">
        <v>414</v>
      </c>
    </row>
    <row r="273" customFormat="false" ht="15" hidden="false" customHeight="false" outlineLevel="0" collapsed="false">
      <c r="A273" s="4" t="s">
        <v>40</v>
      </c>
      <c r="B273" s="4" t="s">
        <v>363</v>
      </c>
      <c r="C273" s="47" t="n">
        <v>12176.79</v>
      </c>
      <c r="D273" s="48" t="n">
        <v>1426.28</v>
      </c>
      <c r="E273" s="49" t="n">
        <f aca="false">D273-cover</f>
        <v>1425.08</v>
      </c>
      <c r="F273" s="50" t="n">
        <f aca="false">'Z4 WTP-Ikana'!S18-'Z4 WTP-Ikana'!P18*C273/'Z4 WTP-Ikana'!G18</f>
        <v>1680.66505833206</v>
      </c>
      <c r="G273" s="51" t="n">
        <f aca="false">'Z4 WTP-Ikana'!$B$8-E273</f>
        <v>242.92</v>
      </c>
      <c r="H273" s="52" t="n">
        <f aca="false">F273-E273</f>
        <v>255.585058332061</v>
      </c>
      <c r="I273" s="52" t="n">
        <f aca="false">MAX(H273,G273)</f>
        <v>255.585058332061</v>
      </c>
      <c r="J273" s="4" t="str">
        <f aca="false">IFERROR("PN"&amp;SMALL(PN_list,COUNTIF(PN_list,"&lt;"&amp;I273*bar_per_m)+1),"&gt; max PN")</f>
        <v>PN30</v>
      </c>
      <c r="K273" s="4" t="str">
        <f aca="false">IF(L273="no","end at tank",IF(H273&lt;0,"NEGATIVE",IF(H273&lt;p_min-0.005,"low","OK")))</f>
        <v>OK</v>
      </c>
      <c r="L273" s="4" t="s">
        <v>414</v>
      </c>
    </row>
    <row r="274" customFormat="false" ht="15" hidden="false" customHeight="false" outlineLevel="0" collapsed="false">
      <c r="A274" s="4" t="s">
        <v>40</v>
      </c>
      <c r="B274" s="4" t="s">
        <v>363</v>
      </c>
      <c r="C274" s="47" t="n">
        <v>12226.82</v>
      </c>
      <c r="D274" s="48" t="n">
        <v>1427.89</v>
      </c>
      <c r="E274" s="49" t="n">
        <f aca="false">D274-cover</f>
        <v>1426.69</v>
      </c>
      <c r="F274" s="50" t="n">
        <f aca="false">'Z4 WTP-Ikana'!S18-'Z4 WTP-Ikana'!P18*C274/'Z4 WTP-Ikana'!G18</f>
        <v>1680.58712834474</v>
      </c>
      <c r="G274" s="51" t="n">
        <f aca="false">'Z4 WTP-Ikana'!$B$8-E274</f>
        <v>241.31</v>
      </c>
      <c r="H274" s="52" t="n">
        <f aca="false">F274-E274</f>
        <v>253.89712834474</v>
      </c>
      <c r="I274" s="52" t="n">
        <f aca="false">MAX(H274,G274)</f>
        <v>253.89712834474</v>
      </c>
      <c r="J274" s="4" t="str">
        <f aca="false">IFERROR("PN"&amp;SMALL(PN_list,COUNTIF(PN_list,"&lt;"&amp;I274*bar_per_m)+1),"&gt; max PN")</f>
        <v>PN25</v>
      </c>
      <c r="K274" s="4" t="str">
        <f aca="false">IF(L274="no","end at tank",IF(H274&lt;0,"NEGATIVE",IF(H274&lt;p_min-0.005,"low","OK")))</f>
        <v>OK</v>
      </c>
      <c r="L274" s="4" t="s">
        <v>414</v>
      </c>
    </row>
    <row r="275" customFormat="false" ht="15" hidden="false" customHeight="false" outlineLevel="0" collapsed="false">
      <c r="A275" s="4" t="s">
        <v>40</v>
      </c>
      <c r="B275" s="4" t="s">
        <v>363</v>
      </c>
      <c r="C275" s="47" t="n">
        <v>12276.84</v>
      </c>
      <c r="D275" s="48" t="n">
        <v>1429.33</v>
      </c>
      <c r="E275" s="49" t="n">
        <f aca="false">D275-cover</f>
        <v>1428.13</v>
      </c>
      <c r="F275" s="50" t="n">
        <f aca="false">'Z4 WTP-Ikana'!S18-'Z4 WTP-Ikana'!P18*C275/'Z4 WTP-Ikana'!G18</f>
        <v>1680.50921393407</v>
      </c>
      <c r="G275" s="51" t="n">
        <f aca="false">'Z4 WTP-Ikana'!$B$8-E275</f>
        <v>239.87</v>
      </c>
      <c r="H275" s="52" t="n">
        <f aca="false">F275-E275</f>
        <v>252.37921393407</v>
      </c>
      <c r="I275" s="52" t="n">
        <f aca="false">MAX(H275,G275)</f>
        <v>252.37921393407</v>
      </c>
      <c r="J275" s="4" t="str">
        <f aca="false">IFERROR("PN"&amp;SMALL(PN_list,COUNTIF(PN_list,"&lt;"&amp;I275*bar_per_m)+1),"&gt; max PN")</f>
        <v>PN25</v>
      </c>
      <c r="K275" s="4" t="str">
        <f aca="false">IF(L275="no","end at tank",IF(H275&lt;0,"NEGATIVE",IF(H275&lt;p_min-0.005,"low","OK")))</f>
        <v>OK</v>
      </c>
      <c r="L275" s="4" t="s">
        <v>414</v>
      </c>
    </row>
    <row r="276" customFormat="false" ht="15" hidden="false" customHeight="false" outlineLevel="0" collapsed="false">
      <c r="A276" s="4" t="s">
        <v>40</v>
      </c>
      <c r="B276" s="4" t="s">
        <v>363</v>
      </c>
      <c r="C276" s="47" t="n">
        <v>12326.85</v>
      </c>
      <c r="D276" s="48" t="n">
        <v>1430.19</v>
      </c>
      <c r="E276" s="49" t="n">
        <f aca="false">D276-cover</f>
        <v>1428.99</v>
      </c>
      <c r="F276" s="50" t="n">
        <f aca="false">'Z4 WTP-Ikana'!S18-'Z4 WTP-Ikana'!P18*C276/'Z4 WTP-Ikana'!G18</f>
        <v>1680.43131510005</v>
      </c>
      <c r="G276" s="51" t="n">
        <f aca="false">'Z4 WTP-Ikana'!$B$8-E276</f>
        <v>239.01</v>
      </c>
      <c r="H276" s="52" t="n">
        <f aca="false">F276-E276</f>
        <v>251.441315100051</v>
      </c>
      <c r="I276" s="52" t="n">
        <f aca="false">MAX(H276,G276)</f>
        <v>251.441315100051</v>
      </c>
      <c r="J276" s="4" t="str">
        <f aca="false">IFERROR("PN"&amp;SMALL(PN_list,COUNTIF(PN_list,"&lt;"&amp;I276*bar_per_m)+1),"&gt; max PN")</f>
        <v>PN25</v>
      </c>
      <c r="K276" s="4" t="str">
        <f aca="false">IF(L276="no","end at tank",IF(H276&lt;0,"NEGATIVE",IF(H276&lt;p_min-0.005,"low","OK")))</f>
        <v>OK</v>
      </c>
      <c r="L276" s="4" t="s">
        <v>414</v>
      </c>
    </row>
    <row r="277" customFormat="false" ht="15" hidden="false" customHeight="false" outlineLevel="0" collapsed="false">
      <c r="A277" s="4" t="s">
        <v>40</v>
      </c>
      <c r="B277" s="4" t="s">
        <v>363</v>
      </c>
      <c r="C277" s="47" t="n">
        <v>12376.87</v>
      </c>
      <c r="D277" s="48" t="n">
        <v>1431.75</v>
      </c>
      <c r="E277" s="49" t="n">
        <f aca="false">D277-cover</f>
        <v>1430.55</v>
      </c>
      <c r="F277" s="50" t="n">
        <f aca="false">'Z4 WTP-Ikana'!S18-'Z4 WTP-Ikana'!P18*C277/'Z4 WTP-Ikana'!G18</f>
        <v>1680.35340068938</v>
      </c>
      <c r="G277" s="51" t="n">
        <f aca="false">'Z4 WTP-Ikana'!$B$8-E277</f>
        <v>237.45</v>
      </c>
      <c r="H277" s="52" t="n">
        <f aca="false">F277-E277</f>
        <v>249.803400689381</v>
      </c>
      <c r="I277" s="52" t="n">
        <f aca="false">MAX(H277,G277)</f>
        <v>249.803400689381</v>
      </c>
      <c r="J277" s="4" t="str">
        <f aca="false">IFERROR("PN"&amp;SMALL(PN_list,COUNTIF(PN_list,"&lt;"&amp;I277*bar_per_m)+1),"&gt; max PN")</f>
        <v>PN25</v>
      </c>
      <c r="K277" s="4" t="str">
        <f aca="false">IF(L277="no","end at tank",IF(H277&lt;0,"NEGATIVE",IF(H277&lt;p_min-0.005,"low","OK")))</f>
        <v>OK</v>
      </c>
      <c r="L277" s="4" t="s">
        <v>414</v>
      </c>
    </row>
    <row r="278" customFormat="false" ht="15" hidden="false" customHeight="false" outlineLevel="0" collapsed="false">
      <c r="A278" s="4" t="s">
        <v>40</v>
      </c>
      <c r="B278" s="4" t="s">
        <v>363</v>
      </c>
      <c r="C278" s="47" t="n">
        <v>12426.88</v>
      </c>
      <c r="D278" s="48" t="n">
        <v>1432.43</v>
      </c>
      <c r="E278" s="49" t="n">
        <f aca="false">D278-cover</f>
        <v>1431.23</v>
      </c>
      <c r="F278" s="50" t="n">
        <f aca="false">'Z4 WTP-Ikana'!S18-'Z4 WTP-Ikana'!P18*C278/'Z4 WTP-Ikana'!G18</f>
        <v>1680.27550185536</v>
      </c>
      <c r="G278" s="51" t="n">
        <f aca="false">'Z4 WTP-Ikana'!$B$8-E278</f>
        <v>236.77</v>
      </c>
      <c r="H278" s="52" t="n">
        <f aca="false">F278-E278</f>
        <v>249.045501855363</v>
      </c>
      <c r="I278" s="52" t="n">
        <f aca="false">MAX(H278,G278)</f>
        <v>249.045501855363</v>
      </c>
      <c r="J278" s="4" t="str">
        <f aca="false">IFERROR("PN"&amp;SMALL(PN_list,COUNTIF(PN_list,"&lt;"&amp;I278*bar_per_m)+1),"&gt; max PN")</f>
        <v>PN25</v>
      </c>
      <c r="K278" s="4" t="str">
        <f aca="false">IF(L278="no","end at tank",IF(H278&lt;0,"NEGATIVE",IF(H278&lt;p_min-0.005,"low","OK")))</f>
        <v>OK</v>
      </c>
      <c r="L278" s="4" t="s">
        <v>414</v>
      </c>
    </row>
    <row r="279" customFormat="false" ht="15" hidden="false" customHeight="false" outlineLevel="0" collapsed="false">
      <c r="A279" s="4" t="s">
        <v>40</v>
      </c>
      <c r="B279" s="4" t="s">
        <v>363</v>
      </c>
      <c r="C279" s="47" t="n">
        <v>12476.89</v>
      </c>
      <c r="D279" s="48" t="n">
        <v>1433.57</v>
      </c>
      <c r="E279" s="49" t="n">
        <f aca="false">D279-cover</f>
        <v>1432.37</v>
      </c>
      <c r="F279" s="50" t="n">
        <f aca="false">'Z4 WTP-Ikana'!S18-'Z4 WTP-Ikana'!P18*C279/'Z4 WTP-Ikana'!G18</f>
        <v>1680.19760302134</v>
      </c>
      <c r="G279" s="51" t="n">
        <f aca="false">'Z4 WTP-Ikana'!$B$8-E279</f>
        <v>235.63</v>
      </c>
      <c r="H279" s="52" t="n">
        <f aca="false">F279-E279</f>
        <v>247.827603021344</v>
      </c>
      <c r="I279" s="52" t="n">
        <f aca="false">MAX(H279,G279)</f>
        <v>247.827603021344</v>
      </c>
      <c r="J279" s="4" t="str">
        <f aca="false">IFERROR("PN"&amp;SMALL(PN_list,COUNTIF(PN_list,"&lt;"&amp;I279*bar_per_m)+1),"&gt; max PN")</f>
        <v>PN25</v>
      </c>
      <c r="K279" s="4" t="str">
        <f aca="false">IF(L279="no","end at tank",IF(H279&lt;0,"NEGATIVE",IF(H279&lt;p_min-0.005,"low","OK")))</f>
        <v>OK</v>
      </c>
      <c r="L279" s="4" t="s">
        <v>414</v>
      </c>
    </row>
    <row r="280" customFormat="false" ht="15" hidden="false" customHeight="false" outlineLevel="0" collapsed="false">
      <c r="A280" s="4" t="s">
        <v>40</v>
      </c>
      <c r="B280" s="4" t="s">
        <v>363</v>
      </c>
      <c r="C280" s="47" t="n">
        <v>12526.91</v>
      </c>
      <c r="D280" s="48" t="n">
        <v>1434.94</v>
      </c>
      <c r="E280" s="49" t="n">
        <f aca="false">D280-cover</f>
        <v>1433.74</v>
      </c>
      <c r="F280" s="50" t="n">
        <f aca="false">'Z4 WTP-Ikana'!S18-'Z4 WTP-Ikana'!P18*C280/'Z4 WTP-Ikana'!G18</f>
        <v>1680.11968861067</v>
      </c>
      <c r="G280" s="51" t="n">
        <f aca="false">'Z4 WTP-Ikana'!$B$8-E280</f>
        <v>234.26</v>
      </c>
      <c r="H280" s="52" t="n">
        <f aca="false">F280-E280</f>
        <v>246.379688610674</v>
      </c>
      <c r="I280" s="52" t="n">
        <f aca="false">MAX(H280,G280)</f>
        <v>246.379688610674</v>
      </c>
      <c r="J280" s="4" t="str">
        <f aca="false">IFERROR("PN"&amp;SMALL(PN_list,COUNTIF(PN_list,"&lt;"&amp;I280*bar_per_m)+1),"&gt; max PN")</f>
        <v>PN25</v>
      </c>
      <c r="K280" s="4" t="str">
        <f aca="false">IF(L280="no","end at tank",IF(H280&lt;0,"NEGATIVE",IF(H280&lt;p_min-0.005,"low","OK")))</f>
        <v>OK</v>
      </c>
      <c r="L280" s="4" t="s">
        <v>414</v>
      </c>
    </row>
    <row r="281" customFormat="false" ht="15" hidden="false" customHeight="false" outlineLevel="0" collapsed="false">
      <c r="A281" s="4" t="s">
        <v>40</v>
      </c>
      <c r="B281" s="4" t="s">
        <v>363</v>
      </c>
      <c r="C281" s="47" t="n">
        <v>12576.93</v>
      </c>
      <c r="D281" s="48" t="n">
        <v>1436.4</v>
      </c>
      <c r="E281" s="49" t="n">
        <f aca="false">D281-cover</f>
        <v>1435.2</v>
      </c>
      <c r="F281" s="50" t="n">
        <f aca="false">'Z4 WTP-Ikana'!S18-'Z4 WTP-Ikana'!P18*C281/'Z4 WTP-Ikana'!G18</f>
        <v>1680.0417742</v>
      </c>
      <c r="G281" s="51" t="n">
        <f aca="false">'Z4 WTP-Ikana'!$B$8-E281</f>
        <v>232.8</v>
      </c>
      <c r="H281" s="52" t="n">
        <f aca="false">F281-E281</f>
        <v>244.841774200004</v>
      </c>
      <c r="I281" s="52" t="n">
        <f aca="false">MAX(H281,G281)</f>
        <v>244.841774200004</v>
      </c>
      <c r="J281" s="4" t="str">
        <f aca="false">IFERROR("PN"&amp;SMALL(PN_list,COUNTIF(PN_list,"&lt;"&amp;I281*bar_per_m)+1),"&gt; max PN")</f>
        <v>PN25</v>
      </c>
      <c r="K281" s="4" t="str">
        <f aca="false">IF(L281="no","end at tank",IF(H281&lt;0,"NEGATIVE",IF(H281&lt;p_min-0.005,"low","OK")))</f>
        <v>OK</v>
      </c>
      <c r="L281" s="4" t="s">
        <v>414</v>
      </c>
    </row>
    <row r="282" customFormat="false" ht="15" hidden="false" customHeight="false" outlineLevel="0" collapsed="false">
      <c r="A282" s="4" t="s">
        <v>40</v>
      </c>
      <c r="B282" s="4" t="s">
        <v>363</v>
      </c>
      <c r="C282" s="47" t="n">
        <v>12626.94</v>
      </c>
      <c r="D282" s="48" t="n">
        <v>1437.42</v>
      </c>
      <c r="E282" s="49" t="n">
        <f aca="false">D282-cover</f>
        <v>1436.22</v>
      </c>
      <c r="F282" s="50" t="n">
        <f aca="false">'Z4 WTP-Ikana'!S18-'Z4 WTP-Ikana'!P18*C282/'Z4 WTP-Ikana'!G18</f>
        <v>1679.96387536599</v>
      </c>
      <c r="G282" s="51" t="n">
        <f aca="false">'Z4 WTP-Ikana'!$B$8-E282</f>
        <v>231.78</v>
      </c>
      <c r="H282" s="52" t="n">
        <f aca="false">F282-E282</f>
        <v>243.743875365986</v>
      </c>
      <c r="I282" s="52" t="n">
        <f aca="false">MAX(H282,G282)</f>
        <v>243.743875365986</v>
      </c>
      <c r="J282" s="4" t="str">
        <f aca="false">IFERROR("PN"&amp;SMALL(PN_list,COUNTIF(PN_list,"&lt;"&amp;I282*bar_per_m)+1),"&gt; max PN")</f>
        <v>PN25</v>
      </c>
      <c r="K282" s="4" t="str">
        <f aca="false">IF(L282="no","end at tank",IF(H282&lt;0,"NEGATIVE",IF(H282&lt;p_min-0.005,"low","OK")))</f>
        <v>OK</v>
      </c>
      <c r="L282" s="4" t="s">
        <v>414</v>
      </c>
    </row>
    <row r="283" customFormat="false" ht="15" hidden="false" customHeight="false" outlineLevel="0" collapsed="false">
      <c r="A283" s="4" t="s">
        <v>40</v>
      </c>
      <c r="B283" s="4" t="s">
        <v>363</v>
      </c>
      <c r="C283" s="47" t="n">
        <v>12676.95</v>
      </c>
      <c r="D283" s="48" t="n">
        <v>1438.64</v>
      </c>
      <c r="E283" s="49" t="n">
        <f aca="false">D283-cover</f>
        <v>1437.44</v>
      </c>
      <c r="F283" s="50" t="n">
        <f aca="false">'Z4 WTP-Ikana'!S18-'Z4 WTP-Ikana'!P18*C283/'Z4 WTP-Ikana'!G18</f>
        <v>1679.88597653197</v>
      </c>
      <c r="G283" s="51" t="n">
        <f aca="false">'Z4 WTP-Ikana'!$B$8-E283</f>
        <v>230.56</v>
      </c>
      <c r="H283" s="52" t="n">
        <f aca="false">F283-E283</f>
        <v>242.445976531967</v>
      </c>
      <c r="I283" s="52" t="n">
        <f aca="false">MAX(H283,G283)</f>
        <v>242.445976531967</v>
      </c>
      <c r="J283" s="4" t="str">
        <f aca="false">IFERROR("PN"&amp;SMALL(PN_list,COUNTIF(PN_list,"&lt;"&amp;I283*bar_per_m)+1),"&gt; max PN")</f>
        <v>PN25</v>
      </c>
      <c r="K283" s="4" t="str">
        <f aca="false">IF(L283="no","end at tank",IF(H283&lt;0,"NEGATIVE",IF(H283&lt;p_min-0.005,"low","OK")))</f>
        <v>OK</v>
      </c>
      <c r="L283" s="4" t="s">
        <v>414</v>
      </c>
    </row>
    <row r="284" customFormat="false" ht="15" hidden="false" customHeight="false" outlineLevel="0" collapsed="false">
      <c r="A284" s="4" t="s">
        <v>40</v>
      </c>
      <c r="B284" s="4" t="s">
        <v>363</v>
      </c>
      <c r="C284" s="47" t="n">
        <v>12726.96</v>
      </c>
      <c r="D284" s="48" t="n">
        <v>1439.36</v>
      </c>
      <c r="E284" s="49" t="n">
        <f aca="false">D284-cover</f>
        <v>1438.16</v>
      </c>
      <c r="F284" s="50" t="n">
        <f aca="false">'Z4 WTP-Ikana'!S18-'Z4 WTP-Ikana'!P18*C284/'Z4 WTP-Ikana'!G18</f>
        <v>1679.80807769795</v>
      </c>
      <c r="G284" s="51" t="n">
        <f aca="false">'Z4 WTP-Ikana'!$B$8-E284</f>
        <v>229.84</v>
      </c>
      <c r="H284" s="52" t="n">
        <f aca="false">F284-E284</f>
        <v>241.648077697949</v>
      </c>
      <c r="I284" s="52" t="n">
        <f aca="false">MAX(H284,G284)</f>
        <v>241.648077697949</v>
      </c>
      <c r="J284" s="4" t="str">
        <f aca="false">IFERROR("PN"&amp;SMALL(PN_list,COUNTIF(PN_list,"&lt;"&amp;I284*bar_per_m)+1),"&gt; max PN")</f>
        <v>PN25</v>
      </c>
      <c r="K284" s="4" t="str">
        <f aca="false">IF(L284="no","end at tank",IF(H284&lt;0,"NEGATIVE",IF(H284&lt;p_min-0.005,"low","OK")))</f>
        <v>OK</v>
      </c>
      <c r="L284" s="4" t="s">
        <v>414</v>
      </c>
    </row>
    <row r="285" customFormat="false" ht="15" hidden="false" customHeight="false" outlineLevel="0" collapsed="false">
      <c r="A285" s="4" t="s">
        <v>40</v>
      </c>
      <c r="B285" s="4" t="s">
        <v>363</v>
      </c>
      <c r="C285" s="47" t="n">
        <v>12776.97</v>
      </c>
      <c r="D285" s="48" t="n">
        <v>1440.23</v>
      </c>
      <c r="E285" s="49" t="n">
        <f aca="false">D285-cover</f>
        <v>1439.03</v>
      </c>
      <c r="F285" s="50" t="n">
        <f aca="false">'Z4 WTP-Ikana'!S18-'Z4 WTP-Ikana'!P18*C285/'Z4 WTP-Ikana'!G18</f>
        <v>1679.73017886393</v>
      </c>
      <c r="G285" s="51" t="n">
        <f aca="false">'Z4 WTP-Ikana'!$B$8-E285</f>
        <v>228.97</v>
      </c>
      <c r="H285" s="52" t="n">
        <f aca="false">F285-E285</f>
        <v>240.70017886393</v>
      </c>
      <c r="I285" s="52" t="n">
        <f aca="false">MAX(H285,G285)</f>
        <v>240.70017886393</v>
      </c>
      <c r="J285" s="4" t="str">
        <f aca="false">IFERROR("PN"&amp;SMALL(PN_list,COUNTIF(PN_list,"&lt;"&amp;I285*bar_per_m)+1),"&gt; max PN")</f>
        <v>PN25</v>
      </c>
      <c r="K285" s="4" t="str">
        <f aca="false">IF(L285="no","end at tank",IF(H285&lt;0,"NEGATIVE",IF(H285&lt;p_min-0.005,"low","OK")))</f>
        <v>OK</v>
      </c>
      <c r="L285" s="4" t="s">
        <v>414</v>
      </c>
    </row>
    <row r="286" customFormat="false" ht="15" hidden="false" customHeight="false" outlineLevel="0" collapsed="false">
      <c r="A286" s="4" t="s">
        <v>40</v>
      </c>
      <c r="B286" s="4" t="s">
        <v>363</v>
      </c>
      <c r="C286" s="47" t="n">
        <v>12826.97</v>
      </c>
      <c r="D286" s="48" t="n">
        <v>1440.84</v>
      </c>
      <c r="E286" s="49" t="n">
        <f aca="false">D286-cover</f>
        <v>1439.64</v>
      </c>
      <c r="F286" s="50" t="n">
        <f aca="false">'Z4 WTP-Ikana'!S18-'Z4 WTP-Ikana'!P18*C286/'Z4 WTP-Ikana'!G18</f>
        <v>1679.65229560656</v>
      </c>
      <c r="G286" s="51" t="n">
        <f aca="false">'Z4 WTP-Ikana'!$B$8-E286</f>
        <v>228.36</v>
      </c>
      <c r="H286" s="52" t="n">
        <f aca="false">F286-E286</f>
        <v>240.012295606563</v>
      </c>
      <c r="I286" s="52" t="n">
        <f aca="false">MAX(H286,G286)</f>
        <v>240.012295606563</v>
      </c>
      <c r="J286" s="4" t="str">
        <f aca="false">IFERROR("PN"&amp;SMALL(PN_list,COUNTIF(PN_list,"&lt;"&amp;I286*bar_per_m)+1),"&gt; max PN")</f>
        <v>PN25</v>
      </c>
      <c r="K286" s="4" t="str">
        <f aca="false">IF(L286="no","end at tank",IF(H286&lt;0,"NEGATIVE",IF(H286&lt;p_min-0.005,"low","OK")))</f>
        <v>OK</v>
      </c>
      <c r="L286" s="4" t="s">
        <v>414</v>
      </c>
    </row>
    <row r="287" customFormat="false" ht="15" hidden="false" customHeight="false" outlineLevel="0" collapsed="false">
      <c r="A287" s="4" t="s">
        <v>40</v>
      </c>
      <c r="B287" s="4" t="s">
        <v>363</v>
      </c>
      <c r="C287" s="47" t="n">
        <v>12876.99</v>
      </c>
      <c r="D287" s="48" t="n">
        <v>1442.16</v>
      </c>
      <c r="E287" s="49" t="n">
        <f aca="false">D287-cover</f>
        <v>1440.96</v>
      </c>
      <c r="F287" s="50" t="n">
        <f aca="false">'Z4 WTP-Ikana'!S18-'Z4 WTP-Ikana'!P18*C287/'Z4 WTP-Ikana'!G18</f>
        <v>1679.57438119589</v>
      </c>
      <c r="G287" s="51" t="n">
        <f aca="false">'Z4 WTP-Ikana'!$B$8-E287</f>
        <v>227.04</v>
      </c>
      <c r="H287" s="52" t="n">
        <f aca="false">F287-E287</f>
        <v>238.614381195893</v>
      </c>
      <c r="I287" s="52" t="n">
        <f aca="false">MAX(H287,G287)</f>
        <v>238.614381195893</v>
      </c>
      <c r="J287" s="4" t="str">
        <f aca="false">IFERROR("PN"&amp;SMALL(PN_list,COUNTIF(PN_list,"&lt;"&amp;I287*bar_per_m)+1),"&gt; max PN")</f>
        <v>PN25</v>
      </c>
      <c r="K287" s="4" t="str">
        <f aca="false">IF(L287="no","end at tank",IF(H287&lt;0,"NEGATIVE",IF(H287&lt;p_min-0.005,"low","OK")))</f>
        <v>OK</v>
      </c>
      <c r="L287" s="4" t="s">
        <v>414</v>
      </c>
    </row>
    <row r="288" customFormat="false" ht="15" hidden="false" customHeight="false" outlineLevel="0" collapsed="false">
      <c r="A288" s="4" t="s">
        <v>40</v>
      </c>
      <c r="B288" s="4" t="s">
        <v>363</v>
      </c>
      <c r="C288" s="47" t="n">
        <v>12926.99</v>
      </c>
      <c r="D288" s="48" t="n">
        <v>1442.35</v>
      </c>
      <c r="E288" s="49" t="n">
        <f aca="false">D288-cover</f>
        <v>1441.15</v>
      </c>
      <c r="F288" s="50" t="n">
        <f aca="false">'Z4 WTP-Ikana'!S18-'Z4 WTP-Ikana'!P18*C288/'Z4 WTP-Ikana'!G18</f>
        <v>1679.49649793853</v>
      </c>
      <c r="G288" s="51" t="n">
        <f aca="false">'Z4 WTP-Ikana'!$B$8-E288</f>
        <v>226.85</v>
      </c>
      <c r="H288" s="52" t="n">
        <f aca="false">F288-E288</f>
        <v>238.346497938526</v>
      </c>
      <c r="I288" s="52" t="n">
        <f aca="false">MAX(H288,G288)</f>
        <v>238.346497938526</v>
      </c>
      <c r="J288" s="4" t="str">
        <f aca="false">IFERROR("PN"&amp;SMALL(PN_list,COUNTIF(PN_list,"&lt;"&amp;I288*bar_per_m)+1),"&gt; max PN")</f>
        <v>PN25</v>
      </c>
      <c r="K288" s="4" t="str">
        <f aca="false">IF(L288="no","end at tank",IF(H288&lt;0,"NEGATIVE",IF(H288&lt;p_min-0.005,"low","OK")))</f>
        <v>OK</v>
      </c>
      <c r="L288" s="4" t="s">
        <v>414</v>
      </c>
    </row>
    <row r="289" customFormat="false" ht="15" hidden="false" customHeight="false" outlineLevel="0" collapsed="false">
      <c r="A289" s="4" t="s">
        <v>40</v>
      </c>
      <c r="B289" s="4" t="s">
        <v>363</v>
      </c>
      <c r="C289" s="47" t="n">
        <v>12976.99</v>
      </c>
      <c r="D289" s="48" t="n">
        <v>1443.01</v>
      </c>
      <c r="E289" s="49" t="n">
        <f aca="false">D289-cover</f>
        <v>1441.81</v>
      </c>
      <c r="F289" s="50" t="n">
        <f aca="false">'Z4 WTP-Ikana'!S18-'Z4 WTP-Ikana'!P18*C289/'Z4 WTP-Ikana'!G18</f>
        <v>1679.41861468116</v>
      </c>
      <c r="G289" s="51" t="n">
        <f aca="false">'Z4 WTP-Ikana'!$B$8-E289</f>
        <v>226.19</v>
      </c>
      <c r="H289" s="52" t="n">
        <f aca="false">F289-E289</f>
        <v>237.608614681159</v>
      </c>
      <c r="I289" s="52" t="n">
        <f aca="false">MAX(H289,G289)</f>
        <v>237.608614681159</v>
      </c>
      <c r="J289" s="4" t="str">
        <f aca="false">IFERROR("PN"&amp;SMALL(PN_list,COUNTIF(PN_list,"&lt;"&amp;I289*bar_per_m)+1),"&gt; max PN")</f>
        <v>PN25</v>
      </c>
      <c r="K289" s="4" t="str">
        <f aca="false">IF(L289="no","end at tank",IF(H289&lt;0,"NEGATIVE",IF(H289&lt;p_min-0.005,"low","OK")))</f>
        <v>OK</v>
      </c>
      <c r="L289" s="4" t="s">
        <v>414</v>
      </c>
    </row>
    <row r="290" customFormat="false" ht="15" hidden="false" customHeight="false" outlineLevel="0" collapsed="false">
      <c r="A290" s="4" t="s">
        <v>40</v>
      </c>
      <c r="B290" s="4" t="s">
        <v>363</v>
      </c>
      <c r="C290" s="47" t="n">
        <v>13026.99</v>
      </c>
      <c r="D290" s="48" t="n">
        <v>1443.34</v>
      </c>
      <c r="E290" s="49" t="n">
        <f aca="false">D290-cover</f>
        <v>1442.14</v>
      </c>
      <c r="F290" s="50" t="n">
        <f aca="false">'Z4 WTP-Ikana'!S18-'Z4 WTP-Ikana'!P18*C290/'Z4 WTP-Ikana'!G18</f>
        <v>1679.34073142379</v>
      </c>
      <c r="G290" s="51" t="n">
        <f aca="false">'Z4 WTP-Ikana'!$B$8-E290</f>
        <v>225.86</v>
      </c>
      <c r="H290" s="52" t="n">
        <f aca="false">F290-E290</f>
        <v>237.200731423792</v>
      </c>
      <c r="I290" s="52" t="n">
        <f aca="false">MAX(H290,G290)</f>
        <v>237.200731423792</v>
      </c>
      <c r="J290" s="4" t="str">
        <f aca="false">IFERROR("PN"&amp;SMALL(PN_list,COUNTIF(PN_list,"&lt;"&amp;I290*bar_per_m)+1),"&gt; max PN")</f>
        <v>PN25</v>
      </c>
      <c r="K290" s="4" t="str">
        <f aca="false">IF(L290="no","end at tank",IF(H290&lt;0,"NEGATIVE",IF(H290&lt;p_min-0.005,"low","OK")))</f>
        <v>OK</v>
      </c>
      <c r="L290" s="4" t="s">
        <v>414</v>
      </c>
    </row>
    <row r="291" customFormat="false" ht="15" hidden="false" customHeight="false" outlineLevel="0" collapsed="false">
      <c r="A291" s="4" t="s">
        <v>40</v>
      </c>
      <c r="B291" s="4" t="s">
        <v>363</v>
      </c>
      <c r="C291" s="47" t="n">
        <v>13076.99</v>
      </c>
      <c r="D291" s="48" t="n">
        <v>1443.51</v>
      </c>
      <c r="E291" s="49" t="n">
        <f aca="false">D291-cover</f>
        <v>1442.31</v>
      </c>
      <c r="F291" s="50" t="n">
        <f aca="false">'Z4 WTP-Ikana'!S18-'Z4 WTP-Ikana'!P18*C291/'Z4 WTP-Ikana'!G18</f>
        <v>1679.26284816642</v>
      </c>
      <c r="G291" s="51" t="n">
        <f aca="false">'Z4 WTP-Ikana'!$B$8-E291</f>
        <v>225.69</v>
      </c>
      <c r="H291" s="52" t="n">
        <f aca="false">F291-E291</f>
        <v>236.952848166425</v>
      </c>
      <c r="I291" s="52" t="n">
        <f aca="false">MAX(H291,G291)</f>
        <v>236.952848166425</v>
      </c>
      <c r="J291" s="4" t="str">
        <f aca="false">IFERROR("PN"&amp;SMALL(PN_list,COUNTIF(PN_list,"&lt;"&amp;I291*bar_per_m)+1),"&gt; max PN")</f>
        <v>PN25</v>
      </c>
      <c r="K291" s="4" t="str">
        <f aca="false">IF(L291="no","end at tank",IF(H291&lt;0,"NEGATIVE",IF(H291&lt;p_min-0.005,"low","OK")))</f>
        <v>OK</v>
      </c>
      <c r="L291" s="4" t="s">
        <v>414</v>
      </c>
    </row>
    <row r="292" customFormat="false" ht="15" hidden="false" customHeight="false" outlineLevel="0" collapsed="false">
      <c r="A292" s="4" t="s">
        <v>40</v>
      </c>
      <c r="B292" s="4" t="s">
        <v>363</v>
      </c>
      <c r="C292" s="47" t="n">
        <v>13126.99</v>
      </c>
      <c r="D292" s="48" t="n">
        <v>1443.52</v>
      </c>
      <c r="E292" s="49" t="n">
        <f aca="false">D292-cover</f>
        <v>1442.32</v>
      </c>
      <c r="F292" s="50" t="n">
        <f aca="false">'Z4 WTP-Ikana'!S18-'Z4 WTP-Ikana'!P18*C292/'Z4 WTP-Ikana'!G18</f>
        <v>1679.18496490906</v>
      </c>
      <c r="G292" s="51" t="n">
        <f aca="false">'Z4 WTP-Ikana'!$B$8-E292</f>
        <v>225.68</v>
      </c>
      <c r="H292" s="52" t="n">
        <f aca="false">F292-E292</f>
        <v>236.864964909058</v>
      </c>
      <c r="I292" s="52" t="n">
        <f aca="false">MAX(H292,G292)</f>
        <v>236.864964909058</v>
      </c>
      <c r="J292" s="4" t="str">
        <f aca="false">IFERROR("PN"&amp;SMALL(PN_list,COUNTIF(PN_list,"&lt;"&amp;I292*bar_per_m)+1),"&gt; max PN")</f>
        <v>PN25</v>
      </c>
      <c r="K292" s="4" t="str">
        <f aca="false">IF(L292="no","end at tank",IF(H292&lt;0,"NEGATIVE",IF(H292&lt;p_min-0.005,"low","OK")))</f>
        <v>OK</v>
      </c>
      <c r="L292" s="4" t="s">
        <v>414</v>
      </c>
    </row>
    <row r="293" customFormat="false" ht="15" hidden="false" customHeight="false" outlineLevel="0" collapsed="false">
      <c r="A293" s="4" t="s">
        <v>40</v>
      </c>
      <c r="B293" s="4" t="s">
        <v>363</v>
      </c>
      <c r="C293" s="47" t="n">
        <v>13176.99</v>
      </c>
      <c r="D293" s="48" t="n">
        <v>1443.56</v>
      </c>
      <c r="E293" s="49" t="n">
        <f aca="false">D293-cover</f>
        <v>1442.36</v>
      </c>
      <c r="F293" s="50" t="n">
        <f aca="false">'Z4 WTP-Ikana'!S18-'Z4 WTP-Ikana'!P18*C293/'Z4 WTP-Ikana'!G18</f>
        <v>1679.10708165169</v>
      </c>
      <c r="G293" s="51" t="n">
        <f aca="false">'Z4 WTP-Ikana'!$B$8-E293</f>
        <v>225.64</v>
      </c>
      <c r="H293" s="52" t="n">
        <f aca="false">F293-E293</f>
        <v>236.747081651691</v>
      </c>
      <c r="I293" s="52" t="n">
        <f aca="false">MAX(H293,G293)</f>
        <v>236.747081651691</v>
      </c>
      <c r="J293" s="4" t="str">
        <f aca="false">IFERROR("PN"&amp;SMALL(PN_list,COUNTIF(PN_list,"&lt;"&amp;I293*bar_per_m)+1),"&gt; max PN")</f>
        <v>PN25</v>
      </c>
      <c r="K293" s="4" t="str">
        <f aca="false">IF(L293="no","end at tank",IF(H293&lt;0,"NEGATIVE",IF(H293&lt;p_min-0.005,"low","OK")))</f>
        <v>OK</v>
      </c>
      <c r="L293" s="4" t="s">
        <v>414</v>
      </c>
    </row>
    <row r="294" customFormat="false" ht="15" hidden="false" customHeight="false" outlineLevel="0" collapsed="false">
      <c r="A294" s="4" t="s">
        <v>40</v>
      </c>
      <c r="B294" s="4" t="s">
        <v>363</v>
      </c>
      <c r="C294" s="47" t="n">
        <v>13227</v>
      </c>
      <c r="D294" s="48" t="n">
        <v>1443.04</v>
      </c>
      <c r="E294" s="49" t="n">
        <f aca="false">D294-cover</f>
        <v>1441.84</v>
      </c>
      <c r="F294" s="50" t="n">
        <f aca="false">'Z4 WTP-Ikana'!S18-'Z4 WTP-Ikana'!P18*C294/'Z4 WTP-Ikana'!G18</f>
        <v>1679.02918281767</v>
      </c>
      <c r="G294" s="51" t="n">
        <f aca="false">'Z4 WTP-Ikana'!$B$8-E294</f>
        <v>226.16</v>
      </c>
      <c r="H294" s="52" t="n">
        <f aca="false">F294-E294</f>
        <v>237.189182817672</v>
      </c>
      <c r="I294" s="52" t="n">
        <f aca="false">MAX(H294,G294)</f>
        <v>237.189182817672</v>
      </c>
      <c r="J294" s="4" t="str">
        <f aca="false">IFERROR("PN"&amp;SMALL(PN_list,COUNTIF(PN_list,"&lt;"&amp;I294*bar_per_m)+1),"&gt; max PN")</f>
        <v>PN25</v>
      </c>
      <c r="K294" s="4" t="str">
        <f aca="false">IF(L294="no","end at tank",IF(H294&lt;0,"NEGATIVE",IF(H294&lt;p_min-0.005,"low","OK")))</f>
        <v>OK</v>
      </c>
      <c r="L294" s="4" t="s">
        <v>414</v>
      </c>
    </row>
    <row r="295" customFormat="false" ht="15" hidden="false" customHeight="false" outlineLevel="0" collapsed="false">
      <c r="A295" s="4" t="s">
        <v>40</v>
      </c>
      <c r="B295" s="4" t="s">
        <v>363</v>
      </c>
      <c r="C295" s="47" t="n">
        <v>13277</v>
      </c>
      <c r="D295" s="48" t="n">
        <v>1442.89</v>
      </c>
      <c r="E295" s="49" t="n">
        <f aca="false">D295-cover</f>
        <v>1441.69</v>
      </c>
      <c r="F295" s="50" t="n">
        <f aca="false">'Z4 WTP-Ikana'!S18-'Z4 WTP-Ikana'!P18*C295/'Z4 WTP-Ikana'!G18</f>
        <v>1678.95129956031</v>
      </c>
      <c r="G295" s="51" t="n">
        <f aca="false">'Z4 WTP-Ikana'!$B$8-E295</f>
        <v>226.31</v>
      </c>
      <c r="H295" s="52" t="n">
        <f aca="false">F295-E295</f>
        <v>237.261299560305</v>
      </c>
      <c r="I295" s="52" t="n">
        <f aca="false">MAX(H295,G295)</f>
        <v>237.261299560305</v>
      </c>
      <c r="J295" s="4" t="str">
        <f aca="false">IFERROR("PN"&amp;SMALL(PN_list,COUNTIF(PN_list,"&lt;"&amp;I295*bar_per_m)+1),"&gt; max PN")</f>
        <v>PN25</v>
      </c>
      <c r="K295" s="4" t="str">
        <f aca="false">IF(L295="no","end at tank",IF(H295&lt;0,"NEGATIVE",IF(H295&lt;p_min-0.005,"low","OK")))</f>
        <v>OK</v>
      </c>
      <c r="L295" s="4" t="s">
        <v>414</v>
      </c>
    </row>
    <row r="296" customFormat="false" ht="15" hidden="false" customHeight="false" outlineLevel="0" collapsed="false">
      <c r="A296" s="4" t="s">
        <v>40</v>
      </c>
      <c r="B296" s="4" t="s">
        <v>363</v>
      </c>
      <c r="C296" s="47" t="n">
        <v>13327</v>
      </c>
      <c r="D296" s="48" t="n">
        <v>1442.63</v>
      </c>
      <c r="E296" s="49" t="n">
        <f aca="false">D296-cover</f>
        <v>1441.43</v>
      </c>
      <c r="F296" s="50" t="n">
        <f aca="false">'Z4 WTP-Ikana'!S18-'Z4 WTP-Ikana'!P18*C296/'Z4 WTP-Ikana'!G18</f>
        <v>1678.87341630294</v>
      </c>
      <c r="G296" s="51" t="n">
        <f aca="false">'Z4 WTP-Ikana'!$B$8-E296</f>
        <v>226.57</v>
      </c>
      <c r="H296" s="52" t="n">
        <f aca="false">F296-E296</f>
        <v>237.443416302938</v>
      </c>
      <c r="I296" s="52" t="n">
        <f aca="false">MAX(H296,G296)</f>
        <v>237.443416302938</v>
      </c>
      <c r="J296" s="4" t="str">
        <f aca="false">IFERROR("PN"&amp;SMALL(PN_list,COUNTIF(PN_list,"&lt;"&amp;I296*bar_per_m)+1),"&gt; max PN")</f>
        <v>PN25</v>
      </c>
      <c r="K296" s="4" t="str">
        <f aca="false">IF(L296="no","end at tank",IF(H296&lt;0,"NEGATIVE",IF(H296&lt;p_min-0.005,"low","OK")))</f>
        <v>OK</v>
      </c>
      <c r="L296" s="4" t="s">
        <v>414</v>
      </c>
    </row>
    <row r="297" customFormat="false" ht="15" hidden="false" customHeight="false" outlineLevel="0" collapsed="false">
      <c r="A297" s="4" t="s">
        <v>40</v>
      </c>
      <c r="B297" s="4" t="s">
        <v>363</v>
      </c>
      <c r="C297" s="47" t="n">
        <v>13377</v>
      </c>
      <c r="D297" s="48" t="n">
        <v>1442.67</v>
      </c>
      <c r="E297" s="49" t="n">
        <f aca="false">D297-cover</f>
        <v>1441.47</v>
      </c>
      <c r="F297" s="50" t="n">
        <f aca="false">'Z4 WTP-Ikana'!S18-'Z4 WTP-Ikana'!P18*C297/'Z4 WTP-Ikana'!G18</f>
        <v>1678.79553304557</v>
      </c>
      <c r="G297" s="51" t="n">
        <f aca="false">'Z4 WTP-Ikana'!$B$8-E297</f>
        <v>226.53</v>
      </c>
      <c r="H297" s="52" t="n">
        <f aca="false">F297-E297</f>
        <v>237.325533045571</v>
      </c>
      <c r="I297" s="52" t="n">
        <f aca="false">MAX(H297,G297)</f>
        <v>237.325533045571</v>
      </c>
      <c r="J297" s="4" t="str">
        <f aca="false">IFERROR("PN"&amp;SMALL(PN_list,COUNTIF(PN_list,"&lt;"&amp;I297*bar_per_m)+1),"&gt; max PN")</f>
        <v>PN25</v>
      </c>
      <c r="K297" s="4" t="str">
        <f aca="false">IF(L297="no","end at tank",IF(H297&lt;0,"NEGATIVE",IF(H297&lt;p_min-0.005,"low","OK")))</f>
        <v>OK</v>
      </c>
      <c r="L297" s="4" t="s">
        <v>414</v>
      </c>
    </row>
    <row r="298" customFormat="false" ht="15" hidden="false" customHeight="false" outlineLevel="0" collapsed="false">
      <c r="A298" s="4" t="s">
        <v>40</v>
      </c>
      <c r="B298" s="4" t="s">
        <v>363</v>
      </c>
      <c r="C298" s="47" t="n">
        <v>13427</v>
      </c>
      <c r="D298" s="48" t="n">
        <v>1442.03</v>
      </c>
      <c r="E298" s="49" t="n">
        <f aca="false">D298-cover</f>
        <v>1440.83</v>
      </c>
      <c r="F298" s="50" t="n">
        <f aca="false">'Z4 WTP-Ikana'!S18-'Z4 WTP-Ikana'!P18*C298/'Z4 WTP-Ikana'!G18</f>
        <v>1678.7176497882</v>
      </c>
      <c r="G298" s="51" t="n">
        <f aca="false">'Z4 WTP-Ikana'!$B$8-E298</f>
        <v>227.17</v>
      </c>
      <c r="H298" s="52" t="n">
        <f aca="false">F298-E298</f>
        <v>237.887649788204</v>
      </c>
      <c r="I298" s="52" t="n">
        <f aca="false">MAX(H298,G298)</f>
        <v>237.887649788204</v>
      </c>
      <c r="J298" s="4" t="str">
        <f aca="false">IFERROR("PN"&amp;SMALL(PN_list,COUNTIF(PN_list,"&lt;"&amp;I298*bar_per_m)+1),"&gt; max PN")</f>
        <v>PN25</v>
      </c>
      <c r="K298" s="4" t="str">
        <f aca="false">IF(L298="no","end at tank",IF(H298&lt;0,"NEGATIVE",IF(H298&lt;p_min-0.005,"low","OK")))</f>
        <v>OK</v>
      </c>
      <c r="L298" s="4" t="s">
        <v>414</v>
      </c>
    </row>
    <row r="299" customFormat="false" ht="15" hidden="false" customHeight="false" outlineLevel="0" collapsed="false">
      <c r="A299" s="4" t="s">
        <v>40</v>
      </c>
      <c r="B299" s="4" t="s">
        <v>363</v>
      </c>
      <c r="C299" s="47" t="n">
        <v>13477</v>
      </c>
      <c r="D299" s="48" t="n">
        <v>1441.84</v>
      </c>
      <c r="E299" s="49" t="n">
        <f aca="false">D299-cover</f>
        <v>1440.64</v>
      </c>
      <c r="F299" s="50" t="n">
        <f aca="false">'Z4 WTP-Ikana'!S18-'Z4 WTP-Ikana'!P18*C299/'Z4 WTP-Ikana'!G18</f>
        <v>1678.63976653084</v>
      </c>
      <c r="G299" s="51" t="n">
        <f aca="false">'Z4 WTP-Ikana'!$B$8-E299</f>
        <v>227.36</v>
      </c>
      <c r="H299" s="52" t="n">
        <f aca="false">F299-E299</f>
        <v>237.999766530837</v>
      </c>
      <c r="I299" s="52" t="n">
        <f aca="false">MAX(H299,G299)</f>
        <v>237.999766530837</v>
      </c>
      <c r="J299" s="4" t="str">
        <f aca="false">IFERROR("PN"&amp;SMALL(PN_list,COUNTIF(PN_list,"&lt;"&amp;I299*bar_per_m)+1),"&gt; max PN")</f>
        <v>PN25</v>
      </c>
      <c r="K299" s="4" t="str">
        <f aca="false">IF(L299="no","end at tank",IF(H299&lt;0,"NEGATIVE",IF(H299&lt;p_min-0.005,"low","OK")))</f>
        <v>OK</v>
      </c>
      <c r="L299" s="4" t="s">
        <v>414</v>
      </c>
    </row>
    <row r="300" customFormat="false" ht="15" hidden="false" customHeight="false" outlineLevel="0" collapsed="false">
      <c r="A300" s="4" t="s">
        <v>40</v>
      </c>
      <c r="B300" s="4" t="s">
        <v>363</v>
      </c>
      <c r="C300" s="47" t="n">
        <v>13527</v>
      </c>
      <c r="D300" s="48" t="n">
        <v>1441.54</v>
      </c>
      <c r="E300" s="49" t="n">
        <f aca="false">D300-cover</f>
        <v>1440.34</v>
      </c>
      <c r="F300" s="50" t="n">
        <f aca="false">'Z4 WTP-Ikana'!S18-'Z4 WTP-Ikana'!P18*C300/'Z4 WTP-Ikana'!G18</f>
        <v>1678.56188327347</v>
      </c>
      <c r="G300" s="51" t="n">
        <f aca="false">'Z4 WTP-Ikana'!$B$8-E300</f>
        <v>227.66</v>
      </c>
      <c r="H300" s="52" t="n">
        <f aca="false">F300-E300</f>
        <v>238.22188327347</v>
      </c>
      <c r="I300" s="52" t="n">
        <f aca="false">MAX(H300,G300)</f>
        <v>238.22188327347</v>
      </c>
      <c r="J300" s="4" t="str">
        <f aca="false">IFERROR("PN"&amp;SMALL(PN_list,COUNTIF(PN_list,"&lt;"&amp;I300*bar_per_m)+1),"&gt; max PN")</f>
        <v>PN25</v>
      </c>
      <c r="K300" s="4" t="str">
        <f aca="false">IF(L300="no","end at tank",IF(H300&lt;0,"NEGATIVE",IF(H300&lt;p_min-0.005,"low","OK")))</f>
        <v>OK</v>
      </c>
      <c r="L300" s="4" t="s">
        <v>414</v>
      </c>
    </row>
    <row r="301" customFormat="false" ht="15" hidden="false" customHeight="false" outlineLevel="0" collapsed="false">
      <c r="A301" s="4" t="s">
        <v>40</v>
      </c>
      <c r="B301" s="4" t="s">
        <v>363</v>
      </c>
      <c r="C301" s="47" t="n">
        <v>13577</v>
      </c>
      <c r="D301" s="48" t="n">
        <v>1441.42</v>
      </c>
      <c r="E301" s="49" t="n">
        <f aca="false">D301-cover</f>
        <v>1440.22</v>
      </c>
      <c r="F301" s="50" t="n">
        <f aca="false">'Z4 WTP-Ikana'!S18-'Z4 WTP-Ikana'!P18*C301/'Z4 WTP-Ikana'!G18</f>
        <v>1678.4840000161</v>
      </c>
      <c r="G301" s="51" t="n">
        <f aca="false">'Z4 WTP-Ikana'!$B$8-E301</f>
        <v>227.78</v>
      </c>
      <c r="H301" s="52" t="n">
        <f aca="false">F301-E301</f>
        <v>238.264000016103</v>
      </c>
      <c r="I301" s="52" t="n">
        <f aca="false">MAX(H301,G301)</f>
        <v>238.264000016103</v>
      </c>
      <c r="J301" s="4" t="str">
        <f aca="false">IFERROR("PN"&amp;SMALL(PN_list,COUNTIF(PN_list,"&lt;"&amp;I301*bar_per_m)+1),"&gt; max PN")</f>
        <v>PN25</v>
      </c>
      <c r="K301" s="4" t="str">
        <f aca="false">IF(L301="no","end at tank",IF(H301&lt;0,"NEGATIVE",IF(H301&lt;p_min-0.005,"low","OK")))</f>
        <v>OK</v>
      </c>
      <c r="L301" s="4" t="s">
        <v>414</v>
      </c>
    </row>
    <row r="302" customFormat="false" ht="15" hidden="false" customHeight="false" outlineLevel="0" collapsed="false">
      <c r="A302" s="4" t="s">
        <v>40</v>
      </c>
      <c r="B302" s="4" t="s">
        <v>363</v>
      </c>
      <c r="C302" s="47" t="n">
        <v>13627</v>
      </c>
      <c r="D302" s="48" t="n">
        <v>1441.23</v>
      </c>
      <c r="E302" s="49" t="n">
        <f aca="false">D302-cover</f>
        <v>1440.03</v>
      </c>
      <c r="F302" s="50" t="n">
        <f aca="false">'Z4 WTP-Ikana'!S18-'Z4 WTP-Ikana'!P18*C302/'Z4 WTP-Ikana'!G18</f>
        <v>1678.40611675874</v>
      </c>
      <c r="G302" s="51" t="n">
        <f aca="false">'Z4 WTP-Ikana'!$B$8-E302</f>
        <v>227.97</v>
      </c>
      <c r="H302" s="52" t="n">
        <f aca="false">F302-E302</f>
        <v>238.376116758735</v>
      </c>
      <c r="I302" s="52" t="n">
        <f aca="false">MAX(H302,G302)</f>
        <v>238.376116758735</v>
      </c>
      <c r="J302" s="4" t="str">
        <f aca="false">IFERROR("PN"&amp;SMALL(PN_list,COUNTIF(PN_list,"&lt;"&amp;I302*bar_per_m)+1),"&gt; max PN")</f>
        <v>PN25</v>
      </c>
      <c r="K302" s="4" t="str">
        <f aca="false">IF(L302="no","end at tank",IF(H302&lt;0,"NEGATIVE",IF(H302&lt;p_min-0.005,"low","OK")))</f>
        <v>OK</v>
      </c>
      <c r="L302" s="4" t="s">
        <v>414</v>
      </c>
    </row>
    <row r="303" customFormat="false" ht="15" hidden="false" customHeight="false" outlineLevel="0" collapsed="false">
      <c r="A303" s="4" t="s">
        <v>40</v>
      </c>
      <c r="B303" s="4" t="s">
        <v>363</v>
      </c>
      <c r="C303" s="47" t="n">
        <v>13677</v>
      </c>
      <c r="D303" s="48" t="n">
        <v>1441.26</v>
      </c>
      <c r="E303" s="49" t="n">
        <f aca="false">D303-cover</f>
        <v>1440.06</v>
      </c>
      <c r="F303" s="50" t="n">
        <f aca="false">'Z4 WTP-Ikana'!S18-'Z4 WTP-Ikana'!P18*C303/'Z4 WTP-Ikana'!G18</f>
        <v>1678.32823350137</v>
      </c>
      <c r="G303" s="51" t="n">
        <f aca="false">'Z4 WTP-Ikana'!$B$8-E303</f>
        <v>227.94</v>
      </c>
      <c r="H303" s="52" t="n">
        <f aca="false">F303-E303</f>
        <v>238.268233501368</v>
      </c>
      <c r="I303" s="52" t="n">
        <f aca="false">MAX(H303,G303)</f>
        <v>238.268233501368</v>
      </c>
      <c r="J303" s="4" t="str">
        <f aca="false">IFERROR("PN"&amp;SMALL(PN_list,COUNTIF(PN_list,"&lt;"&amp;I303*bar_per_m)+1),"&gt; max PN")</f>
        <v>PN25</v>
      </c>
      <c r="K303" s="4" t="str">
        <f aca="false">IF(L303="no","end at tank",IF(H303&lt;0,"NEGATIVE",IF(H303&lt;p_min-0.005,"low","OK")))</f>
        <v>OK</v>
      </c>
      <c r="L303" s="4" t="s">
        <v>414</v>
      </c>
    </row>
    <row r="304" customFormat="false" ht="15" hidden="false" customHeight="false" outlineLevel="0" collapsed="false">
      <c r="A304" s="4" t="s">
        <v>40</v>
      </c>
      <c r="B304" s="4" t="s">
        <v>363</v>
      </c>
      <c r="C304" s="47" t="n">
        <v>13727</v>
      </c>
      <c r="D304" s="48" t="n">
        <v>1441.42</v>
      </c>
      <c r="E304" s="49" t="n">
        <f aca="false">D304-cover</f>
        <v>1440.22</v>
      </c>
      <c r="F304" s="50" t="n">
        <f aca="false">'Z4 WTP-Ikana'!S18-'Z4 WTP-Ikana'!P18*C304/'Z4 WTP-Ikana'!G18</f>
        <v>1678.250350244</v>
      </c>
      <c r="G304" s="51" t="n">
        <f aca="false">'Z4 WTP-Ikana'!$B$8-E304</f>
        <v>227.78</v>
      </c>
      <c r="H304" s="52" t="n">
        <f aca="false">F304-E304</f>
        <v>238.030350244001</v>
      </c>
      <c r="I304" s="52" t="n">
        <f aca="false">MAX(H304,G304)</f>
        <v>238.030350244001</v>
      </c>
      <c r="J304" s="4" t="str">
        <f aca="false">IFERROR("PN"&amp;SMALL(PN_list,COUNTIF(PN_list,"&lt;"&amp;I304*bar_per_m)+1),"&gt; max PN")</f>
        <v>PN25</v>
      </c>
      <c r="K304" s="4" t="str">
        <f aca="false">IF(L304="no","end at tank",IF(H304&lt;0,"NEGATIVE",IF(H304&lt;p_min-0.005,"low","OK")))</f>
        <v>OK</v>
      </c>
      <c r="L304" s="4" t="s">
        <v>414</v>
      </c>
    </row>
    <row r="305" customFormat="false" ht="15" hidden="false" customHeight="false" outlineLevel="0" collapsed="false">
      <c r="A305" s="4" t="s">
        <v>40</v>
      </c>
      <c r="B305" s="4" t="s">
        <v>363</v>
      </c>
      <c r="C305" s="47" t="n">
        <v>13777</v>
      </c>
      <c r="D305" s="48" t="n">
        <v>1441.66</v>
      </c>
      <c r="E305" s="49" t="n">
        <f aca="false">D305-cover</f>
        <v>1440.46</v>
      </c>
      <c r="F305" s="50" t="n">
        <f aca="false">'Z4 WTP-Ikana'!S18-'Z4 WTP-Ikana'!P18*C305/'Z4 WTP-Ikana'!G18</f>
        <v>1678.17246698663</v>
      </c>
      <c r="G305" s="51" t="n">
        <f aca="false">'Z4 WTP-Ikana'!$B$8-E305</f>
        <v>227.54</v>
      </c>
      <c r="H305" s="52" t="n">
        <f aca="false">F305-E305</f>
        <v>237.712466986634</v>
      </c>
      <c r="I305" s="52" t="n">
        <f aca="false">MAX(H305,G305)</f>
        <v>237.712466986634</v>
      </c>
      <c r="J305" s="4" t="str">
        <f aca="false">IFERROR("PN"&amp;SMALL(PN_list,COUNTIF(PN_list,"&lt;"&amp;I305*bar_per_m)+1),"&gt; max PN")</f>
        <v>PN25</v>
      </c>
      <c r="K305" s="4" t="str">
        <f aca="false">IF(L305="no","end at tank",IF(H305&lt;0,"NEGATIVE",IF(H305&lt;p_min-0.005,"low","OK")))</f>
        <v>OK</v>
      </c>
      <c r="L305" s="4" t="s">
        <v>414</v>
      </c>
    </row>
    <row r="306" customFormat="false" ht="15" hidden="false" customHeight="false" outlineLevel="0" collapsed="false">
      <c r="A306" s="4" t="s">
        <v>40</v>
      </c>
      <c r="B306" s="4" t="s">
        <v>363</v>
      </c>
      <c r="C306" s="47" t="n">
        <v>13827</v>
      </c>
      <c r="D306" s="48" t="n">
        <v>1441.64</v>
      </c>
      <c r="E306" s="49" t="n">
        <f aca="false">D306-cover</f>
        <v>1440.44</v>
      </c>
      <c r="F306" s="50" t="n">
        <f aca="false">'Z4 WTP-Ikana'!S18-'Z4 WTP-Ikana'!P18*C306/'Z4 WTP-Ikana'!G18</f>
        <v>1678.09458372927</v>
      </c>
      <c r="G306" s="51" t="n">
        <f aca="false">'Z4 WTP-Ikana'!$B$8-E306</f>
        <v>227.56</v>
      </c>
      <c r="H306" s="52" t="n">
        <f aca="false">F306-E306</f>
        <v>237.654583729267</v>
      </c>
      <c r="I306" s="52" t="n">
        <f aca="false">MAX(H306,G306)</f>
        <v>237.654583729267</v>
      </c>
      <c r="J306" s="4" t="str">
        <f aca="false">IFERROR("PN"&amp;SMALL(PN_list,COUNTIF(PN_list,"&lt;"&amp;I306*bar_per_m)+1),"&gt; max PN")</f>
        <v>PN25</v>
      </c>
      <c r="K306" s="4" t="str">
        <f aca="false">IF(L306="no","end at tank",IF(H306&lt;0,"NEGATIVE",IF(H306&lt;p_min-0.005,"low","OK")))</f>
        <v>OK</v>
      </c>
      <c r="L306" s="4" t="s">
        <v>414</v>
      </c>
    </row>
    <row r="307" customFormat="false" ht="15" hidden="false" customHeight="false" outlineLevel="0" collapsed="false">
      <c r="A307" s="4" t="s">
        <v>40</v>
      </c>
      <c r="B307" s="4" t="s">
        <v>363</v>
      </c>
      <c r="C307" s="47" t="n">
        <v>13877.01</v>
      </c>
      <c r="D307" s="48" t="n">
        <v>1442.35</v>
      </c>
      <c r="E307" s="49" t="n">
        <f aca="false">D307-cover</f>
        <v>1441.15</v>
      </c>
      <c r="F307" s="50" t="n">
        <f aca="false">'Z4 WTP-Ikana'!S18-'Z4 WTP-Ikana'!P18*C307/'Z4 WTP-Ikana'!G18</f>
        <v>1678.01668489525</v>
      </c>
      <c r="G307" s="51" t="n">
        <f aca="false">'Z4 WTP-Ikana'!$B$8-E307</f>
        <v>226.85</v>
      </c>
      <c r="H307" s="52" t="n">
        <f aca="false">F307-E307</f>
        <v>236.866684895249</v>
      </c>
      <c r="I307" s="52" t="n">
        <f aca="false">MAX(H307,G307)</f>
        <v>236.866684895249</v>
      </c>
      <c r="J307" s="4" t="str">
        <f aca="false">IFERROR("PN"&amp;SMALL(PN_list,COUNTIF(PN_list,"&lt;"&amp;I307*bar_per_m)+1),"&gt; max PN")</f>
        <v>PN25</v>
      </c>
      <c r="K307" s="4" t="str">
        <f aca="false">IF(L307="no","end at tank",IF(H307&lt;0,"NEGATIVE",IF(H307&lt;p_min-0.005,"low","OK")))</f>
        <v>OK</v>
      </c>
      <c r="L307" s="4" t="s">
        <v>414</v>
      </c>
    </row>
    <row r="308" customFormat="false" ht="15" hidden="false" customHeight="false" outlineLevel="0" collapsed="false">
      <c r="A308" s="4" t="s">
        <v>40</v>
      </c>
      <c r="B308" s="4" t="s">
        <v>363</v>
      </c>
      <c r="C308" s="47" t="n">
        <v>13927.01</v>
      </c>
      <c r="D308" s="48" t="n">
        <v>1442.44</v>
      </c>
      <c r="E308" s="49" t="n">
        <f aca="false">D308-cover</f>
        <v>1441.24</v>
      </c>
      <c r="F308" s="50" t="n">
        <f aca="false">'Z4 WTP-Ikana'!S18-'Z4 WTP-Ikana'!P18*C308/'Z4 WTP-Ikana'!G18</f>
        <v>1677.93880163788</v>
      </c>
      <c r="G308" s="51" t="n">
        <f aca="false">'Z4 WTP-Ikana'!$B$8-E308</f>
        <v>226.76</v>
      </c>
      <c r="H308" s="52" t="n">
        <f aca="false">F308-E308</f>
        <v>236.698801637882</v>
      </c>
      <c r="I308" s="52" t="n">
        <f aca="false">MAX(H308,G308)</f>
        <v>236.698801637882</v>
      </c>
      <c r="J308" s="4" t="str">
        <f aca="false">IFERROR("PN"&amp;SMALL(PN_list,COUNTIF(PN_list,"&lt;"&amp;I308*bar_per_m)+1),"&gt; max PN")</f>
        <v>PN25</v>
      </c>
      <c r="K308" s="4" t="str">
        <f aca="false">IF(L308="no","end at tank",IF(H308&lt;0,"NEGATIVE",IF(H308&lt;p_min-0.005,"low","OK")))</f>
        <v>OK</v>
      </c>
      <c r="L308" s="4" t="s">
        <v>414</v>
      </c>
    </row>
    <row r="309" customFormat="false" ht="15" hidden="false" customHeight="false" outlineLevel="0" collapsed="false">
      <c r="A309" s="4" t="s">
        <v>40</v>
      </c>
      <c r="B309" s="4" t="s">
        <v>363</v>
      </c>
      <c r="C309" s="47" t="n">
        <v>13977.01</v>
      </c>
      <c r="D309" s="48" t="n">
        <v>1442.64</v>
      </c>
      <c r="E309" s="49" t="n">
        <f aca="false">D309-cover</f>
        <v>1441.44</v>
      </c>
      <c r="F309" s="50" t="n">
        <f aca="false">'Z4 WTP-Ikana'!S18-'Z4 WTP-Ikana'!P18*C309/'Z4 WTP-Ikana'!G18</f>
        <v>1677.86091838051</v>
      </c>
      <c r="G309" s="51" t="n">
        <f aca="false">'Z4 WTP-Ikana'!$B$8-E309</f>
        <v>226.56</v>
      </c>
      <c r="H309" s="52" t="n">
        <f aca="false">F309-E309</f>
        <v>236.420918380514</v>
      </c>
      <c r="I309" s="52" t="n">
        <f aca="false">MAX(H309,G309)</f>
        <v>236.420918380514</v>
      </c>
      <c r="J309" s="4" t="str">
        <f aca="false">IFERROR("PN"&amp;SMALL(PN_list,COUNTIF(PN_list,"&lt;"&amp;I309*bar_per_m)+1),"&gt; max PN")</f>
        <v>PN25</v>
      </c>
      <c r="K309" s="4" t="str">
        <f aca="false">IF(L309="no","end at tank",IF(H309&lt;0,"NEGATIVE",IF(H309&lt;p_min-0.005,"low","OK")))</f>
        <v>OK</v>
      </c>
      <c r="L309" s="4" t="s">
        <v>414</v>
      </c>
    </row>
    <row r="310" customFormat="false" ht="15" hidden="false" customHeight="false" outlineLevel="0" collapsed="false">
      <c r="A310" s="4" t="s">
        <v>40</v>
      </c>
      <c r="B310" s="4" t="s">
        <v>363</v>
      </c>
      <c r="C310" s="47" t="n">
        <v>14027.01</v>
      </c>
      <c r="D310" s="48" t="n">
        <v>1442.83</v>
      </c>
      <c r="E310" s="49" t="n">
        <f aca="false">D310-cover</f>
        <v>1441.63</v>
      </c>
      <c r="F310" s="50" t="n">
        <f aca="false">'Z4 WTP-Ikana'!S18-'Z4 WTP-Ikana'!P18*C310/'Z4 WTP-Ikana'!G18</f>
        <v>1677.78303512315</v>
      </c>
      <c r="G310" s="51" t="n">
        <f aca="false">'Z4 WTP-Ikana'!$B$8-E310</f>
        <v>226.37</v>
      </c>
      <c r="H310" s="52" t="n">
        <f aca="false">F310-E310</f>
        <v>236.153035123147</v>
      </c>
      <c r="I310" s="52" t="n">
        <f aca="false">MAX(H310,G310)</f>
        <v>236.153035123147</v>
      </c>
      <c r="J310" s="4" t="str">
        <f aca="false">IFERROR("PN"&amp;SMALL(PN_list,COUNTIF(PN_list,"&lt;"&amp;I310*bar_per_m)+1),"&gt; max PN")</f>
        <v>PN25</v>
      </c>
      <c r="K310" s="4" t="str">
        <f aca="false">IF(L310="no","end at tank",IF(H310&lt;0,"NEGATIVE",IF(H310&lt;p_min-0.005,"low","OK")))</f>
        <v>OK</v>
      </c>
      <c r="L310" s="4" t="s">
        <v>414</v>
      </c>
    </row>
    <row r="311" customFormat="false" ht="15" hidden="false" customHeight="false" outlineLevel="0" collapsed="false">
      <c r="A311" s="4" t="s">
        <v>40</v>
      </c>
      <c r="B311" s="4" t="s">
        <v>363</v>
      </c>
      <c r="C311" s="47" t="n">
        <v>14077.01</v>
      </c>
      <c r="D311" s="48" t="n">
        <v>1443.07</v>
      </c>
      <c r="E311" s="49" t="n">
        <f aca="false">D311-cover</f>
        <v>1441.87</v>
      </c>
      <c r="F311" s="50" t="n">
        <f aca="false">'Z4 WTP-Ikana'!S18-'Z4 WTP-Ikana'!P18*C311/'Z4 WTP-Ikana'!G18</f>
        <v>1677.70515186578</v>
      </c>
      <c r="G311" s="51" t="n">
        <f aca="false">'Z4 WTP-Ikana'!$B$8-E311</f>
        <v>226.13</v>
      </c>
      <c r="H311" s="52" t="n">
        <f aca="false">F311-E311</f>
        <v>235.835151865781</v>
      </c>
      <c r="I311" s="52" t="n">
        <f aca="false">MAX(H311,G311)</f>
        <v>235.835151865781</v>
      </c>
      <c r="J311" s="4" t="str">
        <f aca="false">IFERROR("PN"&amp;SMALL(PN_list,COUNTIF(PN_list,"&lt;"&amp;I311*bar_per_m)+1),"&gt; max PN")</f>
        <v>PN25</v>
      </c>
      <c r="K311" s="4" t="str">
        <f aca="false">IF(L311="no","end at tank",IF(H311&lt;0,"NEGATIVE",IF(H311&lt;p_min-0.005,"low","OK")))</f>
        <v>OK</v>
      </c>
      <c r="L311" s="4" t="s">
        <v>414</v>
      </c>
    </row>
    <row r="312" customFormat="false" ht="15" hidden="false" customHeight="false" outlineLevel="0" collapsed="false">
      <c r="A312" s="4" t="s">
        <v>40</v>
      </c>
      <c r="B312" s="4" t="s">
        <v>363</v>
      </c>
      <c r="C312" s="47" t="n">
        <v>14127.01</v>
      </c>
      <c r="D312" s="48" t="n">
        <v>1443.62</v>
      </c>
      <c r="E312" s="49" t="n">
        <f aca="false">D312-cover</f>
        <v>1442.42</v>
      </c>
      <c r="F312" s="50" t="n">
        <f aca="false">'Z4 WTP-Ikana'!S18-'Z4 WTP-Ikana'!P18*C312/'Z4 WTP-Ikana'!G18</f>
        <v>1677.62726860841</v>
      </c>
      <c r="G312" s="51" t="n">
        <f aca="false">'Z4 WTP-Ikana'!$B$8-E312</f>
        <v>225.58</v>
      </c>
      <c r="H312" s="52" t="n">
        <f aca="false">F312-E312</f>
        <v>235.207268608413</v>
      </c>
      <c r="I312" s="52" t="n">
        <f aca="false">MAX(H312,G312)</f>
        <v>235.207268608413</v>
      </c>
      <c r="J312" s="4" t="str">
        <f aca="false">IFERROR("PN"&amp;SMALL(PN_list,COUNTIF(PN_list,"&lt;"&amp;I312*bar_per_m)+1),"&gt; max PN")</f>
        <v>PN25</v>
      </c>
      <c r="K312" s="4" t="str">
        <f aca="false">IF(L312="no","end at tank",IF(H312&lt;0,"NEGATIVE",IF(H312&lt;p_min-0.005,"low","OK")))</f>
        <v>OK</v>
      </c>
      <c r="L312" s="4" t="s">
        <v>414</v>
      </c>
    </row>
    <row r="313" customFormat="false" ht="15" hidden="false" customHeight="false" outlineLevel="0" collapsed="false">
      <c r="A313" s="4" t="s">
        <v>40</v>
      </c>
      <c r="B313" s="4" t="s">
        <v>363</v>
      </c>
      <c r="C313" s="47" t="n">
        <v>14177.02</v>
      </c>
      <c r="D313" s="48" t="n">
        <v>1444.14</v>
      </c>
      <c r="E313" s="49" t="n">
        <f aca="false">D313-cover</f>
        <v>1442.94</v>
      </c>
      <c r="F313" s="50" t="n">
        <f aca="false">'Z4 WTP-Ikana'!S18-'Z4 WTP-Ikana'!P18*C313/'Z4 WTP-Ikana'!G18</f>
        <v>1677.54936977439</v>
      </c>
      <c r="G313" s="51" t="n">
        <f aca="false">'Z4 WTP-Ikana'!$B$8-E313</f>
        <v>225.06</v>
      </c>
      <c r="H313" s="52" t="n">
        <f aca="false">F313-E313</f>
        <v>234.609369774395</v>
      </c>
      <c r="I313" s="52" t="n">
        <f aca="false">MAX(H313,G313)</f>
        <v>234.609369774395</v>
      </c>
      <c r="J313" s="4" t="str">
        <f aca="false">IFERROR("PN"&amp;SMALL(PN_list,COUNTIF(PN_list,"&lt;"&amp;I313*bar_per_m)+1),"&gt; max PN")</f>
        <v>PN25</v>
      </c>
      <c r="K313" s="4" t="str">
        <f aca="false">IF(L313="no","end at tank",IF(H313&lt;0,"NEGATIVE",IF(H313&lt;p_min-0.005,"low","OK")))</f>
        <v>OK</v>
      </c>
      <c r="L313" s="4" t="s">
        <v>414</v>
      </c>
    </row>
    <row r="314" customFormat="false" ht="15" hidden="false" customHeight="false" outlineLevel="0" collapsed="false">
      <c r="A314" s="4" t="s">
        <v>40</v>
      </c>
      <c r="B314" s="4" t="s">
        <v>363</v>
      </c>
      <c r="C314" s="47" t="n">
        <v>14227.02</v>
      </c>
      <c r="D314" s="48" t="n">
        <v>1444.66</v>
      </c>
      <c r="E314" s="49" t="n">
        <f aca="false">D314-cover</f>
        <v>1443.46</v>
      </c>
      <c r="F314" s="50" t="n">
        <f aca="false">'Z4 WTP-Ikana'!S18-'Z4 WTP-Ikana'!P18*C314/'Z4 WTP-Ikana'!G18</f>
        <v>1677.47148651703</v>
      </c>
      <c r="G314" s="51" t="n">
        <f aca="false">'Z4 WTP-Ikana'!$B$8-E314</f>
        <v>224.54</v>
      </c>
      <c r="H314" s="52" t="n">
        <f aca="false">F314-E314</f>
        <v>234.011486517028</v>
      </c>
      <c r="I314" s="52" t="n">
        <f aca="false">MAX(H314,G314)</f>
        <v>234.011486517028</v>
      </c>
      <c r="J314" s="4" t="str">
        <f aca="false">IFERROR("PN"&amp;SMALL(PN_list,COUNTIF(PN_list,"&lt;"&amp;I314*bar_per_m)+1),"&gt; max PN")</f>
        <v>PN25</v>
      </c>
      <c r="K314" s="4" t="str">
        <f aca="false">IF(L314="no","end at tank",IF(H314&lt;0,"NEGATIVE",IF(H314&lt;p_min-0.005,"low","OK")))</f>
        <v>OK</v>
      </c>
      <c r="L314" s="4" t="s">
        <v>414</v>
      </c>
    </row>
    <row r="315" customFormat="false" ht="15" hidden="false" customHeight="false" outlineLevel="0" collapsed="false">
      <c r="A315" s="4" t="s">
        <v>40</v>
      </c>
      <c r="B315" s="4" t="s">
        <v>363</v>
      </c>
      <c r="C315" s="47" t="n">
        <v>14277.02</v>
      </c>
      <c r="D315" s="48" t="n">
        <v>1444.83</v>
      </c>
      <c r="E315" s="49" t="n">
        <f aca="false">D315-cover</f>
        <v>1443.63</v>
      </c>
      <c r="F315" s="50" t="n">
        <f aca="false">'Z4 WTP-Ikana'!S18-'Z4 WTP-Ikana'!P18*C315/'Z4 WTP-Ikana'!G18</f>
        <v>1677.39360325966</v>
      </c>
      <c r="G315" s="51" t="n">
        <f aca="false">'Z4 WTP-Ikana'!$B$8-E315</f>
        <v>224.37</v>
      </c>
      <c r="H315" s="52" t="n">
        <f aca="false">F315-E315</f>
        <v>233.763603259661</v>
      </c>
      <c r="I315" s="52" t="n">
        <f aca="false">MAX(H315,G315)</f>
        <v>233.763603259661</v>
      </c>
      <c r="J315" s="4" t="str">
        <f aca="false">IFERROR("PN"&amp;SMALL(PN_list,COUNTIF(PN_list,"&lt;"&amp;I315*bar_per_m)+1),"&gt; max PN")</f>
        <v>PN25</v>
      </c>
      <c r="K315" s="4" t="str">
        <f aca="false">IF(L315="no","end at tank",IF(H315&lt;0,"NEGATIVE",IF(H315&lt;p_min-0.005,"low","OK")))</f>
        <v>OK</v>
      </c>
      <c r="L315" s="4" t="s">
        <v>414</v>
      </c>
    </row>
    <row r="316" customFormat="false" ht="15" hidden="false" customHeight="false" outlineLevel="0" collapsed="false">
      <c r="A316" s="4" t="s">
        <v>40</v>
      </c>
      <c r="B316" s="4" t="s">
        <v>363</v>
      </c>
      <c r="C316" s="47" t="n">
        <v>14327.02</v>
      </c>
      <c r="D316" s="48" t="n">
        <v>1445.53</v>
      </c>
      <c r="E316" s="49" t="n">
        <f aca="false">D316-cover</f>
        <v>1444.33</v>
      </c>
      <c r="F316" s="50" t="n">
        <f aca="false">'Z4 WTP-Ikana'!S18-'Z4 WTP-Ikana'!P18*C316/'Z4 WTP-Ikana'!G18</f>
        <v>1677.31572000229</v>
      </c>
      <c r="G316" s="51" t="n">
        <f aca="false">'Z4 WTP-Ikana'!$B$8-E316</f>
        <v>223.67</v>
      </c>
      <c r="H316" s="52" t="n">
        <f aca="false">F316-E316</f>
        <v>232.985720002294</v>
      </c>
      <c r="I316" s="52" t="n">
        <f aca="false">MAX(H316,G316)</f>
        <v>232.985720002294</v>
      </c>
      <c r="J316" s="4" t="str">
        <f aca="false">IFERROR("PN"&amp;SMALL(PN_list,COUNTIF(PN_list,"&lt;"&amp;I316*bar_per_m)+1),"&gt; max PN")</f>
        <v>PN25</v>
      </c>
      <c r="K316" s="4" t="str">
        <f aca="false">IF(L316="no","end at tank",IF(H316&lt;0,"NEGATIVE",IF(H316&lt;p_min-0.005,"low","OK")))</f>
        <v>OK</v>
      </c>
      <c r="L316" s="4" t="s">
        <v>414</v>
      </c>
    </row>
    <row r="317" customFormat="false" ht="15" hidden="false" customHeight="false" outlineLevel="0" collapsed="false">
      <c r="A317" s="4" t="s">
        <v>40</v>
      </c>
      <c r="B317" s="4" t="s">
        <v>363</v>
      </c>
      <c r="C317" s="47" t="n">
        <v>14377.03</v>
      </c>
      <c r="D317" s="48" t="n">
        <v>1446.2</v>
      </c>
      <c r="E317" s="49" t="n">
        <f aca="false">D317-cover</f>
        <v>1445</v>
      </c>
      <c r="F317" s="50" t="n">
        <f aca="false">'Z4 WTP-Ikana'!S18-'Z4 WTP-Ikana'!P18*C317/'Z4 WTP-Ikana'!G18</f>
        <v>1677.23782116827</v>
      </c>
      <c r="G317" s="51" t="n">
        <f aca="false">'Z4 WTP-Ikana'!$B$8-E317</f>
        <v>223</v>
      </c>
      <c r="H317" s="52" t="n">
        <f aca="false">F317-E317</f>
        <v>232.237821168275</v>
      </c>
      <c r="I317" s="52" t="n">
        <f aca="false">MAX(H317,G317)</f>
        <v>232.237821168275</v>
      </c>
      <c r="J317" s="4" t="str">
        <f aca="false">IFERROR("PN"&amp;SMALL(PN_list,COUNTIF(PN_list,"&lt;"&amp;I317*bar_per_m)+1),"&gt; max PN")</f>
        <v>PN25</v>
      </c>
      <c r="K317" s="4" t="str">
        <f aca="false">IF(L317="no","end at tank",IF(H317&lt;0,"NEGATIVE",IF(H317&lt;p_min-0.005,"low","OK")))</f>
        <v>OK</v>
      </c>
      <c r="L317" s="4" t="s">
        <v>414</v>
      </c>
    </row>
    <row r="318" customFormat="false" ht="15" hidden="false" customHeight="false" outlineLevel="0" collapsed="false">
      <c r="A318" s="4" t="s">
        <v>40</v>
      </c>
      <c r="B318" s="4" t="s">
        <v>363</v>
      </c>
      <c r="C318" s="47" t="n">
        <v>14427.03</v>
      </c>
      <c r="D318" s="48" t="n">
        <v>1446.46</v>
      </c>
      <c r="E318" s="49" t="n">
        <f aca="false">D318-cover</f>
        <v>1445.26</v>
      </c>
      <c r="F318" s="50" t="n">
        <f aca="false">'Z4 WTP-Ikana'!S18-'Z4 WTP-Ikana'!P18*C318/'Z4 WTP-Ikana'!G18</f>
        <v>1677.15993791091</v>
      </c>
      <c r="G318" s="51" t="n">
        <f aca="false">'Z4 WTP-Ikana'!$B$8-E318</f>
        <v>222.74</v>
      </c>
      <c r="H318" s="52" t="n">
        <f aca="false">F318-E318</f>
        <v>231.899937910908</v>
      </c>
      <c r="I318" s="52" t="n">
        <f aca="false">MAX(H318,G318)</f>
        <v>231.899937910908</v>
      </c>
      <c r="J318" s="4" t="str">
        <f aca="false">IFERROR("PN"&amp;SMALL(PN_list,COUNTIF(PN_list,"&lt;"&amp;I318*bar_per_m)+1),"&gt; max PN")</f>
        <v>PN25</v>
      </c>
      <c r="K318" s="4" t="str">
        <f aca="false">IF(L318="no","end at tank",IF(H318&lt;0,"NEGATIVE",IF(H318&lt;p_min-0.005,"low","OK")))</f>
        <v>OK</v>
      </c>
      <c r="L318" s="4" t="s">
        <v>414</v>
      </c>
    </row>
    <row r="319" customFormat="false" ht="15" hidden="false" customHeight="false" outlineLevel="0" collapsed="false">
      <c r="A319" s="4" t="s">
        <v>40</v>
      </c>
      <c r="B319" s="4" t="s">
        <v>363</v>
      </c>
      <c r="C319" s="47" t="n">
        <v>14477.03</v>
      </c>
      <c r="D319" s="48" t="n">
        <v>1446.97</v>
      </c>
      <c r="E319" s="49" t="n">
        <f aca="false">D319-cover</f>
        <v>1445.77</v>
      </c>
      <c r="F319" s="50" t="n">
        <f aca="false">'Z4 WTP-Ikana'!S18-'Z4 WTP-Ikana'!P18*C319/'Z4 WTP-Ikana'!G18</f>
        <v>1677.08205465354</v>
      </c>
      <c r="G319" s="51" t="n">
        <f aca="false">'Z4 WTP-Ikana'!$B$8-E319</f>
        <v>222.23</v>
      </c>
      <c r="H319" s="52" t="n">
        <f aca="false">F319-E319</f>
        <v>231.312054653541</v>
      </c>
      <c r="I319" s="52" t="n">
        <f aca="false">MAX(H319,G319)</f>
        <v>231.312054653541</v>
      </c>
      <c r="J319" s="4" t="str">
        <f aca="false">IFERROR("PN"&amp;SMALL(PN_list,COUNTIF(PN_list,"&lt;"&amp;I319*bar_per_m)+1),"&gt; max PN")</f>
        <v>PN25</v>
      </c>
      <c r="K319" s="4" t="str">
        <f aca="false">IF(L319="no","end at tank",IF(H319&lt;0,"NEGATIVE",IF(H319&lt;p_min-0.005,"low","OK")))</f>
        <v>OK</v>
      </c>
      <c r="L319" s="4" t="s">
        <v>414</v>
      </c>
    </row>
    <row r="320" customFormat="false" ht="15" hidden="false" customHeight="false" outlineLevel="0" collapsed="false">
      <c r="A320" s="4" t="s">
        <v>40</v>
      </c>
      <c r="B320" s="4" t="s">
        <v>363</v>
      </c>
      <c r="C320" s="47" t="n">
        <v>14527.04</v>
      </c>
      <c r="D320" s="48" t="n">
        <v>1447.66</v>
      </c>
      <c r="E320" s="49" t="n">
        <f aca="false">D320-cover</f>
        <v>1446.46</v>
      </c>
      <c r="F320" s="50" t="n">
        <f aca="false">'Z4 WTP-Ikana'!S18-'Z4 WTP-Ikana'!P18*C320/'Z4 WTP-Ikana'!G18</f>
        <v>1677.00415581952</v>
      </c>
      <c r="G320" s="51" t="n">
        <f aca="false">'Z4 WTP-Ikana'!$B$8-E320</f>
        <v>221.54</v>
      </c>
      <c r="H320" s="52" t="n">
        <f aca="false">F320-E320</f>
        <v>230.544155819522</v>
      </c>
      <c r="I320" s="52" t="n">
        <f aca="false">MAX(H320,G320)</f>
        <v>230.544155819522</v>
      </c>
      <c r="J320" s="4" t="str">
        <f aca="false">IFERROR("PN"&amp;SMALL(PN_list,COUNTIF(PN_list,"&lt;"&amp;I320*bar_per_m)+1),"&gt; max PN")</f>
        <v>PN25</v>
      </c>
      <c r="K320" s="4" t="str">
        <f aca="false">IF(L320="no","end at tank",IF(H320&lt;0,"NEGATIVE",IF(H320&lt;p_min-0.005,"low","OK")))</f>
        <v>OK</v>
      </c>
      <c r="L320" s="4" t="s">
        <v>414</v>
      </c>
    </row>
    <row r="321" customFormat="false" ht="15" hidden="false" customHeight="false" outlineLevel="0" collapsed="false">
      <c r="A321" s="4" t="s">
        <v>40</v>
      </c>
      <c r="B321" s="4" t="s">
        <v>363</v>
      </c>
      <c r="C321" s="47" t="n">
        <v>14577.04</v>
      </c>
      <c r="D321" s="48" t="n">
        <v>1447.96</v>
      </c>
      <c r="E321" s="49" t="n">
        <f aca="false">D321-cover</f>
        <v>1446.76</v>
      </c>
      <c r="F321" s="50" t="n">
        <f aca="false">'Z4 WTP-Ikana'!S18-'Z4 WTP-Ikana'!P18*C321/'Z4 WTP-Ikana'!G18</f>
        <v>1676.92627256216</v>
      </c>
      <c r="G321" s="51" t="n">
        <f aca="false">'Z4 WTP-Ikana'!$B$8-E321</f>
        <v>221.24</v>
      </c>
      <c r="H321" s="52" t="n">
        <f aca="false">F321-E321</f>
        <v>230.166272562155</v>
      </c>
      <c r="I321" s="52" t="n">
        <f aca="false">MAX(H321,G321)</f>
        <v>230.166272562155</v>
      </c>
      <c r="J321" s="4" t="str">
        <f aca="false">IFERROR("PN"&amp;SMALL(PN_list,COUNTIF(PN_list,"&lt;"&amp;I321*bar_per_m)+1),"&gt; max PN")</f>
        <v>PN25</v>
      </c>
      <c r="K321" s="4" t="str">
        <f aca="false">IF(L321="no","end at tank",IF(H321&lt;0,"NEGATIVE",IF(H321&lt;p_min-0.005,"low","OK")))</f>
        <v>OK</v>
      </c>
      <c r="L321" s="4" t="s">
        <v>414</v>
      </c>
    </row>
    <row r="322" customFormat="false" ht="15" hidden="false" customHeight="false" outlineLevel="0" collapsed="false">
      <c r="A322" s="4" t="s">
        <v>40</v>
      </c>
      <c r="B322" s="4" t="s">
        <v>363</v>
      </c>
      <c r="C322" s="47" t="n">
        <v>14627.04</v>
      </c>
      <c r="D322" s="48" t="n">
        <v>1448.22</v>
      </c>
      <c r="E322" s="49" t="n">
        <f aca="false">D322-cover</f>
        <v>1447.02</v>
      </c>
      <c r="F322" s="50" t="n">
        <f aca="false">'Z4 WTP-Ikana'!S18-'Z4 WTP-Ikana'!P18*C322/'Z4 WTP-Ikana'!G18</f>
        <v>1676.84838930479</v>
      </c>
      <c r="G322" s="51" t="n">
        <f aca="false">'Z4 WTP-Ikana'!$B$8-E322</f>
        <v>220.98</v>
      </c>
      <c r="H322" s="52" t="n">
        <f aca="false">F322-E322</f>
        <v>229.828389304788</v>
      </c>
      <c r="I322" s="52" t="n">
        <f aca="false">MAX(H322,G322)</f>
        <v>229.828389304788</v>
      </c>
      <c r="J322" s="4" t="str">
        <f aca="false">IFERROR("PN"&amp;SMALL(PN_list,COUNTIF(PN_list,"&lt;"&amp;I322*bar_per_m)+1),"&gt; max PN")</f>
        <v>PN25</v>
      </c>
      <c r="K322" s="4" t="str">
        <f aca="false">IF(L322="no","end at tank",IF(H322&lt;0,"NEGATIVE",IF(H322&lt;p_min-0.005,"low","OK")))</f>
        <v>OK</v>
      </c>
      <c r="L322" s="4" t="s">
        <v>414</v>
      </c>
    </row>
    <row r="323" customFormat="false" ht="15" hidden="false" customHeight="false" outlineLevel="0" collapsed="false">
      <c r="A323" s="4" t="s">
        <v>40</v>
      </c>
      <c r="B323" s="4" t="s">
        <v>363</v>
      </c>
      <c r="C323" s="47" t="n">
        <v>14677.04</v>
      </c>
      <c r="D323" s="48" t="n">
        <v>1448.71</v>
      </c>
      <c r="E323" s="49" t="n">
        <f aca="false">D323-cover</f>
        <v>1447.51</v>
      </c>
      <c r="F323" s="50" t="n">
        <f aca="false">'Z4 WTP-Ikana'!S18-'Z4 WTP-Ikana'!P18*C323/'Z4 WTP-Ikana'!G18</f>
        <v>1676.77050604742</v>
      </c>
      <c r="G323" s="51" t="n">
        <f aca="false">'Z4 WTP-Ikana'!$B$8-E323</f>
        <v>220.49</v>
      </c>
      <c r="H323" s="52" t="n">
        <f aca="false">F323-E323</f>
        <v>229.260506047421</v>
      </c>
      <c r="I323" s="52" t="n">
        <f aca="false">MAX(H323,G323)</f>
        <v>229.260506047421</v>
      </c>
      <c r="J323" s="4" t="str">
        <f aca="false">IFERROR("PN"&amp;SMALL(PN_list,COUNTIF(PN_list,"&lt;"&amp;I323*bar_per_m)+1),"&gt; max PN")</f>
        <v>PN25</v>
      </c>
      <c r="K323" s="4" t="str">
        <f aca="false">IF(L323="no","end at tank",IF(H323&lt;0,"NEGATIVE",IF(H323&lt;p_min-0.005,"low","OK")))</f>
        <v>OK</v>
      </c>
      <c r="L323" s="4" t="s">
        <v>414</v>
      </c>
    </row>
    <row r="324" customFormat="false" ht="15" hidden="false" customHeight="false" outlineLevel="0" collapsed="false">
      <c r="A324" s="4" t="s">
        <v>40</v>
      </c>
      <c r="B324" s="4" t="s">
        <v>363</v>
      </c>
      <c r="C324" s="47" t="n">
        <v>14727.04</v>
      </c>
      <c r="D324" s="48" t="n">
        <v>1448.76</v>
      </c>
      <c r="E324" s="49" t="n">
        <f aca="false">D324-cover</f>
        <v>1447.56</v>
      </c>
      <c r="F324" s="50" t="n">
        <f aca="false">'Z4 WTP-Ikana'!S18-'Z4 WTP-Ikana'!P18*C324/'Z4 WTP-Ikana'!G18</f>
        <v>1676.69262279005</v>
      </c>
      <c r="G324" s="51" t="n">
        <f aca="false">'Z4 WTP-Ikana'!$B$8-E324</f>
        <v>220.44</v>
      </c>
      <c r="H324" s="52" t="n">
        <f aca="false">F324-E324</f>
        <v>229.132622790054</v>
      </c>
      <c r="I324" s="52" t="n">
        <f aca="false">MAX(H324,G324)</f>
        <v>229.132622790054</v>
      </c>
      <c r="J324" s="4" t="str">
        <f aca="false">IFERROR("PN"&amp;SMALL(PN_list,COUNTIF(PN_list,"&lt;"&amp;I324*bar_per_m)+1),"&gt; max PN")</f>
        <v>PN25</v>
      </c>
      <c r="K324" s="4" t="str">
        <f aca="false">IF(L324="no","end at tank",IF(H324&lt;0,"NEGATIVE",IF(H324&lt;p_min-0.005,"low","OK")))</f>
        <v>OK</v>
      </c>
      <c r="L324" s="4" t="s">
        <v>414</v>
      </c>
    </row>
    <row r="325" customFormat="false" ht="15" hidden="false" customHeight="false" outlineLevel="0" collapsed="false">
      <c r="A325" s="4" t="s">
        <v>40</v>
      </c>
      <c r="B325" s="4" t="s">
        <v>363</v>
      </c>
      <c r="C325" s="47" t="n">
        <v>14777.04</v>
      </c>
      <c r="D325" s="48" t="n">
        <v>1449.15</v>
      </c>
      <c r="E325" s="49" t="n">
        <f aca="false">D325-cover</f>
        <v>1447.95</v>
      </c>
      <c r="F325" s="50" t="n">
        <f aca="false">'Z4 WTP-Ikana'!S18-'Z4 WTP-Ikana'!P18*C325/'Z4 WTP-Ikana'!G18</f>
        <v>1676.61473953269</v>
      </c>
      <c r="G325" s="51" t="n">
        <f aca="false">'Z4 WTP-Ikana'!$B$8-E325</f>
        <v>220.05</v>
      </c>
      <c r="H325" s="52" t="n">
        <f aca="false">F325-E325</f>
        <v>228.664739532687</v>
      </c>
      <c r="I325" s="52" t="n">
        <f aca="false">MAX(H325,G325)</f>
        <v>228.664739532687</v>
      </c>
      <c r="J325" s="4" t="str">
        <f aca="false">IFERROR("PN"&amp;SMALL(PN_list,COUNTIF(PN_list,"&lt;"&amp;I325*bar_per_m)+1),"&gt; max PN")</f>
        <v>PN25</v>
      </c>
      <c r="K325" s="4" t="str">
        <f aca="false">IF(L325="no","end at tank",IF(H325&lt;0,"NEGATIVE",IF(H325&lt;p_min-0.005,"low","OK")))</f>
        <v>OK</v>
      </c>
      <c r="L325" s="4" t="s">
        <v>414</v>
      </c>
    </row>
    <row r="326" customFormat="false" ht="15" hidden="false" customHeight="false" outlineLevel="0" collapsed="false">
      <c r="A326" s="4" t="s">
        <v>40</v>
      </c>
      <c r="B326" s="4" t="s">
        <v>363</v>
      </c>
      <c r="C326" s="47" t="n">
        <v>14827.04</v>
      </c>
      <c r="D326" s="48" t="n">
        <v>1448.84</v>
      </c>
      <c r="E326" s="49" t="n">
        <f aca="false">D326-cover</f>
        <v>1447.64</v>
      </c>
      <c r="F326" s="50" t="n">
        <f aca="false">'Z4 WTP-Ikana'!S18-'Z4 WTP-Ikana'!P18*C326/'Z4 WTP-Ikana'!G18</f>
        <v>1676.53685627532</v>
      </c>
      <c r="G326" s="51" t="n">
        <f aca="false">'Z4 WTP-Ikana'!$B$8-E326</f>
        <v>220.36</v>
      </c>
      <c r="H326" s="52" t="n">
        <f aca="false">F326-E326</f>
        <v>228.89685627532</v>
      </c>
      <c r="I326" s="52" t="n">
        <f aca="false">MAX(H326,G326)</f>
        <v>228.89685627532</v>
      </c>
      <c r="J326" s="4" t="str">
        <f aca="false">IFERROR("PN"&amp;SMALL(PN_list,COUNTIF(PN_list,"&lt;"&amp;I326*bar_per_m)+1),"&gt; max PN")</f>
        <v>PN25</v>
      </c>
      <c r="K326" s="4" t="str">
        <f aca="false">IF(L326="no","end at tank",IF(H326&lt;0,"NEGATIVE",IF(H326&lt;p_min-0.005,"low","OK")))</f>
        <v>OK</v>
      </c>
      <c r="L326" s="4" t="s">
        <v>414</v>
      </c>
    </row>
    <row r="327" customFormat="false" ht="15" hidden="false" customHeight="false" outlineLevel="0" collapsed="false">
      <c r="A327" s="4" t="s">
        <v>40</v>
      </c>
      <c r="B327" s="4" t="s">
        <v>363</v>
      </c>
      <c r="C327" s="47" t="n">
        <v>14877.05</v>
      </c>
      <c r="D327" s="48" t="n">
        <v>1449.37</v>
      </c>
      <c r="E327" s="49" t="n">
        <f aca="false">D327-cover</f>
        <v>1448.17</v>
      </c>
      <c r="F327" s="50" t="n">
        <f aca="false">'Z4 WTP-Ikana'!S18-'Z4 WTP-Ikana'!P18*C327/'Z4 WTP-Ikana'!G18</f>
        <v>1676.4589574413</v>
      </c>
      <c r="G327" s="51" t="n">
        <f aca="false">'Z4 WTP-Ikana'!$B$8-E327</f>
        <v>219.83</v>
      </c>
      <c r="H327" s="52" t="n">
        <f aca="false">F327-E327</f>
        <v>228.288957441302</v>
      </c>
      <c r="I327" s="52" t="n">
        <f aca="false">MAX(H327,G327)</f>
        <v>228.288957441302</v>
      </c>
      <c r="J327" s="4" t="str">
        <f aca="false">IFERROR("PN"&amp;SMALL(PN_list,COUNTIF(PN_list,"&lt;"&amp;I327*bar_per_m)+1),"&gt; max PN")</f>
        <v>PN25</v>
      </c>
      <c r="K327" s="4" t="str">
        <f aca="false">IF(L327="no","end at tank",IF(H327&lt;0,"NEGATIVE",IF(H327&lt;p_min-0.005,"low","OK")))</f>
        <v>OK</v>
      </c>
      <c r="L327" s="4" t="s">
        <v>414</v>
      </c>
    </row>
    <row r="328" customFormat="false" ht="15" hidden="false" customHeight="false" outlineLevel="0" collapsed="false">
      <c r="A328" s="4" t="s">
        <v>40</v>
      </c>
      <c r="B328" s="4" t="s">
        <v>363</v>
      </c>
      <c r="C328" s="47" t="n">
        <v>14927.05</v>
      </c>
      <c r="D328" s="48" t="n">
        <v>1449.58</v>
      </c>
      <c r="E328" s="49" t="n">
        <f aca="false">D328-cover</f>
        <v>1448.38</v>
      </c>
      <c r="F328" s="50" t="n">
        <f aca="false">'Z4 WTP-Ikana'!S18-'Z4 WTP-Ikana'!P18*C328/'Z4 WTP-Ikana'!G18</f>
        <v>1676.38107418393</v>
      </c>
      <c r="G328" s="51" t="n">
        <f aca="false">'Z4 WTP-Ikana'!$B$8-E328</f>
        <v>219.62</v>
      </c>
      <c r="H328" s="52" t="n">
        <f aca="false">F328-E328</f>
        <v>228.001074183934</v>
      </c>
      <c r="I328" s="52" t="n">
        <f aca="false">MAX(H328,G328)</f>
        <v>228.001074183934</v>
      </c>
      <c r="J328" s="4" t="str">
        <f aca="false">IFERROR("PN"&amp;SMALL(PN_list,COUNTIF(PN_list,"&lt;"&amp;I328*bar_per_m)+1),"&gt; max PN")</f>
        <v>PN25</v>
      </c>
      <c r="K328" s="4" t="str">
        <f aca="false">IF(L328="no","end at tank",IF(H328&lt;0,"NEGATIVE",IF(H328&lt;p_min-0.005,"low","OK")))</f>
        <v>OK</v>
      </c>
      <c r="L328" s="4" t="s">
        <v>414</v>
      </c>
    </row>
    <row r="329" customFormat="false" ht="15" hidden="false" customHeight="false" outlineLevel="0" collapsed="false">
      <c r="A329" s="4" t="s">
        <v>40</v>
      </c>
      <c r="B329" s="4" t="s">
        <v>363</v>
      </c>
      <c r="C329" s="47" t="n">
        <v>14977.05</v>
      </c>
      <c r="D329" s="48" t="n">
        <v>1449.79</v>
      </c>
      <c r="E329" s="49" t="n">
        <f aca="false">D329-cover</f>
        <v>1448.59</v>
      </c>
      <c r="F329" s="50" t="n">
        <f aca="false">'Z4 WTP-Ikana'!S18-'Z4 WTP-Ikana'!P18*C329/'Z4 WTP-Ikana'!G18</f>
        <v>1676.30319092657</v>
      </c>
      <c r="G329" s="51" t="n">
        <f aca="false">'Z4 WTP-Ikana'!$B$8-E329</f>
        <v>219.41</v>
      </c>
      <c r="H329" s="52" t="n">
        <f aca="false">F329-E329</f>
        <v>227.713190926567</v>
      </c>
      <c r="I329" s="52" t="n">
        <f aca="false">MAX(H329,G329)</f>
        <v>227.713190926567</v>
      </c>
      <c r="J329" s="4" t="str">
        <f aca="false">IFERROR("PN"&amp;SMALL(PN_list,COUNTIF(PN_list,"&lt;"&amp;I329*bar_per_m)+1),"&gt; max PN")</f>
        <v>PN25</v>
      </c>
      <c r="K329" s="4" t="str">
        <f aca="false">IF(L329="no","end at tank",IF(H329&lt;0,"NEGATIVE",IF(H329&lt;p_min-0.005,"low","OK")))</f>
        <v>OK</v>
      </c>
      <c r="L329" s="4" t="s">
        <v>414</v>
      </c>
    </row>
    <row r="330" customFormat="false" ht="15" hidden="false" customHeight="false" outlineLevel="0" collapsed="false">
      <c r="A330" s="4" t="s">
        <v>40</v>
      </c>
      <c r="B330" s="4" t="s">
        <v>363</v>
      </c>
      <c r="C330" s="47" t="n">
        <v>15027.05</v>
      </c>
      <c r="D330" s="48" t="n">
        <v>1449.86</v>
      </c>
      <c r="E330" s="49" t="n">
        <f aca="false">D330-cover</f>
        <v>1448.66</v>
      </c>
      <c r="F330" s="50" t="n">
        <f aca="false">'Z4 WTP-Ikana'!S18-'Z4 WTP-Ikana'!P18*C330/'Z4 WTP-Ikana'!G18</f>
        <v>1676.2253076692</v>
      </c>
      <c r="G330" s="51" t="n">
        <f aca="false">'Z4 WTP-Ikana'!$B$8-E330</f>
        <v>219.34</v>
      </c>
      <c r="H330" s="52" t="n">
        <f aca="false">F330-E330</f>
        <v>227.5653076692</v>
      </c>
      <c r="I330" s="52" t="n">
        <f aca="false">MAX(H330,G330)</f>
        <v>227.5653076692</v>
      </c>
      <c r="J330" s="4" t="str">
        <f aca="false">IFERROR("PN"&amp;SMALL(PN_list,COUNTIF(PN_list,"&lt;"&amp;I330*bar_per_m)+1),"&gt; max PN")</f>
        <v>PN25</v>
      </c>
      <c r="K330" s="4" t="str">
        <f aca="false">IF(L330="no","end at tank",IF(H330&lt;0,"NEGATIVE",IF(H330&lt;p_min-0.005,"low","OK")))</f>
        <v>OK</v>
      </c>
      <c r="L330" s="4" t="s">
        <v>414</v>
      </c>
    </row>
    <row r="331" customFormat="false" ht="15" hidden="false" customHeight="false" outlineLevel="0" collapsed="false">
      <c r="A331" s="4" t="s">
        <v>40</v>
      </c>
      <c r="B331" s="4" t="s">
        <v>363</v>
      </c>
      <c r="C331" s="47" t="n">
        <v>15077.05</v>
      </c>
      <c r="D331" s="48" t="n">
        <v>1450.43</v>
      </c>
      <c r="E331" s="49" t="n">
        <f aca="false">D331-cover</f>
        <v>1449.23</v>
      </c>
      <c r="F331" s="50" t="n">
        <f aca="false">'Z4 WTP-Ikana'!S18-'Z4 WTP-Ikana'!P18*C331/'Z4 WTP-Ikana'!G18</f>
        <v>1676.14742441183</v>
      </c>
      <c r="G331" s="51" t="n">
        <f aca="false">'Z4 WTP-Ikana'!$B$8-E331</f>
        <v>218.77</v>
      </c>
      <c r="H331" s="52" t="n">
        <f aca="false">F331-E331</f>
        <v>226.917424411833</v>
      </c>
      <c r="I331" s="52" t="n">
        <f aca="false">MAX(H331,G331)</f>
        <v>226.917424411833</v>
      </c>
      <c r="J331" s="4" t="str">
        <f aca="false">IFERROR("PN"&amp;SMALL(PN_list,COUNTIF(PN_list,"&lt;"&amp;I331*bar_per_m)+1),"&gt; max PN")</f>
        <v>PN25</v>
      </c>
      <c r="K331" s="4" t="str">
        <f aca="false">IF(L331="no","end at tank",IF(H331&lt;0,"NEGATIVE",IF(H331&lt;p_min-0.005,"low","OK")))</f>
        <v>OK</v>
      </c>
      <c r="L331" s="4" t="s">
        <v>414</v>
      </c>
    </row>
    <row r="332" customFormat="false" ht="15" hidden="false" customHeight="false" outlineLevel="0" collapsed="false">
      <c r="A332" s="4" t="s">
        <v>40</v>
      </c>
      <c r="B332" s="4" t="s">
        <v>363</v>
      </c>
      <c r="C332" s="47" t="n">
        <v>15127.05</v>
      </c>
      <c r="D332" s="48" t="n">
        <v>1450.12</v>
      </c>
      <c r="E332" s="49" t="n">
        <f aca="false">D332-cover</f>
        <v>1448.92</v>
      </c>
      <c r="F332" s="50" t="n">
        <f aca="false">'Z4 WTP-Ikana'!S18-'Z4 WTP-Ikana'!P18*C332/'Z4 WTP-Ikana'!G18</f>
        <v>1676.06954115447</v>
      </c>
      <c r="G332" s="51" t="n">
        <f aca="false">'Z4 WTP-Ikana'!$B$8-E332</f>
        <v>219.08</v>
      </c>
      <c r="H332" s="52" t="n">
        <f aca="false">F332-E332</f>
        <v>227.149541154466</v>
      </c>
      <c r="I332" s="52" t="n">
        <f aca="false">MAX(H332,G332)</f>
        <v>227.149541154466</v>
      </c>
      <c r="J332" s="4" t="str">
        <f aca="false">IFERROR("PN"&amp;SMALL(PN_list,COUNTIF(PN_list,"&lt;"&amp;I332*bar_per_m)+1),"&gt; max PN")</f>
        <v>PN25</v>
      </c>
      <c r="K332" s="4" t="str">
        <f aca="false">IF(L332="no","end at tank",IF(H332&lt;0,"NEGATIVE",IF(H332&lt;p_min-0.005,"low","OK")))</f>
        <v>OK</v>
      </c>
      <c r="L332" s="4" t="s">
        <v>414</v>
      </c>
    </row>
    <row r="333" customFormat="false" ht="15" hidden="false" customHeight="false" outlineLevel="0" collapsed="false">
      <c r="A333" s="4" t="s">
        <v>40</v>
      </c>
      <c r="B333" s="4" t="s">
        <v>363</v>
      </c>
      <c r="C333" s="47" t="n">
        <v>15177.05</v>
      </c>
      <c r="D333" s="48" t="n">
        <v>1450.13</v>
      </c>
      <c r="E333" s="49" t="n">
        <f aca="false">D333-cover</f>
        <v>1448.93</v>
      </c>
      <c r="F333" s="50" t="n">
        <f aca="false">'Z4 WTP-Ikana'!S18-'Z4 WTP-Ikana'!P18*C333/'Z4 WTP-Ikana'!G18</f>
        <v>1675.9916578971</v>
      </c>
      <c r="G333" s="51" t="n">
        <f aca="false">'Z4 WTP-Ikana'!$B$8-E333</f>
        <v>219.07</v>
      </c>
      <c r="H333" s="52" t="n">
        <f aca="false">F333-E333</f>
        <v>227.061657897099</v>
      </c>
      <c r="I333" s="52" t="n">
        <f aca="false">MAX(H333,G333)</f>
        <v>227.061657897099</v>
      </c>
      <c r="J333" s="4" t="str">
        <f aca="false">IFERROR("PN"&amp;SMALL(PN_list,COUNTIF(PN_list,"&lt;"&amp;I333*bar_per_m)+1),"&gt; max PN")</f>
        <v>PN25</v>
      </c>
      <c r="K333" s="4" t="str">
        <f aca="false">IF(L333="no","end at tank",IF(H333&lt;0,"NEGATIVE",IF(H333&lt;p_min-0.005,"low","OK")))</f>
        <v>OK</v>
      </c>
      <c r="L333" s="4" t="s">
        <v>414</v>
      </c>
    </row>
    <row r="334" customFormat="false" ht="15" hidden="false" customHeight="false" outlineLevel="0" collapsed="false">
      <c r="A334" s="4" t="s">
        <v>40</v>
      </c>
      <c r="B334" s="4" t="s">
        <v>363</v>
      </c>
      <c r="C334" s="47" t="n">
        <v>15227.05</v>
      </c>
      <c r="D334" s="48" t="n">
        <v>1450.61</v>
      </c>
      <c r="E334" s="49" t="n">
        <f aca="false">D334-cover</f>
        <v>1449.41</v>
      </c>
      <c r="F334" s="50" t="n">
        <f aca="false">'Z4 WTP-Ikana'!S18-'Z4 WTP-Ikana'!P18*C334/'Z4 WTP-Ikana'!G18</f>
        <v>1675.91377463973</v>
      </c>
      <c r="G334" s="51" t="n">
        <f aca="false">'Z4 WTP-Ikana'!$B$8-E334</f>
        <v>218.59</v>
      </c>
      <c r="H334" s="52" t="n">
        <f aca="false">F334-E334</f>
        <v>226.503774639732</v>
      </c>
      <c r="I334" s="52" t="n">
        <f aca="false">MAX(H334,G334)</f>
        <v>226.503774639732</v>
      </c>
      <c r="J334" s="4" t="str">
        <f aca="false">IFERROR("PN"&amp;SMALL(PN_list,COUNTIF(PN_list,"&lt;"&amp;I334*bar_per_m)+1),"&gt; max PN")</f>
        <v>PN25</v>
      </c>
      <c r="K334" s="4" t="str">
        <f aca="false">IF(L334="no","end at tank",IF(H334&lt;0,"NEGATIVE",IF(H334&lt;p_min-0.005,"low","OK")))</f>
        <v>OK</v>
      </c>
      <c r="L334" s="4" t="s">
        <v>414</v>
      </c>
    </row>
    <row r="335" customFormat="false" ht="15" hidden="false" customHeight="false" outlineLevel="0" collapsed="false">
      <c r="A335" s="4" t="s">
        <v>40</v>
      </c>
      <c r="B335" s="4" t="s">
        <v>363</v>
      </c>
      <c r="C335" s="47" t="n">
        <v>15277.05</v>
      </c>
      <c r="D335" s="48" t="n">
        <v>1450.79</v>
      </c>
      <c r="E335" s="49" t="n">
        <f aca="false">D335-cover</f>
        <v>1449.59</v>
      </c>
      <c r="F335" s="50" t="n">
        <f aca="false">'Z4 WTP-Ikana'!S18-'Z4 WTP-Ikana'!P18*C335/'Z4 WTP-Ikana'!G18</f>
        <v>1675.83589138236</v>
      </c>
      <c r="G335" s="51" t="n">
        <f aca="false">'Z4 WTP-Ikana'!$B$8-E335</f>
        <v>218.41</v>
      </c>
      <c r="H335" s="52" t="n">
        <f aca="false">F335-E335</f>
        <v>226.245891382365</v>
      </c>
      <c r="I335" s="52" t="n">
        <f aca="false">MAX(H335,G335)</f>
        <v>226.245891382365</v>
      </c>
      <c r="J335" s="4" t="str">
        <f aca="false">IFERROR("PN"&amp;SMALL(PN_list,COUNTIF(PN_list,"&lt;"&amp;I335*bar_per_m)+1),"&gt; max PN")</f>
        <v>PN25</v>
      </c>
      <c r="K335" s="4" t="str">
        <f aca="false">IF(L335="no","end at tank",IF(H335&lt;0,"NEGATIVE",IF(H335&lt;p_min-0.005,"low","OK")))</f>
        <v>OK</v>
      </c>
      <c r="L335" s="4" t="s">
        <v>414</v>
      </c>
    </row>
    <row r="336" customFormat="false" ht="15" hidden="false" customHeight="false" outlineLevel="0" collapsed="false">
      <c r="A336" s="4" t="s">
        <v>40</v>
      </c>
      <c r="B336" s="4" t="s">
        <v>363</v>
      </c>
      <c r="C336" s="47" t="n">
        <v>15327.05</v>
      </c>
      <c r="D336" s="48" t="n">
        <v>1450.81</v>
      </c>
      <c r="E336" s="49" t="n">
        <f aca="false">D336-cover</f>
        <v>1449.61</v>
      </c>
      <c r="F336" s="50" t="n">
        <f aca="false">'Z4 WTP-Ikana'!S18-'Z4 WTP-Ikana'!P18*C336/'Z4 WTP-Ikana'!G18</f>
        <v>1675.758008125</v>
      </c>
      <c r="G336" s="51" t="n">
        <f aca="false">'Z4 WTP-Ikana'!$B$8-E336</f>
        <v>218.39</v>
      </c>
      <c r="H336" s="52" t="n">
        <f aca="false">F336-E336</f>
        <v>226.148008124998</v>
      </c>
      <c r="I336" s="52" t="n">
        <f aca="false">MAX(H336,G336)</f>
        <v>226.148008124998</v>
      </c>
      <c r="J336" s="4" t="str">
        <f aca="false">IFERROR("PN"&amp;SMALL(PN_list,COUNTIF(PN_list,"&lt;"&amp;I336*bar_per_m)+1),"&gt; max PN")</f>
        <v>PN25</v>
      </c>
      <c r="K336" s="4" t="str">
        <f aca="false">IF(L336="no","end at tank",IF(H336&lt;0,"NEGATIVE",IF(H336&lt;p_min-0.005,"low","OK")))</f>
        <v>OK</v>
      </c>
      <c r="L336" s="4" t="s">
        <v>414</v>
      </c>
    </row>
    <row r="337" customFormat="false" ht="15" hidden="false" customHeight="false" outlineLevel="0" collapsed="false">
      <c r="A337" s="4" t="s">
        <v>40</v>
      </c>
      <c r="B337" s="4" t="s">
        <v>363</v>
      </c>
      <c r="C337" s="47" t="n">
        <v>15377.05</v>
      </c>
      <c r="D337" s="48" t="n">
        <v>1450.7</v>
      </c>
      <c r="E337" s="49" t="n">
        <f aca="false">D337-cover</f>
        <v>1449.5</v>
      </c>
      <c r="F337" s="50" t="n">
        <f aca="false">'Z4 WTP-Ikana'!S18-'Z4 WTP-Ikana'!P18*C337/'Z4 WTP-Ikana'!G18</f>
        <v>1675.68012486763</v>
      </c>
      <c r="G337" s="51" t="n">
        <f aca="false">'Z4 WTP-Ikana'!$B$8-E337</f>
        <v>218.5</v>
      </c>
      <c r="H337" s="52" t="n">
        <f aca="false">F337-E337</f>
        <v>226.180124867631</v>
      </c>
      <c r="I337" s="52" t="n">
        <f aca="false">MAX(H337,G337)</f>
        <v>226.180124867631</v>
      </c>
      <c r="J337" s="4" t="str">
        <f aca="false">IFERROR("PN"&amp;SMALL(PN_list,COUNTIF(PN_list,"&lt;"&amp;I337*bar_per_m)+1),"&gt; max PN")</f>
        <v>PN25</v>
      </c>
      <c r="K337" s="4" t="str">
        <f aca="false">IF(L337="no","end at tank",IF(H337&lt;0,"NEGATIVE",IF(H337&lt;p_min-0.005,"low","OK")))</f>
        <v>OK</v>
      </c>
      <c r="L337" s="4" t="s">
        <v>414</v>
      </c>
    </row>
    <row r="338" customFormat="false" ht="15" hidden="false" customHeight="false" outlineLevel="0" collapsed="false">
      <c r="A338" s="4" t="s">
        <v>40</v>
      </c>
      <c r="B338" s="4" t="s">
        <v>363</v>
      </c>
      <c r="C338" s="47" t="n">
        <v>15427.06</v>
      </c>
      <c r="D338" s="48" t="n">
        <v>1451.04</v>
      </c>
      <c r="E338" s="49" t="n">
        <f aca="false">D338-cover</f>
        <v>1449.84</v>
      </c>
      <c r="F338" s="50" t="n">
        <f aca="false">'Z4 WTP-Ikana'!S18-'Z4 WTP-Ikana'!P18*C338/'Z4 WTP-Ikana'!G18</f>
        <v>1675.60222603361</v>
      </c>
      <c r="G338" s="51" t="n">
        <f aca="false">'Z4 WTP-Ikana'!$B$8-E338</f>
        <v>218.16</v>
      </c>
      <c r="H338" s="52" t="n">
        <f aca="false">F338-E338</f>
        <v>225.762226033612</v>
      </c>
      <c r="I338" s="52" t="n">
        <f aca="false">MAX(H338,G338)</f>
        <v>225.762226033612</v>
      </c>
      <c r="J338" s="4" t="str">
        <f aca="false">IFERROR("PN"&amp;SMALL(PN_list,COUNTIF(PN_list,"&lt;"&amp;I338*bar_per_m)+1),"&gt; max PN")</f>
        <v>PN25</v>
      </c>
      <c r="K338" s="4" t="str">
        <f aca="false">IF(L338="no","end at tank",IF(H338&lt;0,"NEGATIVE",IF(H338&lt;p_min-0.005,"low","OK")))</f>
        <v>OK</v>
      </c>
      <c r="L338" s="4" t="s">
        <v>414</v>
      </c>
    </row>
    <row r="339" customFormat="false" ht="15" hidden="false" customHeight="false" outlineLevel="0" collapsed="false">
      <c r="A339" s="4" t="s">
        <v>40</v>
      </c>
      <c r="B339" s="4" t="s">
        <v>363</v>
      </c>
      <c r="C339" s="47" t="n">
        <v>15477.06</v>
      </c>
      <c r="D339" s="48" t="n">
        <v>1451.11</v>
      </c>
      <c r="E339" s="49" t="n">
        <f aca="false">D339-cover</f>
        <v>1449.91</v>
      </c>
      <c r="F339" s="50" t="n">
        <f aca="false">'Z4 WTP-Ikana'!S18-'Z4 WTP-Ikana'!P18*C339/'Z4 WTP-Ikana'!G18</f>
        <v>1675.52434277625</v>
      </c>
      <c r="G339" s="51" t="n">
        <f aca="false">'Z4 WTP-Ikana'!$B$8-E339</f>
        <v>218.09</v>
      </c>
      <c r="H339" s="52" t="n">
        <f aca="false">F339-E339</f>
        <v>225.614342776245</v>
      </c>
      <c r="I339" s="52" t="n">
        <f aca="false">MAX(H339,G339)</f>
        <v>225.614342776245</v>
      </c>
      <c r="J339" s="4" t="str">
        <f aca="false">IFERROR("PN"&amp;SMALL(PN_list,COUNTIF(PN_list,"&lt;"&amp;I339*bar_per_m)+1),"&gt; max PN")</f>
        <v>PN25</v>
      </c>
      <c r="K339" s="4" t="str">
        <f aca="false">IF(L339="no","end at tank",IF(H339&lt;0,"NEGATIVE",IF(H339&lt;p_min-0.005,"low","OK")))</f>
        <v>OK</v>
      </c>
      <c r="L339" s="4" t="s">
        <v>414</v>
      </c>
    </row>
    <row r="340" customFormat="false" ht="15" hidden="false" customHeight="false" outlineLevel="0" collapsed="false">
      <c r="A340" s="4" t="s">
        <v>40</v>
      </c>
      <c r="B340" s="4" t="s">
        <v>363</v>
      </c>
      <c r="C340" s="47" t="n">
        <v>15527.06</v>
      </c>
      <c r="D340" s="48" t="n">
        <v>1451.77</v>
      </c>
      <c r="E340" s="49" t="n">
        <f aca="false">D340-cover</f>
        <v>1450.57</v>
      </c>
      <c r="F340" s="50" t="n">
        <f aca="false">'Z4 WTP-Ikana'!S18-'Z4 WTP-Ikana'!P18*C340/'Z4 WTP-Ikana'!G18</f>
        <v>1675.44645951888</v>
      </c>
      <c r="G340" s="51" t="n">
        <f aca="false">'Z4 WTP-Ikana'!$B$8-E340</f>
        <v>217.43</v>
      </c>
      <c r="H340" s="52" t="n">
        <f aca="false">F340-E340</f>
        <v>224.876459518878</v>
      </c>
      <c r="I340" s="52" t="n">
        <f aca="false">MAX(H340,G340)</f>
        <v>224.876459518878</v>
      </c>
      <c r="J340" s="4" t="str">
        <f aca="false">IFERROR("PN"&amp;SMALL(PN_list,COUNTIF(PN_list,"&lt;"&amp;I340*bar_per_m)+1),"&gt; max PN")</f>
        <v>PN25</v>
      </c>
      <c r="K340" s="4" t="str">
        <f aca="false">IF(L340="no","end at tank",IF(H340&lt;0,"NEGATIVE",IF(H340&lt;p_min-0.005,"low","OK")))</f>
        <v>OK</v>
      </c>
      <c r="L340" s="4" t="s">
        <v>414</v>
      </c>
    </row>
    <row r="341" customFormat="false" ht="15" hidden="false" customHeight="false" outlineLevel="0" collapsed="false">
      <c r="A341" s="4" t="s">
        <v>40</v>
      </c>
      <c r="B341" s="4" t="s">
        <v>363</v>
      </c>
      <c r="C341" s="47" t="n">
        <v>15577.06</v>
      </c>
      <c r="D341" s="48" t="n">
        <v>1451.14</v>
      </c>
      <c r="E341" s="49" t="n">
        <f aca="false">D341-cover</f>
        <v>1449.94</v>
      </c>
      <c r="F341" s="50" t="n">
        <f aca="false">'Z4 WTP-Ikana'!S18-'Z4 WTP-Ikana'!P18*C341/'Z4 WTP-Ikana'!G18</f>
        <v>1675.36857626151</v>
      </c>
      <c r="G341" s="51" t="n">
        <f aca="false">'Z4 WTP-Ikana'!$B$8-E341</f>
        <v>218.06</v>
      </c>
      <c r="H341" s="52" t="n">
        <f aca="false">F341-E341</f>
        <v>225.428576261511</v>
      </c>
      <c r="I341" s="52" t="n">
        <f aca="false">MAX(H341,G341)</f>
        <v>225.428576261511</v>
      </c>
      <c r="J341" s="4" t="str">
        <f aca="false">IFERROR("PN"&amp;SMALL(PN_list,COUNTIF(PN_list,"&lt;"&amp;I341*bar_per_m)+1),"&gt; max PN")</f>
        <v>PN25</v>
      </c>
      <c r="K341" s="4" t="str">
        <f aca="false">IF(L341="no","end at tank",IF(H341&lt;0,"NEGATIVE",IF(H341&lt;p_min-0.005,"low","OK")))</f>
        <v>OK</v>
      </c>
      <c r="L341" s="4" t="s">
        <v>414</v>
      </c>
    </row>
    <row r="342" customFormat="false" ht="15" hidden="false" customHeight="false" outlineLevel="0" collapsed="false">
      <c r="A342" s="4" t="s">
        <v>40</v>
      </c>
      <c r="B342" s="4" t="s">
        <v>363</v>
      </c>
      <c r="C342" s="47" t="n">
        <v>15627.06</v>
      </c>
      <c r="D342" s="48" t="n">
        <v>1451.21</v>
      </c>
      <c r="E342" s="49" t="n">
        <f aca="false">D342-cover</f>
        <v>1450.01</v>
      </c>
      <c r="F342" s="50" t="n">
        <f aca="false">'Z4 WTP-Ikana'!S18-'Z4 WTP-Ikana'!P18*C342/'Z4 WTP-Ikana'!G18</f>
        <v>1675.29069300414</v>
      </c>
      <c r="G342" s="51" t="n">
        <f aca="false">'Z4 WTP-Ikana'!$B$8-E342</f>
        <v>217.99</v>
      </c>
      <c r="H342" s="52" t="n">
        <f aca="false">F342-E342</f>
        <v>225.280693004144</v>
      </c>
      <c r="I342" s="52" t="n">
        <f aca="false">MAX(H342,G342)</f>
        <v>225.280693004144</v>
      </c>
      <c r="J342" s="4" t="str">
        <f aca="false">IFERROR("PN"&amp;SMALL(PN_list,COUNTIF(PN_list,"&lt;"&amp;I342*bar_per_m)+1),"&gt; max PN")</f>
        <v>PN25</v>
      </c>
      <c r="K342" s="4" t="str">
        <f aca="false">IF(L342="no","end at tank",IF(H342&lt;0,"NEGATIVE",IF(H342&lt;p_min-0.005,"low","OK")))</f>
        <v>OK</v>
      </c>
      <c r="L342" s="4" t="s">
        <v>414</v>
      </c>
    </row>
    <row r="343" customFormat="false" ht="15" hidden="false" customHeight="false" outlineLevel="0" collapsed="false">
      <c r="A343" s="4" t="s">
        <v>40</v>
      </c>
      <c r="B343" s="4" t="s">
        <v>363</v>
      </c>
      <c r="C343" s="47" t="n">
        <v>15677.07</v>
      </c>
      <c r="D343" s="48" t="n">
        <v>1451.67</v>
      </c>
      <c r="E343" s="49" t="n">
        <f aca="false">D343-cover</f>
        <v>1450.47</v>
      </c>
      <c r="F343" s="50" t="n">
        <f aca="false">'Z4 WTP-Ikana'!S18-'Z4 WTP-Ikana'!P18*C343/'Z4 WTP-Ikana'!G18</f>
        <v>1675.21279417013</v>
      </c>
      <c r="G343" s="51" t="n">
        <f aca="false">'Z4 WTP-Ikana'!$B$8-E343</f>
        <v>217.53</v>
      </c>
      <c r="H343" s="52" t="n">
        <f aca="false">F343-E343</f>
        <v>224.742794170125</v>
      </c>
      <c r="I343" s="52" t="n">
        <f aca="false">MAX(H343,G343)</f>
        <v>224.742794170125</v>
      </c>
      <c r="J343" s="4" t="str">
        <f aca="false">IFERROR("PN"&amp;SMALL(PN_list,COUNTIF(PN_list,"&lt;"&amp;I343*bar_per_m)+1),"&gt; max PN")</f>
        <v>PN25</v>
      </c>
      <c r="K343" s="4" t="str">
        <f aca="false">IF(L343="no","end at tank",IF(H343&lt;0,"NEGATIVE",IF(H343&lt;p_min-0.005,"low","OK")))</f>
        <v>OK</v>
      </c>
      <c r="L343" s="4" t="s">
        <v>414</v>
      </c>
    </row>
    <row r="344" customFormat="false" ht="15" hidden="false" customHeight="false" outlineLevel="0" collapsed="false">
      <c r="A344" s="4" t="s">
        <v>40</v>
      </c>
      <c r="B344" s="4" t="s">
        <v>363</v>
      </c>
      <c r="C344" s="47" t="n">
        <v>15727.07</v>
      </c>
      <c r="D344" s="48" t="n">
        <v>1451.54</v>
      </c>
      <c r="E344" s="49" t="n">
        <f aca="false">D344-cover</f>
        <v>1450.34</v>
      </c>
      <c r="F344" s="50" t="n">
        <f aca="false">'Z4 WTP-Ikana'!S18-'Z4 WTP-Ikana'!P18*C344/'Z4 WTP-Ikana'!G18</f>
        <v>1675.13491091276</v>
      </c>
      <c r="G344" s="51" t="n">
        <f aca="false">'Z4 WTP-Ikana'!$B$8-E344</f>
        <v>217.66</v>
      </c>
      <c r="H344" s="52" t="n">
        <f aca="false">F344-E344</f>
        <v>224.794910912758</v>
      </c>
      <c r="I344" s="52" t="n">
        <f aca="false">MAX(H344,G344)</f>
        <v>224.794910912758</v>
      </c>
      <c r="J344" s="4" t="str">
        <f aca="false">IFERROR("PN"&amp;SMALL(PN_list,COUNTIF(PN_list,"&lt;"&amp;I344*bar_per_m)+1),"&gt; max PN")</f>
        <v>PN25</v>
      </c>
      <c r="K344" s="4" t="str">
        <f aca="false">IF(L344="no","end at tank",IF(H344&lt;0,"NEGATIVE",IF(H344&lt;p_min-0.005,"low","OK")))</f>
        <v>OK</v>
      </c>
      <c r="L344" s="4" t="s">
        <v>414</v>
      </c>
    </row>
    <row r="345" customFormat="false" ht="15" hidden="false" customHeight="false" outlineLevel="0" collapsed="false">
      <c r="A345" s="4" t="s">
        <v>40</v>
      </c>
      <c r="B345" s="4" t="s">
        <v>363</v>
      </c>
      <c r="C345" s="47" t="n">
        <v>15777.07</v>
      </c>
      <c r="D345" s="48" t="n">
        <v>1451.99</v>
      </c>
      <c r="E345" s="49" t="n">
        <f aca="false">D345-cover</f>
        <v>1450.79</v>
      </c>
      <c r="F345" s="50" t="n">
        <f aca="false">'Z4 WTP-Ikana'!S18-'Z4 WTP-Ikana'!P18*C345/'Z4 WTP-Ikana'!G18</f>
        <v>1675.05702765539</v>
      </c>
      <c r="G345" s="51" t="n">
        <f aca="false">'Z4 WTP-Ikana'!$B$8-E345</f>
        <v>217.21</v>
      </c>
      <c r="H345" s="52" t="n">
        <f aca="false">F345-E345</f>
        <v>224.267027655391</v>
      </c>
      <c r="I345" s="52" t="n">
        <f aca="false">MAX(H345,G345)</f>
        <v>224.267027655391</v>
      </c>
      <c r="J345" s="4" t="str">
        <f aca="false">IFERROR("PN"&amp;SMALL(PN_list,COUNTIF(PN_list,"&lt;"&amp;I345*bar_per_m)+1),"&gt; max PN")</f>
        <v>PN25</v>
      </c>
      <c r="K345" s="4" t="str">
        <f aca="false">IF(L345="no","end at tank",IF(H345&lt;0,"NEGATIVE",IF(H345&lt;p_min-0.005,"low","OK")))</f>
        <v>OK</v>
      </c>
      <c r="L345" s="4" t="s">
        <v>414</v>
      </c>
    </row>
    <row r="346" customFormat="false" ht="15" hidden="false" customHeight="false" outlineLevel="0" collapsed="false">
      <c r="A346" s="4" t="s">
        <v>40</v>
      </c>
      <c r="B346" s="4" t="s">
        <v>363</v>
      </c>
      <c r="C346" s="47" t="n">
        <v>15827.07</v>
      </c>
      <c r="D346" s="48" t="n">
        <v>1452.02</v>
      </c>
      <c r="E346" s="49" t="n">
        <f aca="false">D346-cover</f>
        <v>1450.82</v>
      </c>
      <c r="F346" s="50" t="n">
        <f aca="false">'Z4 WTP-Ikana'!S18-'Z4 WTP-Ikana'!P18*C346/'Z4 WTP-Ikana'!G18</f>
        <v>1674.97914439802</v>
      </c>
      <c r="G346" s="51" t="n">
        <f aca="false">'Z4 WTP-Ikana'!$B$8-E346</f>
        <v>217.18</v>
      </c>
      <c r="H346" s="52" t="n">
        <f aca="false">F346-E346</f>
        <v>224.159144398024</v>
      </c>
      <c r="I346" s="52" t="n">
        <f aca="false">MAX(H346,G346)</f>
        <v>224.159144398024</v>
      </c>
      <c r="J346" s="4" t="str">
        <f aca="false">IFERROR("PN"&amp;SMALL(PN_list,COUNTIF(PN_list,"&lt;"&amp;I346*bar_per_m)+1),"&gt; max PN")</f>
        <v>PN25</v>
      </c>
      <c r="K346" s="4" t="str">
        <f aca="false">IF(L346="no","end at tank",IF(H346&lt;0,"NEGATIVE",IF(H346&lt;p_min-0.005,"low","OK")))</f>
        <v>OK</v>
      </c>
      <c r="L346" s="4" t="s">
        <v>414</v>
      </c>
    </row>
    <row r="347" customFormat="false" ht="15" hidden="false" customHeight="false" outlineLevel="0" collapsed="false">
      <c r="A347" s="4" t="s">
        <v>40</v>
      </c>
      <c r="B347" s="4" t="s">
        <v>363</v>
      </c>
      <c r="C347" s="47" t="n">
        <v>15877.07</v>
      </c>
      <c r="D347" s="48" t="n">
        <v>1452.07</v>
      </c>
      <c r="E347" s="49" t="n">
        <f aca="false">D347-cover</f>
        <v>1450.87</v>
      </c>
      <c r="F347" s="50" t="n">
        <f aca="false">'Z4 WTP-Ikana'!S18-'Z4 WTP-Ikana'!P18*C347/'Z4 WTP-Ikana'!G18</f>
        <v>1674.90126114066</v>
      </c>
      <c r="G347" s="51" t="n">
        <f aca="false">'Z4 WTP-Ikana'!$B$8-E347</f>
        <v>217.13</v>
      </c>
      <c r="H347" s="52" t="n">
        <f aca="false">F347-E347</f>
        <v>224.031261140657</v>
      </c>
      <c r="I347" s="52" t="n">
        <f aca="false">MAX(H347,G347)</f>
        <v>224.031261140657</v>
      </c>
      <c r="J347" s="4" t="str">
        <f aca="false">IFERROR("PN"&amp;SMALL(PN_list,COUNTIF(PN_list,"&lt;"&amp;I347*bar_per_m)+1),"&gt; max PN")</f>
        <v>PN25</v>
      </c>
      <c r="K347" s="4" t="str">
        <f aca="false">IF(L347="no","end at tank",IF(H347&lt;0,"NEGATIVE",IF(H347&lt;p_min-0.005,"low","OK")))</f>
        <v>OK</v>
      </c>
      <c r="L347" s="4" t="s">
        <v>414</v>
      </c>
    </row>
    <row r="348" customFormat="false" ht="15" hidden="false" customHeight="false" outlineLevel="0" collapsed="false">
      <c r="A348" s="4" t="s">
        <v>40</v>
      </c>
      <c r="B348" s="4" t="s">
        <v>363</v>
      </c>
      <c r="C348" s="47" t="n">
        <v>15927.07</v>
      </c>
      <c r="D348" s="48" t="n">
        <v>1452.49</v>
      </c>
      <c r="E348" s="49" t="n">
        <f aca="false">D348-cover</f>
        <v>1451.29</v>
      </c>
      <c r="F348" s="50" t="n">
        <f aca="false">'Z4 WTP-Ikana'!S18-'Z4 WTP-Ikana'!P18*C348/'Z4 WTP-Ikana'!G18</f>
        <v>1674.82337788329</v>
      </c>
      <c r="G348" s="51" t="n">
        <f aca="false">'Z4 WTP-Ikana'!$B$8-E348</f>
        <v>216.71</v>
      </c>
      <c r="H348" s="52" t="n">
        <f aca="false">F348-E348</f>
        <v>223.53337788329</v>
      </c>
      <c r="I348" s="52" t="n">
        <f aca="false">MAX(H348,G348)</f>
        <v>223.53337788329</v>
      </c>
      <c r="J348" s="4" t="str">
        <f aca="false">IFERROR("PN"&amp;SMALL(PN_list,COUNTIF(PN_list,"&lt;"&amp;I348*bar_per_m)+1),"&gt; max PN")</f>
        <v>PN25</v>
      </c>
      <c r="K348" s="4" t="str">
        <f aca="false">IF(L348="no","end at tank",IF(H348&lt;0,"NEGATIVE",IF(H348&lt;p_min-0.005,"low","OK")))</f>
        <v>OK</v>
      </c>
      <c r="L348" s="4" t="s">
        <v>414</v>
      </c>
    </row>
    <row r="349" customFormat="false" ht="15" hidden="false" customHeight="false" outlineLevel="0" collapsed="false">
      <c r="A349" s="4" t="s">
        <v>40</v>
      </c>
      <c r="B349" s="4" t="s">
        <v>363</v>
      </c>
      <c r="C349" s="47" t="n">
        <v>15977.07</v>
      </c>
      <c r="D349" s="48" t="n">
        <v>1452.62</v>
      </c>
      <c r="E349" s="49" t="n">
        <f aca="false">D349-cover</f>
        <v>1451.42</v>
      </c>
      <c r="F349" s="50" t="n">
        <f aca="false">'Z4 WTP-Ikana'!S18-'Z4 WTP-Ikana'!P18*C349/'Z4 WTP-Ikana'!G18</f>
        <v>1674.74549462592</v>
      </c>
      <c r="G349" s="51" t="n">
        <f aca="false">'Z4 WTP-Ikana'!$B$8-E349</f>
        <v>216.58</v>
      </c>
      <c r="H349" s="52" t="n">
        <f aca="false">F349-E349</f>
        <v>223.325494625923</v>
      </c>
      <c r="I349" s="52" t="n">
        <f aca="false">MAX(H349,G349)</f>
        <v>223.325494625923</v>
      </c>
      <c r="J349" s="4" t="str">
        <f aca="false">IFERROR("PN"&amp;SMALL(PN_list,COUNTIF(PN_list,"&lt;"&amp;I349*bar_per_m)+1),"&gt; max PN")</f>
        <v>PN25</v>
      </c>
      <c r="K349" s="4" t="str">
        <f aca="false">IF(L349="no","end at tank",IF(H349&lt;0,"NEGATIVE",IF(H349&lt;p_min-0.005,"low","OK")))</f>
        <v>OK</v>
      </c>
      <c r="L349" s="4" t="s">
        <v>414</v>
      </c>
    </row>
    <row r="350" customFormat="false" ht="15" hidden="false" customHeight="false" outlineLevel="0" collapsed="false">
      <c r="A350" s="4" t="s">
        <v>40</v>
      </c>
      <c r="B350" s="4" t="s">
        <v>363</v>
      </c>
      <c r="C350" s="47" t="n">
        <v>16027.07</v>
      </c>
      <c r="D350" s="48" t="n">
        <v>1452.73</v>
      </c>
      <c r="E350" s="49" t="n">
        <f aca="false">D350-cover</f>
        <v>1451.53</v>
      </c>
      <c r="F350" s="50" t="n">
        <f aca="false">'Z4 WTP-Ikana'!S18-'Z4 WTP-Ikana'!P18*C350/'Z4 WTP-Ikana'!G18</f>
        <v>1674.66761136856</v>
      </c>
      <c r="G350" s="51" t="n">
        <f aca="false">'Z4 WTP-Ikana'!$B$8-E350</f>
        <v>216.47</v>
      </c>
      <c r="H350" s="52" t="n">
        <f aca="false">F350-E350</f>
        <v>223.137611368556</v>
      </c>
      <c r="I350" s="52" t="n">
        <f aca="false">MAX(H350,G350)</f>
        <v>223.137611368556</v>
      </c>
      <c r="J350" s="4" t="str">
        <f aca="false">IFERROR("PN"&amp;SMALL(PN_list,COUNTIF(PN_list,"&lt;"&amp;I350*bar_per_m)+1),"&gt; max PN")</f>
        <v>PN25</v>
      </c>
      <c r="K350" s="4" t="str">
        <f aca="false">IF(L350="no","end at tank",IF(H350&lt;0,"NEGATIVE",IF(H350&lt;p_min-0.005,"low","OK")))</f>
        <v>OK</v>
      </c>
      <c r="L350" s="4" t="s">
        <v>414</v>
      </c>
    </row>
    <row r="351" customFormat="false" ht="15" hidden="false" customHeight="false" outlineLevel="0" collapsed="false">
      <c r="A351" s="4" t="s">
        <v>40</v>
      </c>
      <c r="B351" s="4" t="s">
        <v>363</v>
      </c>
      <c r="C351" s="47" t="n">
        <v>16077.07</v>
      </c>
      <c r="D351" s="48" t="n">
        <v>1452.97</v>
      </c>
      <c r="E351" s="49" t="n">
        <f aca="false">D351-cover</f>
        <v>1451.77</v>
      </c>
      <c r="F351" s="50" t="n">
        <f aca="false">'Z4 WTP-Ikana'!S18-'Z4 WTP-Ikana'!P18*C351/'Z4 WTP-Ikana'!G18</f>
        <v>1674.58972811119</v>
      </c>
      <c r="G351" s="51" t="n">
        <f aca="false">'Z4 WTP-Ikana'!$B$8-E351</f>
        <v>216.23</v>
      </c>
      <c r="H351" s="52" t="n">
        <f aca="false">F351-E351</f>
        <v>222.819728111189</v>
      </c>
      <c r="I351" s="52" t="n">
        <f aca="false">MAX(H351,G351)</f>
        <v>222.819728111189</v>
      </c>
      <c r="J351" s="4" t="str">
        <f aca="false">IFERROR("PN"&amp;SMALL(PN_list,COUNTIF(PN_list,"&lt;"&amp;I351*bar_per_m)+1),"&gt; max PN")</f>
        <v>PN25</v>
      </c>
      <c r="K351" s="4" t="str">
        <f aca="false">IF(L351="no","end at tank",IF(H351&lt;0,"NEGATIVE",IF(H351&lt;p_min-0.005,"low","OK")))</f>
        <v>OK</v>
      </c>
      <c r="L351" s="4" t="s">
        <v>414</v>
      </c>
    </row>
    <row r="352" customFormat="false" ht="15" hidden="false" customHeight="false" outlineLevel="0" collapsed="false">
      <c r="A352" s="4" t="s">
        <v>40</v>
      </c>
      <c r="B352" s="4" t="s">
        <v>363</v>
      </c>
      <c r="C352" s="47" t="n">
        <v>16127.07</v>
      </c>
      <c r="D352" s="48" t="n">
        <v>1452.83</v>
      </c>
      <c r="E352" s="49" t="n">
        <f aca="false">D352-cover</f>
        <v>1451.63</v>
      </c>
      <c r="F352" s="50" t="n">
        <f aca="false">'Z4 WTP-Ikana'!S18-'Z4 WTP-Ikana'!P18*C352/'Z4 WTP-Ikana'!G18</f>
        <v>1674.51184485382</v>
      </c>
      <c r="G352" s="51" t="n">
        <f aca="false">'Z4 WTP-Ikana'!$B$8-E352</f>
        <v>216.37</v>
      </c>
      <c r="H352" s="52" t="n">
        <f aca="false">F352-E352</f>
        <v>222.881844853822</v>
      </c>
      <c r="I352" s="52" t="n">
        <f aca="false">MAX(H352,G352)</f>
        <v>222.881844853822</v>
      </c>
      <c r="J352" s="4" t="str">
        <f aca="false">IFERROR("PN"&amp;SMALL(PN_list,COUNTIF(PN_list,"&lt;"&amp;I352*bar_per_m)+1),"&gt; max PN")</f>
        <v>PN25</v>
      </c>
      <c r="K352" s="4" t="str">
        <f aca="false">IF(L352="no","end at tank",IF(H352&lt;0,"NEGATIVE",IF(H352&lt;p_min-0.005,"low","OK")))</f>
        <v>OK</v>
      </c>
      <c r="L352" s="4" t="s">
        <v>414</v>
      </c>
    </row>
    <row r="353" customFormat="false" ht="15" hidden="false" customHeight="false" outlineLevel="0" collapsed="false">
      <c r="A353" s="4" t="s">
        <v>40</v>
      </c>
      <c r="B353" s="4" t="s">
        <v>363</v>
      </c>
      <c r="C353" s="47" t="n">
        <v>16177.07</v>
      </c>
      <c r="D353" s="48" t="n">
        <v>1452.9</v>
      </c>
      <c r="E353" s="49" t="n">
        <f aca="false">D353-cover</f>
        <v>1451.7</v>
      </c>
      <c r="F353" s="50" t="n">
        <f aca="false">'Z4 WTP-Ikana'!S18-'Z4 WTP-Ikana'!P18*C353/'Z4 WTP-Ikana'!G18</f>
        <v>1674.43396159645</v>
      </c>
      <c r="G353" s="51" t="n">
        <f aca="false">'Z4 WTP-Ikana'!$B$8-E353</f>
        <v>216.3</v>
      </c>
      <c r="H353" s="52" t="n">
        <f aca="false">F353-E353</f>
        <v>222.733961596455</v>
      </c>
      <c r="I353" s="52" t="n">
        <f aca="false">MAX(H353,G353)</f>
        <v>222.733961596455</v>
      </c>
      <c r="J353" s="4" t="str">
        <f aca="false">IFERROR("PN"&amp;SMALL(PN_list,COUNTIF(PN_list,"&lt;"&amp;I353*bar_per_m)+1),"&gt; max PN")</f>
        <v>PN25</v>
      </c>
      <c r="K353" s="4" t="str">
        <f aca="false">IF(L353="no","end at tank",IF(H353&lt;0,"NEGATIVE",IF(H353&lt;p_min-0.005,"low","OK")))</f>
        <v>OK</v>
      </c>
      <c r="L353" s="4" t="s">
        <v>414</v>
      </c>
    </row>
    <row r="354" customFormat="false" ht="15" hidden="false" customHeight="false" outlineLevel="0" collapsed="false">
      <c r="A354" s="4" t="s">
        <v>40</v>
      </c>
      <c r="B354" s="4" t="s">
        <v>363</v>
      </c>
      <c r="C354" s="47" t="n">
        <v>16227.07</v>
      </c>
      <c r="D354" s="48" t="n">
        <v>1452.95</v>
      </c>
      <c r="E354" s="49" t="n">
        <f aca="false">D354-cover</f>
        <v>1451.75</v>
      </c>
      <c r="F354" s="50" t="n">
        <f aca="false">'Z4 WTP-Ikana'!S18-'Z4 WTP-Ikana'!P18*C354/'Z4 WTP-Ikana'!G18</f>
        <v>1674.35607833909</v>
      </c>
      <c r="G354" s="51" t="n">
        <f aca="false">'Z4 WTP-Ikana'!$B$8-E354</f>
        <v>216.25</v>
      </c>
      <c r="H354" s="52" t="n">
        <f aca="false">F354-E354</f>
        <v>222.606078339088</v>
      </c>
      <c r="I354" s="52" t="n">
        <f aca="false">MAX(H354,G354)</f>
        <v>222.606078339088</v>
      </c>
      <c r="J354" s="4" t="str">
        <f aca="false">IFERROR("PN"&amp;SMALL(PN_list,COUNTIF(PN_list,"&lt;"&amp;I354*bar_per_m)+1),"&gt; max PN")</f>
        <v>PN25</v>
      </c>
      <c r="K354" s="4" t="str">
        <f aca="false">IF(L354="no","end at tank",IF(H354&lt;0,"NEGATIVE",IF(H354&lt;p_min-0.005,"low","OK")))</f>
        <v>OK</v>
      </c>
      <c r="L354" s="4" t="s">
        <v>414</v>
      </c>
    </row>
    <row r="355" customFormat="false" ht="15" hidden="false" customHeight="false" outlineLevel="0" collapsed="false">
      <c r="A355" s="4" t="s">
        <v>40</v>
      </c>
      <c r="B355" s="4" t="s">
        <v>363</v>
      </c>
      <c r="C355" s="47" t="n">
        <v>16277.07</v>
      </c>
      <c r="D355" s="48" t="n">
        <v>1452.9</v>
      </c>
      <c r="E355" s="49" t="n">
        <f aca="false">D355-cover</f>
        <v>1451.7</v>
      </c>
      <c r="F355" s="50" t="n">
        <f aca="false">'Z4 WTP-Ikana'!S18-'Z4 WTP-Ikana'!P18*C355/'Z4 WTP-Ikana'!G18</f>
        <v>1674.27819508172</v>
      </c>
      <c r="G355" s="51" t="n">
        <f aca="false">'Z4 WTP-Ikana'!$B$8-E355</f>
        <v>216.3</v>
      </c>
      <c r="H355" s="52" t="n">
        <f aca="false">F355-E355</f>
        <v>222.57819508172</v>
      </c>
      <c r="I355" s="52" t="n">
        <f aca="false">MAX(H355,G355)</f>
        <v>222.57819508172</v>
      </c>
      <c r="J355" s="4" t="str">
        <f aca="false">IFERROR("PN"&amp;SMALL(PN_list,COUNTIF(PN_list,"&lt;"&amp;I355*bar_per_m)+1),"&gt; max PN")</f>
        <v>PN25</v>
      </c>
      <c r="K355" s="4" t="str">
        <f aca="false">IF(L355="no","end at tank",IF(H355&lt;0,"NEGATIVE",IF(H355&lt;p_min-0.005,"low","OK")))</f>
        <v>OK</v>
      </c>
      <c r="L355" s="4" t="s">
        <v>414</v>
      </c>
    </row>
    <row r="356" customFormat="false" ht="15" hidden="false" customHeight="false" outlineLevel="0" collapsed="false">
      <c r="A356" s="4" t="s">
        <v>40</v>
      </c>
      <c r="B356" s="4" t="s">
        <v>363</v>
      </c>
      <c r="C356" s="47" t="n">
        <v>16327.07</v>
      </c>
      <c r="D356" s="48" t="n">
        <v>1452.31</v>
      </c>
      <c r="E356" s="49" t="n">
        <f aca="false">D356-cover</f>
        <v>1451.11</v>
      </c>
      <c r="F356" s="50" t="n">
        <f aca="false">'Z4 WTP-Ikana'!S18-'Z4 WTP-Ikana'!P18*C356/'Z4 WTP-Ikana'!G18</f>
        <v>1674.20031182435</v>
      </c>
      <c r="G356" s="51" t="n">
        <f aca="false">'Z4 WTP-Ikana'!$B$8-E356</f>
        <v>216.89</v>
      </c>
      <c r="H356" s="52" t="n">
        <f aca="false">F356-E356</f>
        <v>223.090311824354</v>
      </c>
      <c r="I356" s="52" t="n">
        <f aca="false">MAX(H356,G356)</f>
        <v>223.090311824354</v>
      </c>
      <c r="J356" s="4" t="str">
        <f aca="false">IFERROR("PN"&amp;SMALL(PN_list,COUNTIF(PN_list,"&lt;"&amp;I356*bar_per_m)+1),"&gt; max PN")</f>
        <v>PN25</v>
      </c>
      <c r="K356" s="4" t="str">
        <f aca="false">IF(L356="no","end at tank",IF(H356&lt;0,"NEGATIVE",IF(H356&lt;p_min-0.005,"low","OK")))</f>
        <v>OK</v>
      </c>
      <c r="L356" s="4" t="s">
        <v>414</v>
      </c>
    </row>
    <row r="357" customFormat="false" ht="15" hidden="false" customHeight="false" outlineLevel="0" collapsed="false">
      <c r="A357" s="4" t="s">
        <v>40</v>
      </c>
      <c r="B357" s="4" t="s">
        <v>363</v>
      </c>
      <c r="C357" s="47" t="n">
        <v>16377.07</v>
      </c>
      <c r="D357" s="48" t="n">
        <v>1452.3</v>
      </c>
      <c r="E357" s="49" t="n">
        <f aca="false">D357-cover</f>
        <v>1451.1</v>
      </c>
      <c r="F357" s="50" t="n">
        <f aca="false">'Z4 WTP-Ikana'!S18-'Z4 WTP-Ikana'!P18*C357/'Z4 WTP-Ikana'!G18</f>
        <v>1674.12242856699</v>
      </c>
      <c r="G357" s="51" t="n">
        <f aca="false">'Z4 WTP-Ikana'!$B$8-E357</f>
        <v>216.9</v>
      </c>
      <c r="H357" s="52" t="n">
        <f aca="false">F357-E357</f>
        <v>223.022428566987</v>
      </c>
      <c r="I357" s="52" t="n">
        <f aca="false">MAX(H357,G357)</f>
        <v>223.022428566987</v>
      </c>
      <c r="J357" s="4" t="str">
        <f aca="false">IFERROR("PN"&amp;SMALL(PN_list,COUNTIF(PN_list,"&lt;"&amp;I357*bar_per_m)+1),"&gt; max PN")</f>
        <v>PN25</v>
      </c>
      <c r="K357" s="4" t="str">
        <f aca="false">IF(L357="no","end at tank",IF(H357&lt;0,"NEGATIVE",IF(H357&lt;p_min-0.005,"low","OK")))</f>
        <v>OK</v>
      </c>
      <c r="L357" s="4" t="s">
        <v>414</v>
      </c>
    </row>
    <row r="358" customFormat="false" ht="15" hidden="false" customHeight="false" outlineLevel="0" collapsed="false">
      <c r="A358" s="4" t="s">
        <v>40</v>
      </c>
      <c r="B358" s="4" t="s">
        <v>363</v>
      </c>
      <c r="C358" s="47" t="n">
        <v>16427.08</v>
      </c>
      <c r="D358" s="48" t="n">
        <v>1451.49</v>
      </c>
      <c r="E358" s="49" t="n">
        <f aca="false">D358-cover</f>
        <v>1450.29</v>
      </c>
      <c r="F358" s="50" t="n">
        <f aca="false">'Z4 WTP-Ikana'!S18-'Z4 WTP-Ikana'!P18*C358/'Z4 WTP-Ikana'!G18</f>
        <v>1674.04452973297</v>
      </c>
      <c r="G358" s="51" t="n">
        <f aca="false">'Z4 WTP-Ikana'!$B$8-E358</f>
        <v>217.71</v>
      </c>
      <c r="H358" s="52" t="n">
        <f aca="false">F358-E358</f>
        <v>223.754529732968</v>
      </c>
      <c r="I358" s="52" t="n">
        <f aca="false">MAX(H358,G358)</f>
        <v>223.754529732968</v>
      </c>
      <c r="J358" s="4" t="str">
        <f aca="false">IFERROR("PN"&amp;SMALL(PN_list,COUNTIF(PN_list,"&lt;"&amp;I358*bar_per_m)+1),"&gt; max PN")</f>
        <v>PN25</v>
      </c>
      <c r="K358" s="4" t="str">
        <f aca="false">IF(L358="no","end at tank",IF(H358&lt;0,"NEGATIVE",IF(H358&lt;p_min-0.005,"low","OK")))</f>
        <v>OK</v>
      </c>
      <c r="L358" s="4" t="s">
        <v>414</v>
      </c>
    </row>
    <row r="359" customFormat="false" ht="15" hidden="false" customHeight="false" outlineLevel="0" collapsed="false">
      <c r="A359" s="4" t="s">
        <v>40</v>
      </c>
      <c r="B359" s="4" t="s">
        <v>363</v>
      </c>
      <c r="C359" s="47" t="n">
        <v>16477.08</v>
      </c>
      <c r="D359" s="48" t="n">
        <v>1451.2</v>
      </c>
      <c r="E359" s="49" t="n">
        <f aca="false">D359-cover</f>
        <v>1450</v>
      </c>
      <c r="F359" s="50" t="n">
        <f aca="false">'Z4 WTP-Ikana'!S18-'Z4 WTP-Ikana'!P18*C359/'Z4 WTP-Ikana'!G18</f>
        <v>1673.9666464756</v>
      </c>
      <c r="G359" s="51" t="n">
        <f aca="false">'Z4 WTP-Ikana'!$B$8-E359</f>
        <v>218</v>
      </c>
      <c r="H359" s="52" t="n">
        <f aca="false">F359-E359</f>
        <v>223.966646475601</v>
      </c>
      <c r="I359" s="52" t="n">
        <f aca="false">MAX(H359,G359)</f>
        <v>223.966646475601</v>
      </c>
      <c r="J359" s="4" t="str">
        <f aca="false">IFERROR("PN"&amp;SMALL(PN_list,COUNTIF(PN_list,"&lt;"&amp;I359*bar_per_m)+1),"&gt; max PN")</f>
        <v>PN25</v>
      </c>
      <c r="K359" s="4" t="str">
        <f aca="false">IF(L359="no","end at tank",IF(H359&lt;0,"NEGATIVE",IF(H359&lt;p_min-0.005,"low","OK")))</f>
        <v>OK</v>
      </c>
      <c r="L359" s="4" t="s">
        <v>414</v>
      </c>
    </row>
    <row r="360" customFormat="false" ht="15" hidden="false" customHeight="false" outlineLevel="0" collapsed="false">
      <c r="A360" s="4" t="s">
        <v>40</v>
      </c>
      <c r="B360" s="4" t="s">
        <v>363</v>
      </c>
      <c r="C360" s="47" t="n">
        <v>16527.08</v>
      </c>
      <c r="D360" s="48" t="n">
        <v>1450.8</v>
      </c>
      <c r="E360" s="49" t="n">
        <f aca="false">D360-cover</f>
        <v>1449.6</v>
      </c>
      <c r="F360" s="50" t="n">
        <f aca="false">'Z4 WTP-Ikana'!S18-'Z4 WTP-Ikana'!P18*C360/'Z4 WTP-Ikana'!G18</f>
        <v>1673.88876321823</v>
      </c>
      <c r="G360" s="51" t="n">
        <f aca="false">'Z4 WTP-Ikana'!$B$8-E360</f>
        <v>218.4</v>
      </c>
      <c r="H360" s="52" t="n">
        <f aca="false">F360-E360</f>
        <v>224.288763218234</v>
      </c>
      <c r="I360" s="52" t="n">
        <f aca="false">MAX(H360,G360)</f>
        <v>224.288763218234</v>
      </c>
      <c r="J360" s="4" t="str">
        <f aca="false">IFERROR("PN"&amp;SMALL(PN_list,COUNTIF(PN_list,"&lt;"&amp;I360*bar_per_m)+1),"&gt; max PN")</f>
        <v>PN25</v>
      </c>
      <c r="K360" s="4" t="str">
        <f aca="false">IF(L360="no","end at tank",IF(H360&lt;0,"NEGATIVE",IF(H360&lt;p_min-0.005,"low","OK")))</f>
        <v>OK</v>
      </c>
      <c r="L360" s="4" t="s">
        <v>414</v>
      </c>
    </row>
    <row r="361" customFormat="false" ht="15" hidden="false" customHeight="false" outlineLevel="0" collapsed="false">
      <c r="A361" s="4" t="s">
        <v>40</v>
      </c>
      <c r="B361" s="4" t="s">
        <v>363</v>
      </c>
      <c r="C361" s="47" t="n">
        <v>16577.08</v>
      </c>
      <c r="D361" s="48" t="n">
        <v>1450.74</v>
      </c>
      <c r="E361" s="49" t="n">
        <f aca="false">D361-cover</f>
        <v>1449.54</v>
      </c>
      <c r="F361" s="50" t="n">
        <f aca="false">'Z4 WTP-Ikana'!S18-'Z4 WTP-Ikana'!P18*C361/'Z4 WTP-Ikana'!G18</f>
        <v>1673.81087996087</v>
      </c>
      <c r="G361" s="51" t="n">
        <f aca="false">'Z4 WTP-Ikana'!$B$8-E361</f>
        <v>218.46</v>
      </c>
      <c r="H361" s="52" t="n">
        <f aca="false">F361-E361</f>
        <v>224.270879960867</v>
      </c>
      <c r="I361" s="52" t="n">
        <f aca="false">MAX(H361,G361)</f>
        <v>224.270879960867</v>
      </c>
      <c r="J361" s="4" t="str">
        <f aca="false">IFERROR("PN"&amp;SMALL(PN_list,COUNTIF(PN_list,"&lt;"&amp;I361*bar_per_m)+1),"&gt; max PN")</f>
        <v>PN25</v>
      </c>
      <c r="K361" s="4" t="str">
        <f aca="false">IF(L361="no","end at tank",IF(H361&lt;0,"NEGATIVE",IF(H361&lt;p_min-0.005,"low","OK")))</f>
        <v>OK</v>
      </c>
      <c r="L361" s="4" t="s">
        <v>414</v>
      </c>
    </row>
    <row r="362" customFormat="false" ht="15" hidden="false" customHeight="false" outlineLevel="0" collapsed="false">
      <c r="A362" s="4" t="s">
        <v>40</v>
      </c>
      <c r="B362" s="4" t="s">
        <v>363</v>
      </c>
      <c r="C362" s="47" t="n">
        <v>16627.09</v>
      </c>
      <c r="D362" s="48" t="n">
        <v>1450.28</v>
      </c>
      <c r="E362" s="49" t="n">
        <f aca="false">D362-cover</f>
        <v>1449.08</v>
      </c>
      <c r="F362" s="50" t="n">
        <f aca="false">'Z4 WTP-Ikana'!S18-'Z4 WTP-Ikana'!P18*C362/'Z4 WTP-Ikana'!G18</f>
        <v>1673.73298112685</v>
      </c>
      <c r="G362" s="51" t="n">
        <f aca="false">'Z4 WTP-Ikana'!$B$8-E362</f>
        <v>218.92</v>
      </c>
      <c r="H362" s="52" t="n">
        <f aca="false">F362-E362</f>
        <v>224.652981126848</v>
      </c>
      <c r="I362" s="52" t="n">
        <f aca="false">MAX(H362,G362)</f>
        <v>224.652981126848</v>
      </c>
      <c r="J362" s="4" t="str">
        <f aca="false">IFERROR("PN"&amp;SMALL(PN_list,COUNTIF(PN_list,"&lt;"&amp;I362*bar_per_m)+1),"&gt; max PN")</f>
        <v>PN25</v>
      </c>
      <c r="K362" s="4" t="str">
        <f aca="false">IF(L362="no","end at tank",IF(H362&lt;0,"NEGATIVE",IF(H362&lt;p_min-0.005,"low","OK")))</f>
        <v>OK</v>
      </c>
      <c r="L362" s="4" t="s">
        <v>414</v>
      </c>
    </row>
    <row r="363" customFormat="false" ht="15" hidden="false" customHeight="false" outlineLevel="0" collapsed="false">
      <c r="A363" s="4" t="s">
        <v>40</v>
      </c>
      <c r="B363" s="4" t="s">
        <v>363</v>
      </c>
      <c r="C363" s="47" t="n">
        <v>16677.09</v>
      </c>
      <c r="D363" s="48" t="n">
        <v>1450.92</v>
      </c>
      <c r="E363" s="49" t="n">
        <f aca="false">D363-cover</f>
        <v>1449.72</v>
      </c>
      <c r="F363" s="50" t="n">
        <f aca="false">'Z4 WTP-Ikana'!S18-'Z4 WTP-Ikana'!P18*C363/'Z4 WTP-Ikana'!G18</f>
        <v>1673.65509786948</v>
      </c>
      <c r="G363" s="51" t="n">
        <f aca="false">'Z4 WTP-Ikana'!$B$8-E363</f>
        <v>218.28</v>
      </c>
      <c r="H363" s="52" t="n">
        <f aca="false">F363-E363</f>
        <v>223.935097869481</v>
      </c>
      <c r="I363" s="52" t="n">
        <f aca="false">MAX(H363,G363)</f>
        <v>223.935097869481</v>
      </c>
      <c r="J363" s="4" t="str">
        <f aca="false">IFERROR("PN"&amp;SMALL(PN_list,COUNTIF(PN_list,"&lt;"&amp;I363*bar_per_m)+1),"&gt; max PN")</f>
        <v>PN25</v>
      </c>
      <c r="K363" s="4" t="str">
        <f aca="false">IF(L363="no","end at tank",IF(H363&lt;0,"NEGATIVE",IF(H363&lt;p_min-0.005,"low","OK")))</f>
        <v>OK</v>
      </c>
      <c r="L363" s="4" t="s">
        <v>414</v>
      </c>
    </row>
    <row r="364" customFormat="false" ht="15" hidden="false" customHeight="false" outlineLevel="0" collapsed="false">
      <c r="A364" s="4" t="s">
        <v>40</v>
      </c>
      <c r="B364" s="4" t="s">
        <v>363</v>
      </c>
      <c r="C364" s="47" t="n">
        <v>16727.09</v>
      </c>
      <c r="D364" s="48" t="n">
        <v>1451.34</v>
      </c>
      <c r="E364" s="49" t="n">
        <f aca="false">D364-cover</f>
        <v>1450.14</v>
      </c>
      <c r="F364" s="50" t="n">
        <f aca="false">'Z4 WTP-Ikana'!S18-'Z4 WTP-Ikana'!P18*C364/'Z4 WTP-Ikana'!G18</f>
        <v>1673.57721461211</v>
      </c>
      <c r="G364" s="51" t="n">
        <f aca="false">'Z4 WTP-Ikana'!$B$8-E364</f>
        <v>217.86</v>
      </c>
      <c r="H364" s="52" t="n">
        <f aca="false">F364-E364</f>
        <v>223.437214612114</v>
      </c>
      <c r="I364" s="52" t="n">
        <f aca="false">MAX(H364,G364)</f>
        <v>223.437214612114</v>
      </c>
      <c r="J364" s="4" t="str">
        <f aca="false">IFERROR("PN"&amp;SMALL(PN_list,COUNTIF(PN_list,"&lt;"&amp;I364*bar_per_m)+1),"&gt; max PN")</f>
        <v>PN25</v>
      </c>
      <c r="K364" s="4" t="str">
        <f aca="false">IF(L364="no","end at tank",IF(H364&lt;0,"NEGATIVE",IF(H364&lt;p_min-0.005,"low","OK")))</f>
        <v>OK</v>
      </c>
      <c r="L364" s="4" t="s">
        <v>414</v>
      </c>
    </row>
    <row r="365" customFormat="false" ht="15" hidden="false" customHeight="false" outlineLevel="0" collapsed="false">
      <c r="A365" s="4" t="s">
        <v>40</v>
      </c>
      <c r="B365" s="4" t="s">
        <v>363</v>
      </c>
      <c r="C365" s="47" t="n">
        <v>16777.11</v>
      </c>
      <c r="D365" s="48" t="n">
        <v>1452.75</v>
      </c>
      <c r="E365" s="49" t="n">
        <f aca="false">D365-cover</f>
        <v>1451.55</v>
      </c>
      <c r="F365" s="50" t="n">
        <f aca="false">'Z4 WTP-Ikana'!S18-'Z4 WTP-Ikana'!P18*C365/'Z4 WTP-Ikana'!G18</f>
        <v>1673.49930020144</v>
      </c>
      <c r="G365" s="51" t="n">
        <f aca="false">'Z4 WTP-Ikana'!$B$8-E365</f>
        <v>216.45</v>
      </c>
      <c r="H365" s="52" t="n">
        <f aca="false">F365-E365</f>
        <v>221.949300201444</v>
      </c>
      <c r="I365" s="52" t="n">
        <f aca="false">MAX(H365,G365)</f>
        <v>221.949300201444</v>
      </c>
      <c r="J365" s="4" t="str">
        <f aca="false">IFERROR("PN"&amp;SMALL(PN_list,COUNTIF(PN_list,"&lt;"&amp;I365*bar_per_m)+1),"&gt; max PN")</f>
        <v>PN25</v>
      </c>
      <c r="K365" s="4" t="str">
        <f aca="false">IF(L365="no","end at tank",IF(H365&lt;0,"NEGATIVE",IF(H365&lt;p_min-0.005,"low","OK")))</f>
        <v>OK</v>
      </c>
      <c r="L365" s="4" t="s">
        <v>414</v>
      </c>
    </row>
    <row r="366" customFormat="false" ht="15" hidden="false" customHeight="false" outlineLevel="0" collapsed="false">
      <c r="A366" s="4" t="s">
        <v>40</v>
      </c>
      <c r="B366" s="4" t="s">
        <v>363</v>
      </c>
      <c r="C366" s="47" t="n">
        <v>16827.11</v>
      </c>
      <c r="D366" s="48" t="n">
        <v>1452.24</v>
      </c>
      <c r="E366" s="49" t="n">
        <f aca="false">D366-cover</f>
        <v>1451.04</v>
      </c>
      <c r="F366" s="50" t="n">
        <f aca="false">'Z4 WTP-Ikana'!S18-'Z4 WTP-Ikana'!P18*C366/'Z4 WTP-Ikana'!G18</f>
        <v>1673.42141694408</v>
      </c>
      <c r="G366" s="51" t="n">
        <f aca="false">'Z4 WTP-Ikana'!$B$8-E366</f>
        <v>216.96</v>
      </c>
      <c r="H366" s="52" t="n">
        <f aca="false">F366-E366</f>
        <v>222.381416944077</v>
      </c>
      <c r="I366" s="52" t="n">
        <f aca="false">MAX(H366,G366)</f>
        <v>222.381416944077</v>
      </c>
      <c r="J366" s="4" t="str">
        <f aca="false">IFERROR("PN"&amp;SMALL(PN_list,COUNTIF(PN_list,"&lt;"&amp;I366*bar_per_m)+1),"&gt; max PN")</f>
        <v>PN25</v>
      </c>
      <c r="K366" s="4" t="str">
        <f aca="false">IF(L366="no","end at tank",IF(H366&lt;0,"NEGATIVE",IF(H366&lt;p_min-0.005,"low","OK")))</f>
        <v>OK</v>
      </c>
      <c r="L366" s="4" t="s">
        <v>414</v>
      </c>
    </row>
    <row r="367" customFormat="false" ht="15" hidden="false" customHeight="false" outlineLevel="0" collapsed="false">
      <c r="A367" s="4" t="s">
        <v>40</v>
      </c>
      <c r="B367" s="4" t="s">
        <v>363</v>
      </c>
      <c r="C367" s="47" t="n">
        <v>16877.12</v>
      </c>
      <c r="D367" s="48" t="n">
        <v>1453.13</v>
      </c>
      <c r="E367" s="49" t="n">
        <f aca="false">D367-cover</f>
        <v>1451.93</v>
      </c>
      <c r="F367" s="50" t="n">
        <f aca="false">'Z4 WTP-Ikana'!S18-'Z4 WTP-Ikana'!P18*C367/'Z4 WTP-Ikana'!G18</f>
        <v>1673.34351811006</v>
      </c>
      <c r="G367" s="51" t="n">
        <f aca="false">'Z4 WTP-Ikana'!$B$8-E367</f>
        <v>216.07</v>
      </c>
      <c r="H367" s="52" t="n">
        <f aca="false">F367-E367</f>
        <v>221.413518110058</v>
      </c>
      <c r="I367" s="52" t="n">
        <f aca="false">MAX(H367,G367)</f>
        <v>221.413518110058</v>
      </c>
      <c r="J367" s="4" t="str">
        <f aca="false">IFERROR("PN"&amp;SMALL(PN_list,COUNTIF(PN_list,"&lt;"&amp;I367*bar_per_m)+1),"&gt; max PN")</f>
        <v>PN25</v>
      </c>
      <c r="K367" s="4" t="str">
        <f aca="false">IF(L367="no","end at tank",IF(H367&lt;0,"NEGATIVE",IF(H367&lt;p_min-0.005,"low","OK")))</f>
        <v>OK</v>
      </c>
      <c r="L367" s="4" t="s">
        <v>414</v>
      </c>
    </row>
    <row r="368" customFormat="false" ht="15" hidden="false" customHeight="false" outlineLevel="0" collapsed="false">
      <c r="A368" s="4" t="s">
        <v>40</v>
      </c>
      <c r="B368" s="4" t="s">
        <v>363</v>
      </c>
      <c r="C368" s="47" t="n">
        <v>16927.14</v>
      </c>
      <c r="D368" s="48" t="n">
        <v>1454.34</v>
      </c>
      <c r="E368" s="49" t="n">
        <f aca="false">D368-cover</f>
        <v>1453.14</v>
      </c>
      <c r="F368" s="50" t="n">
        <f aca="false">'Z4 WTP-Ikana'!S18-'Z4 WTP-Ikana'!P18*C368/'Z4 WTP-Ikana'!G18</f>
        <v>1673.26560369939</v>
      </c>
      <c r="G368" s="51" t="n">
        <f aca="false">'Z4 WTP-Ikana'!$B$8-E368</f>
        <v>214.86</v>
      </c>
      <c r="H368" s="52" t="n">
        <f aca="false">F368-E368</f>
        <v>220.125603699388</v>
      </c>
      <c r="I368" s="52" t="n">
        <f aca="false">MAX(H368,G368)</f>
        <v>220.125603699388</v>
      </c>
      <c r="J368" s="4" t="str">
        <f aca="false">IFERROR("PN"&amp;SMALL(PN_list,COUNTIF(PN_list,"&lt;"&amp;I368*bar_per_m)+1),"&gt; max PN")</f>
        <v>PN25</v>
      </c>
      <c r="K368" s="4" t="str">
        <f aca="false">IF(L368="no","end at tank",IF(H368&lt;0,"NEGATIVE",IF(H368&lt;p_min-0.005,"low","OK")))</f>
        <v>OK</v>
      </c>
      <c r="L368" s="4" t="s">
        <v>414</v>
      </c>
    </row>
    <row r="369" customFormat="false" ht="15" hidden="false" customHeight="false" outlineLevel="0" collapsed="false">
      <c r="A369" s="4" t="s">
        <v>40</v>
      </c>
      <c r="B369" s="4" t="s">
        <v>363</v>
      </c>
      <c r="C369" s="47" t="n">
        <v>16977.15</v>
      </c>
      <c r="D369" s="48" t="n">
        <v>1455.25</v>
      </c>
      <c r="E369" s="49" t="n">
        <f aca="false">D369-cover</f>
        <v>1454.05</v>
      </c>
      <c r="F369" s="50" t="n">
        <f aca="false">'Z4 WTP-Ikana'!S18-'Z4 WTP-Ikana'!P18*C369/'Z4 WTP-Ikana'!G18</f>
        <v>1673.18770486537</v>
      </c>
      <c r="G369" s="51" t="n">
        <f aca="false">'Z4 WTP-Ikana'!$B$8-E369</f>
        <v>213.95</v>
      </c>
      <c r="H369" s="52" t="n">
        <f aca="false">F369-E369</f>
        <v>219.13770486537</v>
      </c>
      <c r="I369" s="52" t="n">
        <f aca="false">MAX(H369,G369)</f>
        <v>219.13770486537</v>
      </c>
      <c r="J369" s="4" t="str">
        <f aca="false">IFERROR("PN"&amp;SMALL(PN_list,COUNTIF(PN_list,"&lt;"&amp;I369*bar_per_m)+1),"&gt; max PN")</f>
        <v>PN25</v>
      </c>
      <c r="K369" s="4" t="str">
        <f aca="false">IF(L369="no","end at tank",IF(H369&lt;0,"NEGATIVE",IF(H369&lt;p_min-0.005,"low","OK")))</f>
        <v>OK</v>
      </c>
      <c r="L369" s="4" t="s">
        <v>414</v>
      </c>
    </row>
    <row r="370" customFormat="false" ht="15" hidden="false" customHeight="false" outlineLevel="0" collapsed="false">
      <c r="A370" s="4" t="s">
        <v>40</v>
      </c>
      <c r="B370" s="4" t="s">
        <v>363</v>
      </c>
      <c r="C370" s="47" t="n">
        <v>17027.16</v>
      </c>
      <c r="D370" s="48" t="n">
        <v>1456.51</v>
      </c>
      <c r="E370" s="49" t="n">
        <f aca="false">D370-cover</f>
        <v>1455.31</v>
      </c>
      <c r="F370" s="50" t="n">
        <f aca="false">'Z4 WTP-Ikana'!S18-'Z4 WTP-Ikana'!P18*C370/'Z4 WTP-Ikana'!G18</f>
        <v>1673.10980603135</v>
      </c>
      <c r="G370" s="51" t="n">
        <f aca="false">'Z4 WTP-Ikana'!$B$8-E370</f>
        <v>212.69</v>
      </c>
      <c r="H370" s="52" t="n">
        <f aca="false">F370-E370</f>
        <v>217.799806031351</v>
      </c>
      <c r="I370" s="52" t="n">
        <f aca="false">MAX(H370,G370)</f>
        <v>217.799806031351</v>
      </c>
      <c r="J370" s="4" t="str">
        <f aca="false">IFERROR("PN"&amp;SMALL(PN_list,COUNTIF(PN_list,"&lt;"&amp;I370*bar_per_m)+1),"&gt; max PN")</f>
        <v>PN25</v>
      </c>
      <c r="K370" s="4" t="str">
        <f aca="false">IF(L370="no","end at tank",IF(H370&lt;0,"NEGATIVE",IF(H370&lt;p_min-0.005,"low","OK")))</f>
        <v>OK</v>
      </c>
      <c r="L370" s="4" t="s">
        <v>414</v>
      </c>
    </row>
    <row r="371" customFormat="false" ht="15" hidden="false" customHeight="false" outlineLevel="0" collapsed="false">
      <c r="A371" s="4" t="s">
        <v>40</v>
      </c>
      <c r="B371" s="4" t="s">
        <v>363</v>
      </c>
      <c r="C371" s="47" t="n">
        <v>17077.16</v>
      </c>
      <c r="D371" s="48" t="n">
        <v>1456.28</v>
      </c>
      <c r="E371" s="49" t="n">
        <f aca="false">D371-cover</f>
        <v>1455.08</v>
      </c>
      <c r="F371" s="50" t="n">
        <f aca="false">'Z4 WTP-Ikana'!S18-'Z4 WTP-Ikana'!P18*C371/'Z4 WTP-Ikana'!G18</f>
        <v>1673.03192277398</v>
      </c>
      <c r="G371" s="51" t="n">
        <f aca="false">'Z4 WTP-Ikana'!$B$8-E371</f>
        <v>212.92</v>
      </c>
      <c r="H371" s="52" t="n">
        <f aca="false">F371-E371</f>
        <v>217.951922773984</v>
      </c>
      <c r="I371" s="52" t="n">
        <f aca="false">MAX(H371,G371)</f>
        <v>217.951922773984</v>
      </c>
      <c r="J371" s="4" t="str">
        <f aca="false">IFERROR("PN"&amp;SMALL(PN_list,COUNTIF(PN_list,"&lt;"&amp;I371*bar_per_m)+1),"&gt; max PN")</f>
        <v>PN25</v>
      </c>
      <c r="K371" s="4" t="str">
        <f aca="false">IF(L371="no","end at tank",IF(H371&lt;0,"NEGATIVE",IF(H371&lt;p_min-0.005,"low","OK")))</f>
        <v>OK</v>
      </c>
      <c r="L371" s="4" t="s">
        <v>414</v>
      </c>
    </row>
    <row r="372" customFormat="false" ht="15" hidden="false" customHeight="false" outlineLevel="0" collapsed="false">
      <c r="A372" s="4" t="s">
        <v>40</v>
      </c>
      <c r="B372" s="4" t="s">
        <v>363</v>
      </c>
      <c r="C372" s="47" t="n">
        <v>17127.17</v>
      </c>
      <c r="D372" s="48" t="n">
        <v>1457.01</v>
      </c>
      <c r="E372" s="49" t="n">
        <f aca="false">D372-cover</f>
        <v>1455.81</v>
      </c>
      <c r="F372" s="50" t="n">
        <f aca="false">'Z4 WTP-Ikana'!S18-'Z4 WTP-Ikana'!P18*C372/'Z4 WTP-Ikana'!G18</f>
        <v>1672.95402393997</v>
      </c>
      <c r="G372" s="51" t="n">
        <f aca="false">'Z4 WTP-Ikana'!$B$8-E372</f>
        <v>212.19</v>
      </c>
      <c r="H372" s="52" t="n">
        <f aca="false">F372-E372</f>
        <v>217.144023939966</v>
      </c>
      <c r="I372" s="52" t="n">
        <f aca="false">MAX(H372,G372)</f>
        <v>217.144023939966</v>
      </c>
      <c r="J372" s="4" t="str">
        <f aca="false">IFERROR("PN"&amp;SMALL(PN_list,COUNTIF(PN_list,"&lt;"&amp;I372*bar_per_m)+1),"&gt; max PN")</f>
        <v>PN25</v>
      </c>
      <c r="K372" s="4" t="str">
        <f aca="false">IF(L372="no","end at tank",IF(H372&lt;0,"NEGATIVE",IF(H372&lt;p_min-0.005,"low","OK")))</f>
        <v>OK</v>
      </c>
      <c r="L372" s="4" t="s">
        <v>414</v>
      </c>
    </row>
    <row r="373" customFormat="false" ht="15" hidden="false" customHeight="false" outlineLevel="0" collapsed="false">
      <c r="A373" s="4" t="s">
        <v>40</v>
      </c>
      <c r="B373" s="4" t="s">
        <v>363</v>
      </c>
      <c r="C373" s="47" t="n">
        <v>17177.17</v>
      </c>
      <c r="D373" s="48" t="n">
        <v>1457.67</v>
      </c>
      <c r="E373" s="49" t="n">
        <f aca="false">D373-cover</f>
        <v>1456.47</v>
      </c>
      <c r="F373" s="50" t="n">
        <f aca="false">'Z4 WTP-Ikana'!S18-'Z4 WTP-Ikana'!P18*C373/'Z4 WTP-Ikana'!G18</f>
        <v>1672.8761406826</v>
      </c>
      <c r="G373" s="51" t="n">
        <f aca="false">'Z4 WTP-Ikana'!$B$8-E373</f>
        <v>211.53</v>
      </c>
      <c r="H373" s="52" t="n">
        <f aca="false">F373-E373</f>
        <v>216.406140682599</v>
      </c>
      <c r="I373" s="52" t="n">
        <f aca="false">MAX(H373,G373)</f>
        <v>216.406140682599</v>
      </c>
      <c r="J373" s="4" t="str">
        <f aca="false">IFERROR("PN"&amp;SMALL(PN_list,COUNTIF(PN_list,"&lt;"&amp;I373*bar_per_m)+1),"&gt; max PN")</f>
        <v>PN25</v>
      </c>
      <c r="K373" s="4" t="str">
        <f aca="false">IF(L373="no","end at tank",IF(H373&lt;0,"NEGATIVE",IF(H373&lt;p_min-0.005,"low","OK")))</f>
        <v>OK</v>
      </c>
      <c r="L373" s="4" t="s">
        <v>414</v>
      </c>
    </row>
    <row r="374" customFormat="false" ht="15" hidden="false" customHeight="false" outlineLevel="0" collapsed="false">
      <c r="A374" s="4" t="s">
        <v>40</v>
      </c>
      <c r="B374" s="4" t="s">
        <v>363</v>
      </c>
      <c r="C374" s="47" t="n">
        <v>17227.17</v>
      </c>
      <c r="D374" s="48" t="n">
        <v>1457.56</v>
      </c>
      <c r="E374" s="49" t="n">
        <f aca="false">D374-cover</f>
        <v>1456.36</v>
      </c>
      <c r="F374" s="50" t="n">
        <f aca="false">'Z4 WTP-Ikana'!S18-'Z4 WTP-Ikana'!P18*C374/'Z4 WTP-Ikana'!G18</f>
        <v>1672.79825742523</v>
      </c>
      <c r="G374" s="51" t="n">
        <f aca="false">'Z4 WTP-Ikana'!$B$8-E374</f>
        <v>211.64</v>
      </c>
      <c r="H374" s="52" t="n">
        <f aca="false">F374-E374</f>
        <v>216.438257425232</v>
      </c>
      <c r="I374" s="52" t="n">
        <f aca="false">MAX(H374,G374)</f>
        <v>216.438257425232</v>
      </c>
      <c r="J374" s="4" t="str">
        <f aca="false">IFERROR("PN"&amp;SMALL(PN_list,COUNTIF(PN_list,"&lt;"&amp;I374*bar_per_m)+1),"&gt; max PN")</f>
        <v>PN25</v>
      </c>
      <c r="K374" s="4" t="str">
        <f aca="false">IF(L374="no","end at tank",IF(H374&lt;0,"NEGATIVE",IF(H374&lt;p_min-0.005,"low","OK")))</f>
        <v>OK</v>
      </c>
      <c r="L374" s="4" t="s">
        <v>414</v>
      </c>
    </row>
    <row r="375" customFormat="false" ht="15" hidden="false" customHeight="false" outlineLevel="0" collapsed="false">
      <c r="A375" s="4" t="s">
        <v>40</v>
      </c>
      <c r="B375" s="4" t="s">
        <v>363</v>
      </c>
      <c r="C375" s="47" t="n">
        <v>17277.17</v>
      </c>
      <c r="D375" s="48" t="n">
        <v>1458.03</v>
      </c>
      <c r="E375" s="49" t="n">
        <f aca="false">D375-cover</f>
        <v>1456.83</v>
      </c>
      <c r="F375" s="50" t="n">
        <f aca="false">'Z4 WTP-Ikana'!S18-'Z4 WTP-Ikana'!P18*C375/'Z4 WTP-Ikana'!G18</f>
        <v>1672.72037416786</v>
      </c>
      <c r="G375" s="51" t="n">
        <f aca="false">'Z4 WTP-Ikana'!$B$8-E375</f>
        <v>211.17</v>
      </c>
      <c r="H375" s="52" t="n">
        <f aca="false">F375-E375</f>
        <v>215.890374167865</v>
      </c>
      <c r="I375" s="52" t="n">
        <f aca="false">MAX(H375,G375)</f>
        <v>215.890374167865</v>
      </c>
      <c r="J375" s="4" t="str">
        <f aca="false">IFERROR("PN"&amp;SMALL(PN_list,COUNTIF(PN_list,"&lt;"&amp;I375*bar_per_m)+1),"&gt; max PN")</f>
        <v>PN25</v>
      </c>
      <c r="K375" s="4" t="str">
        <f aca="false">IF(L375="no","end at tank",IF(H375&lt;0,"NEGATIVE",IF(H375&lt;p_min-0.005,"low","OK")))</f>
        <v>OK</v>
      </c>
      <c r="L375" s="4" t="s">
        <v>414</v>
      </c>
    </row>
    <row r="376" customFormat="false" ht="15" hidden="false" customHeight="false" outlineLevel="0" collapsed="false">
      <c r="A376" s="4" t="s">
        <v>40</v>
      </c>
      <c r="B376" s="4" t="s">
        <v>363</v>
      </c>
      <c r="C376" s="47" t="n">
        <v>17327.17</v>
      </c>
      <c r="D376" s="48" t="n">
        <v>1458.33</v>
      </c>
      <c r="E376" s="49" t="n">
        <f aca="false">D376-cover</f>
        <v>1457.13</v>
      </c>
      <c r="F376" s="50" t="n">
        <f aca="false">'Z4 WTP-Ikana'!S18-'Z4 WTP-Ikana'!P18*C376/'Z4 WTP-Ikana'!G18</f>
        <v>1672.6424909105</v>
      </c>
      <c r="G376" s="51" t="n">
        <f aca="false">'Z4 WTP-Ikana'!$B$8-E376</f>
        <v>210.87</v>
      </c>
      <c r="H376" s="52" t="n">
        <f aca="false">F376-E376</f>
        <v>215.512490910498</v>
      </c>
      <c r="I376" s="52" t="n">
        <f aca="false">MAX(H376,G376)</f>
        <v>215.512490910498</v>
      </c>
      <c r="J376" s="4" t="str">
        <f aca="false">IFERROR("PN"&amp;SMALL(PN_list,COUNTIF(PN_list,"&lt;"&amp;I376*bar_per_m)+1),"&gt; max PN")</f>
        <v>PN25</v>
      </c>
      <c r="K376" s="4" t="str">
        <f aca="false">IF(L376="no","end at tank",IF(H376&lt;0,"NEGATIVE",IF(H376&lt;p_min-0.005,"low","OK")))</f>
        <v>OK</v>
      </c>
      <c r="L376" s="4" t="s">
        <v>414</v>
      </c>
    </row>
    <row r="377" customFormat="false" ht="15" hidden="false" customHeight="false" outlineLevel="0" collapsed="false">
      <c r="A377" s="4" t="s">
        <v>40</v>
      </c>
      <c r="B377" s="4" t="s">
        <v>363</v>
      </c>
      <c r="C377" s="47" t="n">
        <v>17377.18</v>
      </c>
      <c r="D377" s="48" t="n">
        <v>1458.57</v>
      </c>
      <c r="E377" s="49" t="n">
        <f aca="false">D377-cover</f>
        <v>1457.37</v>
      </c>
      <c r="F377" s="50" t="n">
        <f aca="false">'Z4 WTP-Ikana'!S18-'Z4 WTP-Ikana'!P18*C377/'Z4 WTP-Ikana'!G18</f>
        <v>1672.56459207648</v>
      </c>
      <c r="G377" s="51" t="n">
        <f aca="false">'Z4 WTP-Ikana'!$B$8-E377</f>
        <v>210.63</v>
      </c>
      <c r="H377" s="52" t="n">
        <f aca="false">F377-E377</f>
        <v>215.194592076479</v>
      </c>
      <c r="I377" s="52" t="n">
        <f aca="false">MAX(H377,G377)</f>
        <v>215.194592076479</v>
      </c>
      <c r="J377" s="4" t="str">
        <f aca="false">IFERROR("PN"&amp;SMALL(PN_list,COUNTIF(PN_list,"&lt;"&amp;I377*bar_per_m)+1),"&gt; max PN")</f>
        <v>PN25</v>
      </c>
      <c r="K377" s="4" t="str">
        <f aca="false">IF(L377="no","end at tank",IF(H377&lt;0,"NEGATIVE",IF(H377&lt;p_min-0.005,"low","OK")))</f>
        <v>OK</v>
      </c>
      <c r="L377" s="4" t="s">
        <v>414</v>
      </c>
    </row>
    <row r="378" customFormat="false" ht="15" hidden="false" customHeight="false" outlineLevel="0" collapsed="false">
      <c r="A378" s="4" t="s">
        <v>40</v>
      </c>
      <c r="B378" s="4" t="s">
        <v>363</v>
      </c>
      <c r="C378" s="47" t="n">
        <v>17427.18</v>
      </c>
      <c r="D378" s="48" t="n">
        <v>1459.18</v>
      </c>
      <c r="E378" s="49" t="n">
        <f aca="false">D378-cover</f>
        <v>1457.98</v>
      </c>
      <c r="F378" s="50" t="n">
        <f aca="false">'Z4 WTP-Ikana'!S18-'Z4 WTP-Ikana'!P18*C378/'Z4 WTP-Ikana'!G18</f>
        <v>1672.48670881911</v>
      </c>
      <c r="G378" s="51" t="n">
        <f aca="false">'Z4 WTP-Ikana'!$B$8-E378</f>
        <v>210.02</v>
      </c>
      <c r="H378" s="52" t="n">
        <f aca="false">F378-E378</f>
        <v>214.506708819112</v>
      </c>
      <c r="I378" s="52" t="n">
        <f aca="false">MAX(H378,G378)</f>
        <v>214.506708819112</v>
      </c>
      <c r="J378" s="4" t="str">
        <f aca="false">IFERROR("PN"&amp;SMALL(PN_list,COUNTIF(PN_list,"&lt;"&amp;I378*bar_per_m)+1),"&gt; max PN")</f>
        <v>PN25</v>
      </c>
      <c r="K378" s="4" t="str">
        <f aca="false">IF(L378="no","end at tank",IF(H378&lt;0,"NEGATIVE",IF(H378&lt;p_min-0.005,"low","OK")))</f>
        <v>OK</v>
      </c>
      <c r="L378" s="4" t="s">
        <v>414</v>
      </c>
    </row>
    <row r="379" customFormat="false" ht="15" hidden="false" customHeight="false" outlineLevel="0" collapsed="false">
      <c r="A379" s="4" t="s">
        <v>40</v>
      </c>
      <c r="B379" s="4" t="s">
        <v>363</v>
      </c>
      <c r="C379" s="47" t="n">
        <v>17477.18</v>
      </c>
      <c r="D379" s="48" t="n">
        <v>1459.65</v>
      </c>
      <c r="E379" s="49" t="n">
        <f aca="false">D379-cover</f>
        <v>1458.45</v>
      </c>
      <c r="F379" s="50" t="n">
        <f aca="false">'Z4 WTP-Ikana'!S18-'Z4 WTP-Ikana'!P18*C379/'Z4 WTP-Ikana'!G18</f>
        <v>1672.40882556174</v>
      </c>
      <c r="G379" s="51" t="n">
        <f aca="false">'Z4 WTP-Ikana'!$B$8-E379</f>
        <v>209.55</v>
      </c>
      <c r="H379" s="52" t="n">
        <f aca="false">F379-E379</f>
        <v>213.958825561745</v>
      </c>
      <c r="I379" s="52" t="n">
        <f aca="false">MAX(H379,G379)</f>
        <v>213.958825561745</v>
      </c>
      <c r="J379" s="4" t="str">
        <f aca="false">IFERROR("PN"&amp;SMALL(PN_list,COUNTIF(PN_list,"&lt;"&amp;I379*bar_per_m)+1),"&gt; max PN")</f>
        <v>PN25</v>
      </c>
      <c r="K379" s="4" t="str">
        <f aca="false">IF(L379="no","end at tank",IF(H379&lt;0,"NEGATIVE",IF(H379&lt;p_min-0.005,"low","OK")))</f>
        <v>OK</v>
      </c>
      <c r="L379" s="4" t="s">
        <v>414</v>
      </c>
    </row>
    <row r="380" customFormat="false" ht="15" hidden="false" customHeight="false" outlineLevel="0" collapsed="false">
      <c r="A380" s="4" t="s">
        <v>40</v>
      </c>
      <c r="B380" s="4" t="s">
        <v>363</v>
      </c>
      <c r="C380" s="47" t="n">
        <v>17527.19</v>
      </c>
      <c r="D380" s="48" t="n">
        <v>1460.7</v>
      </c>
      <c r="E380" s="49" t="n">
        <f aca="false">D380-cover</f>
        <v>1459.5</v>
      </c>
      <c r="F380" s="50" t="n">
        <f aca="false">'Z4 WTP-Ikana'!S18-'Z4 WTP-Ikana'!P18*C380/'Z4 WTP-Ikana'!G18</f>
        <v>1672.33092672773</v>
      </c>
      <c r="G380" s="51" t="n">
        <f aca="false">'Z4 WTP-Ikana'!$B$8-E380</f>
        <v>208.5</v>
      </c>
      <c r="H380" s="52" t="n">
        <f aca="false">F380-E380</f>
        <v>212.830926727726</v>
      </c>
      <c r="I380" s="52" t="n">
        <f aca="false">MAX(H380,G380)</f>
        <v>212.830926727726</v>
      </c>
      <c r="J380" s="4" t="str">
        <f aca="false">IFERROR("PN"&amp;SMALL(PN_list,COUNTIF(PN_list,"&lt;"&amp;I380*bar_per_m)+1),"&gt; max PN")</f>
        <v>PN25</v>
      </c>
      <c r="K380" s="4" t="str">
        <f aca="false">IF(L380="no","end at tank",IF(H380&lt;0,"NEGATIVE",IF(H380&lt;p_min-0.005,"low","OK")))</f>
        <v>OK</v>
      </c>
      <c r="L380" s="4" t="s">
        <v>414</v>
      </c>
    </row>
    <row r="381" customFormat="false" ht="15" hidden="false" customHeight="false" outlineLevel="0" collapsed="false">
      <c r="A381" s="4" t="s">
        <v>40</v>
      </c>
      <c r="B381" s="4" t="s">
        <v>363</v>
      </c>
      <c r="C381" s="47" t="n">
        <v>17577.19</v>
      </c>
      <c r="D381" s="48" t="n">
        <v>1460.81</v>
      </c>
      <c r="E381" s="49" t="n">
        <f aca="false">D381-cover</f>
        <v>1459.61</v>
      </c>
      <c r="F381" s="50" t="n">
        <f aca="false">'Z4 WTP-Ikana'!S18-'Z4 WTP-Ikana'!P18*C381/'Z4 WTP-Ikana'!G18</f>
        <v>1672.25304347036</v>
      </c>
      <c r="G381" s="51" t="n">
        <f aca="false">'Z4 WTP-Ikana'!$B$8-E381</f>
        <v>208.39</v>
      </c>
      <c r="H381" s="52" t="n">
        <f aca="false">F381-E381</f>
        <v>212.643043470359</v>
      </c>
      <c r="I381" s="52" t="n">
        <f aca="false">MAX(H381,G381)</f>
        <v>212.643043470359</v>
      </c>
      <c r="J381" s="4" t="str">
        <f aca="false">IFERROR("PN"&amp;SMALL(PN_list,COUNTIF(PN_list,"&lt;"&amp;I381*bar_per_m)+1),"&gt; max PN")</f>
        <v>PN25</v>
      </c>
      <c r="K381" s="4" t="str">
        <f aca="false">IF(L381="no","end at tank",IF(H381&lt;0,"NEGATIVE",IF(H381&lt;p_min-0.005,"low","OK")))</f>
        <v>OK</v>
      </c>
      <c r="L381" s="4" t="s">
        <v>414</v>
      </c>
    </row>
    <row r="382" customFormat="false" ht="15" hidden="false" customHeight="false" outlineLevel="0" collapsed="false">
      <c r="A382" s="4" t="s">
        <v>40</v>
      </c>
      <c r="B382" s="4" t="s">
        <v>363</v>
      </c>
      <c r="C382" s="47" t="n">
        <v>17627.2</v>
      </c>
      <c r="D382" s="48" t="n">
        <v>1461.62</v>
      </c>
      <c r="E382" s="49" t="n">
        <f aca="false">D382-cover</f>
        <v>1460.42</v>
      </c>
      <c r="F382" s="50" t="n">
        <f aca="false">'Z4 WTP-Ikana'!S18-'Z4 WTP-Ikana'!P18*C382/'Z4 WTP-Ikana'!G18</f>
        <v>1672.17514463634</v>
      </c>
      <c r="G382" s="51" t="n">
        <f aca="false">'Z4 WTP-Ikana'!$B$8-E382</f>
        <v>207.58</v>
      </c>
      <c r="H382" s="52" t="n">
        <f aca="false">F382-E382</f>
        <v>211.755144636341</v>
      </c>
      <c r="I382" s="52" t="n">
        <f aca="false">MAX(H382,G382)</f>
        <v>211.755144636341</v>
      </c>
      <c r="J382" s="4" t="str">
        <f aca="false">IFERROR("PN"&amp;SMALL(PN_list,COUNTIF(PN_list,"&lt;"&amp;I382*bar_per_m)+1),"&gt; max PN")</f>
        <v>PN25</v>
      </c>
      <c r="K382" s="4" t="str">
        <f aca="false">IF(L382="no","end at tank",IF(H382&lt;0,"NEGATIVE",IF(H382&lt;p_min-0.005,"low","OK")))</f>
        <v>OK</v>
      </c>
      <c r="L382" s="4" t="s">
        <v>414</v>
      </c>
    </row>
    <row r="383" customFormat="false" ht="15" hidden="false" customHeight="false" outlineLevel="0" collapsed="false">
      <c r="A383" s="4" t="s">
        <v>40</v>
      </c>
      <c r="B383" s="4" t="s">
        <v>363</v>
      </c>
      <c r="C383" s="47" t="n">
        <v>17677.2</v>
      </c>
      <c r="D383" s="48" t="n">
        <v>1462.33</v>
      </c>
      <c r="E383" s="49" t="n">
        <f aca="false">D383-cover</f>
        <v>1461.13</v>
      </c>
      <c r="F383" s="50" t="n">
        <f aca="false">'Z4 WTP-Ikana'!S18-'Z4 WTP-Ikana'!P18*C383/'Z4 WTP-Ikana'!G18</f>
        <v>1672.09726137897</v>
      </c>
      <c r="G383" s="51" t="n">
        <f aca="false">'Z4 WTP-Ikana'!$B$8-E383</f>
        <v>206.87</v>
      </c>
      <c r="H383" s="52" t="n">
        <f aca="false">F383-E383</f>
        <v>210.967261378974</v>
      </c>
      <c r="I383" s="52" t="n">
        <f aca="false">MAX(H383,G383)</f>
        <v>210.967261378974</v>
      </c>
      <c r="J383" s="4" t="str">
        <f aca="false">IFERROR("PN"&amp;SMALL(PN_list,COUNTIF(PN_list,"&lt;"&amp;I383*bar_per_m)+1),"&gt; max PN")</f>
        <v>PN25</v>
      </c>
      <c r="K383" s="4" t="str">
        <f aca="false">IF(L383="no","end at tank",IF(H383&lt;0,"NEGATIVE",IF(H383&lt;p_min-0.005,"low","OK")))</f>
        <v>OK</v>
      </c>
      <c r="L383" s="4" t="s">
        <v>414</v>
      </c>
    </row>
    <row r="384" customFormat="false" ht="15" hidden="false" customHeight="false" outlineLevel="0" collapsed="false">
      <c r="A384" s="4" t="s">
        <v>40</v>
      </c>
      <c r="B384" s="4" t="s">
        <v>363</v>
      </c>
      <c r="C384" s="47" t="n">
        <v>17727.21</v>
      </c>
      <c r="D384" s="48" t="n">
        <v>1462.83</v>
      </c>
      <c r="E384" s="49" t="n">
        <f aca="false">D384-cover</f>
        <v>1461.63</v>
      </c>
      <c r="F384" s="50" t="n">
        <f aca="false">'Z4 WTP-Ikana'!S18-'Z4 WTP-Ikana'!P18*C384/'Z4 WTP-Ikana'!G18</f>
        <v>1672.01936254496</v>
      </c>
      <c r="G384" s="51" t="n">
        <f aca="false">'Z4 WTP-Ikana'!$B$8-E384</f>
        <v>206.37</v>
      </c>
      <c r="H384" s="52" t="n">
        <f aca="false">F384-E384</f>
        <v>210.389362544955</v>
      </c>
      <c r="I384" s="52" t="n">
        <f aca="false">MAX(H384,G384)</f>
        <v>210.389362544955</v>
      </c>
      <c r="J384" s="4" t="str">
        <f aca="false">IFERROR("PN"&amp;SMALL(PN_list,COUNTIF(PN_list,"&lt;"&amp;I384*bar_per_m)+1),"&gt; max PN")</f>
        <v>PN25</v>
      </c>
      <c r="K384" s="4" t="str">
        <f aca="false">IF(L384="no","end at tank",IF(H384&lt;0,"NEGATIVE",IF(H384&lt;p_min-0.005,"low","OK")))</f>
        <v>OK</v>
      </c>
      <c r="L384" s="4" t="s">
        <v>414</v>
      </c>
    </row>
    <row r="385" customFormat="false" ht="15" hidden="false" customHeight="false" outlineLevel="0" collapsed="false">
      <c r="A385" s="4" t="s">
        <v>40</v>
      </c>
      <c r="B385" s="4" t="s">
        <v>363</v>
      </c>
      <c r="C385" s="47" t="n">
        <v>17777.22</v>
      </c>
      <c r="D385" s="48" t="n">
        <v>1463.8</v>
      </c>
      <c r="E385" s="49" t="n">
        <f aca="false">D385-cover</f>
        <v>1462.6</v>
      </c>
      <c r="F385" s="50" t="n">
        <f aca="false">'Z4 WTP-Ikana'!S18-'Z4 WTP-Ikana'!P18*C385/'Z4 WTP-Ikana'!G18</f>
        <v>1671.94146371094</v>
      </c>
      <c r="G385" s="51" t="n">
        <f aca="false">'Z4 WTP-Ikana'!$B$8-E385</f>
        <v>205.4</v>
      </c>
      <c r="H385" s="52" t="n">
        <f aca="false">F385-E385</f>
        <v>209.341463710937</v>
      </c>
      <c r="I385" s="52" t="n">
        <f aca="false">MAX(H385,G385)</f>
        <v>209.341463710937</v>
      </c>
      <c r="J385" s="4" t="str">
        <f aca="false">IFERROR("PN"&amp;SMALL(PN_list,COUNTIF(PN_list,"&lt;"&amp;I385*bar_per_m)+1),"&gt; max PN")</f>
        <v>PN25</v>
      </c>
      <c r="K385" s="4" t="str">
        <f aca="false">IF(L385="no","end at tank",IF(H385&lt;0,"NEGATIVE",IF(H385&lt;p_min-0.005,"low","OK")))</f>
        <v>OK</v>
      </c>
      <c r="L385" s="4" t="s">
        <v>414</v>
      </c>
    </row>
    <row r="386" customFormat="false" ht="15" hidden="false" customHeight="false" outlineLevel="0" collapsed="false">
      <c r="A386" s="4" t="s">
        <v>40</v>
      </c>
      <c r="B386" s="4" t="s">
        <v>363</v>
      </c>
      <c r="C386" s="47" t="n">
        <v>17827.23</v>
      </c>
      <c r="D386" s="48" t="n">
        <v>1464.98</v>
      </c>
      <c r="E386" s="49" t="n">
        <f aca="false">D386-cover</f>
        <v>1463.78</v>
      </c>
      <c r="F386" s="50" t="n">
        <f aca="false">'Z4 WTP-Ikana'!S18-'Z4 WTP-Ikana'!P18*C386/'Z4 WTP-Ikana'!G18</f>
        <v>1671.86356487692</v>
      </c>
      <c r="G386" s="51" t="n">
        <f aca="false">'Z4 WTP-Ikana'!$B$8-E386</f>
        <v>204.22</v>
      </c>
      <c r="H386" s="52" t="n">
        <f aca="false">F386-E386</f>
        <v>208.083564876918</v>
      </c>
      <c r="I386" s="52" t="n">
        <f aca="false">MAX(H386,G386)</f>
        <v>208.083564876918</v>
      </c>
      <c r="J386" s="4" t="str">
        <f aca="false">IFERROR("PN"&amp;SMALL(PN_list,COUNTIF(PN_list,"&lt;"&amp;I386*bar_per_m)+1),"&gt; max PN")</f>
        <v>PN25</v>
      </c>
      <c r="K386" s="4" t="str">
        <f aca="false">IF(L386="no","end at tank",IF(H386&lt;0,"NEGATIVE",IF(H386&lt;p_min-0.005,"low","OK")))</f>
        <v>OK</v>
      </c>
      <c r="L386" s="4" t="s">
        <v>414</v>
      </c>
    </row>
    <row r="387" customFormat="false" ht="15" hidden="false" customHeight="false" outlineLevel="0" collapsed="false">
      <c r="A387" s="4" t="s">
        <v>40</v>
      </c>
      <c r="B387" s="4" t="s">
        <v>363</v>
      </c>
      <c r="C387" s="47" t="n">
        <v>17877.27</v>
      </c>
      <c r="D387" s="48" t="n">
        <v>1466.89</v>
      </c>
      <c r="E387" s="49" t="n">
        <f aca="false">D387-cover</f>
        <v>1465.69</v>
      </c>
      <c r="F387" s="50" t="n">
        <f aca="false">'Z4 WTP-Ikana'!S18-'Z4 WTP-Ikana'!P18*C387/'Z4 WTP-Ikana'!G18</f>
        <v>1671.78561931294</v>
      </c>
      <c r="G387" s="51" t="n">
        <f aca="false">'Z4 WTP-Ikana'!$B$8-E387</f>
        <v>202.31</v>
      </c>
      <c r="H387" s="52" t="n">
        <f aca="false">F387-E387</f>
        <v>206.095619312945</v>
      </c>
      <c r="I387" s="52" t="n">
        <f aca="false">MAX(H387,G387)</f>
        <v>206.095619312945</v>
      </c>
      <c r="J387" s="4" t="str">
        <f aca="false">IFERROR("PN"&amp;SMALL(PN_list,COUNTIF(PN_list,"&lt;"&amp;I387*bar_per_m)+1),"&gt; max PN")</f>
        <v>PN25</v>
      </c>
      <c r="K387" s="4" t="str">
        <f aca="false">IF(L387="no","end at tank",IF(H387&lt;0,"NEGATIVE",IF(H387&lt;p_min-0.005,"low","OK")))</f>
        <v>OK</v>
      </c>
      <c r="L387" s="4" t="s">
        <v>414</v>
      </c>
    </row>
    <row r="388" customFormat="false" ht="15" hidden="false" customHeight="false" outlineLevel="0" collapsed="false">
      <c r="A388" s="4" t="s">
        <v>40</v>
      </c>
      <c r="B388" s="4" t="s">
        <v>363</v>
      </c>
      <c r="C388" s="47" t="n">
        <v>17927.27</v>
      </c>
      <c r="D388" s="48" t="n">
        <v>1467.15</v>
      </c>
      <c r="E388" s="49" t="n">
        <f aca="false">D388-cover</f>
        <v>1465.95</v>
      </c>
      <c r="F388" s="50" t="n">
        <f aca="false">'Z4 WTP-Ikana'!S18-'Z4 WTP-Ikana'!P18*C388/'Z4 WTP-Ikana'!G18</f>
        <v>1671.70773605558</v>
      </c>
      <c r="G388" s="51" t="n">
        <f aca="false">'Z4 WTP-Ikana'!$B$8-E388</f>
        <v>202.05</v>
      </c>
      <c r="H388" s="52" t="n">
        <f aca="false">F388-E388</f>
        <v>205.757736055578</v>
      </c>
      <c r="I388" s="52" t="n">
        <f aca="false">MAX(H388,G388)</f>
        <v>205.757736055578</v>
      </c>
      <c r="J388" s="4" t="str">
        <f aca="false">IFERROR("PN"&amp;SMALL(PN_list,COUNTIF(PN_list,"&lt;"&amp;I388*bar_per_m)+1),"&gt; max PN")</f>
        <v>PN25</v>
      </c>
      <c r="K388" s="4" t="str">
        <f aca="false">IF(L388="no","end at tank",IF(H388&lt;0,"NEGATIVE",IF(H388&lt;p_min-0.005,"low","OK")))</f>
        <v>OK</v>
      </c>
      <c r="L388" s="4" t="s">
        <v>414</v>
      </c>
    </row>
    <row r="389" customFormat="false" ht="15" hidden="false" customHeight="false" outlineLevel="0" collapsed="false">
      <c r="A389" s="4" t="s">
        <v>40</v>
      </c>
      <c r="B389" s="4" t="s">
        <v>363</v>
      </c>
      <c r="C389" s="47" t="n">
        <v>17977.28</v>
      </c>
      <c r="D389" s="48" t="n">
        <v>1468.41</v>
      </c>
      <c r="E389" s="49" t="n">
        <f aca="false">D389-cover</f>
        <v>1467.21</v>
      </c>
      <c r="F389" s="50" t="n">
        <f aca="false">'Z4 WTP-Ikana'!S18-'Z4 WTP-Ikana'!P18*C389/'Z4 WTP-Ikana'!G18</f>
        <v>1671.62983722156</v>
      </c>
      <c r="G389" s="51" t="n">
        <f aca="false">'Z4 WTP-Ikana'!$B$8-E389</f>
        <v>200.79</v>
      </c>
      <c r="H389" s="52" t="n">
        <f aca="false">F389-E389</f>
        <v>204.419837221559</v>
      </c>
      <c r="I389" s="52" t="n">
        <f aca="false">MAX(H389,G389)</f>
        <v>204.419837221559</v>
      </c>
      <c r="J389" s="4" t="str">
        <f aca="false">IFERROR("PN"&amp;SMALL(PN_list,COUNTIF(PN_list,"&lt;"&amp;I389*bar_per_m)+1),"&gt; max PN")</f>
        <v>PN25</v>
      </c>
      <c r="K389" s="4" t="str">
        <f aca="false">IF(L389="no","end at tank",IF(H389&lt;0,"NEGATIVE",IF(H389&lt;p_min-0.005,"low","OK")))</f>
        <v>OK</v>
      </c>
      <c r="L389" s="4" t="s">
        <v>414</v>
      </c>
    </row>
    <row r="390" customFormat="false" ht="15" hidden="false" customHeight="false" outlineLevel="0" collapsed="false">
      <c r="A390" s="4" t="s">
        <v>40</v>
      </c>
      <c r="B390" s="4" t="s">
        <v>363</v>
      </c>
      <c r="C390" s="47" t="n">
        <v>18027.29</v>
      </c>
      <c r="D390" s="48" t="n">
        <v>1469.5</v>
      </c>
      <c r="E390" s="49" t="n">
        <f aca="false">D390-cover</f>
        <v>1468.3</v>
      </c>
      <c r="F390" s="50" t="n">
        <f aca="false">'Z4 WTP-Ikana'!S18-'Z4 WTP-Ikana'!P18*C390/'Z4 WTP-Ikana'!G18</f>
        <v>1671.55193838754</v>
      </c>
      <c r="G390" s="51" t="n">
        <f aca="false">'Z4 WTP-Ikana'!$B$8-E390</f>
        <v>199.7</v>
      </c>
      <c r="H390" s="52" t="n">
        <f aca="false">F390-E390</f>
        <v>203.251938387541</v>
      </c>
      <c r="I390" s="52" t="n">
        <f aca="false">MAX(H390,G390)</f>
        <v>203.251938387541</v>
      </c>
      <c r="J390" s="4" t="str">
        <f aca="false">IFERROR("PN"&amp;SMALL(PN_list,COUNTIF(PN_list,"&lt;"&amp;I390*bar_per_m)+1),"&gt; max PN")</f>
        <v>PN25</v>
      </c>
      <c r="K390" s="4" t="str">
        <f aca="false">IF(L390="no","end at tank",IF(H390&lt;0,"NEGATIVE",IF(H390&lt;p_min-0.005,"low","OK")))</f>
        <v>OK</v>
      </c>
      <c r="L390" s="4" t="s">
        <v>414</v>
      </c>
    </row>
    <row r="391" customFormat="false" ht="15" hidden="false" customHeight="false" outlineLevel="0" collapsed="false">
      <c r="A391" s="4" t="s">
        <v>40</v>
      </c>
      <c r="B391" s="4" t="s">
        <v>363</v>
      </c>
      <c r="C391" s="47" t="n">
        <v>18077.3</v>
      </c>
      <c r="D391" s="48" t="n">
        <v>1468.98</v>
      </c>
      <c r="E391" s="49" t="n">
        <f aca="false">D391-cover</f>
        <v>1467.78</v>
      </c>
      <c r="F391" s="50" t="n">
        <f aca="false">'Z4 WTP-Ikana'!S18-'Z4 WTP-Ikana'!P18*C391/'Z4 WTP-Ikana'!G18</f>
        <v>1671.47403955352</v>
      </c>
      <c r="G391" s="51" t="n">
        <f aca="false">'Z4 WTP-Ikana'!$B$8-E391</f>
        <v>200.22</v>
      </c>
      <c r="H391" s="52" t="n">
        <f aca="false">F391-E391</f>
        <v>203.694039553522</v>
      </c>
      <c r="I391" s="52" t="n">
        <f aca="false">MAX(H391,G391)</f>
        <v>203.694039553522</v>
      </c>
      <c r="J391" s="4" t="str">
        <f aca="false">IFERROR("PN"&amp;SMALL(PN_list,COUNTIF(PN_list,"&lt;"&amp;I391*bar_per_m)+1),"&gt; max PN")</f>
        <v>PN25</v>
      </c>
      <c r="K391" s="4" t="str">
        <f aca="false">IF(L391="no","end at tank",IF(H391&lt;0,"NEGATIVE",IF(H391&lt;p_min-0.005,"low","OK")))</f>
        <v>OK</v>
      </c>
      <c r="L391" s="4" t="s">
        <v>414</v>
      </c>
    </row>
    <row r="392" customFormat="false" ht="15" hidden="false" customHeight="false" outlineLevel="0" collapsed="false">
      <c r="A392" s="4" t="s">
        <v>40</v>
      </c>
      <c r="B392" s="4" t="s">
        <v>363</v>
      </c>
      <c r="C392" s="47" t="n">
        <v>18127.3</v>
      </c>
      <c r="D392" s="48" t="n">
        <v>1469.59</v>
      </c>
      <c r="E392" s="49" t="n">
        <f aca="false">D392-cover</f>
        <v>1468.39</v>
      </c>
      <c r="F392" s="50" t="n">
        <f aca="false">'Z4 WTP-Ikana'!S18-'Z4 WTP-Ikana'!P18*C392/'Z4 WTP-Ikana'!G18</f>
        <v>1671.39615629616</v>
      </c>
      <c r="G392" s="51" t="n">
        <f aca="false">'Z4 WTP-Ikana'!$B$8-E392</f>
        <v>199.61</v>
      </c>
      <c r="H392" s="52" t="n">
        <f aca="false">F392-E392</f>
        <v>203.006156296155</v>
      </c>
      <c r="I392" s="52" t="n">
        <f aca="false">MAX(H392,G392)</f>
        <v>203.006156296155</v>
      </c>
      <c r="J392" s="4" t="str">
        <f aca="false">IFERROR("PN"&amp;SMALL(PN_list,COUNTIF(PN_list,"&lt;"&amp;I392*bar_per_m)+1),"&gt; max PN")</f>
        <v>PN25</v>
      </c>
      <c r="K392" s="4" t="str">
        <f aca="false">IF(L392="no","end at tank",IF(H392&lt;0,"NEGATIVE",IF(H392&lt;p_min-0.005,"low","OK")))</f>
        <v>OK</v>
      </c>
      <c r="L392" s="4" t="s">
        <v>414</v>
      </c>
    </row>
    <row r="393" customFormat="false" ht="15" hidden="false" customHeight="false" outlineLevel="0" collapsed="false">
      <c r="A393" s="4" t="s">
        <v>40</v>
      </c>
      <c r="B393" s="4" t="s">
        <v>363</v>
      </c>
      <c r="C393" s="47" t="n">
        <v>18177.3</v>
      </c>
      <c r="D393" s="48" t="n">
        <v>1470.1</v>
      </c>
      <c r="E393" s="49" t="n">
        <f aca="false">D393-cover</f>
        <v>1468.9</v>
      </c>
      <c r="F393" s="50" t="n">
        <f aca="false">'Z4 WTP-Ikana'!S18-'Z4 WTP-Ikana'!P18*C393/'Z4 WTP-Ikana'!G18</f>
        <v>1671.31827303879</v>
      </c>
      <c r="G393" s="51" t="n">
        <f aca="false">'Z4 WTP-Ikana'!$B$8-E393</f>
        <v>199.1</v>
      </c>
      <c r="H393" s="52" t="n">
        <f aca="false">F393-E393</f>
        <v>202.418273038788</v>
      </c>
      <c r="I393" s="52" t="n">
        <f aca="false">MAX(H393,G393)</f>
        <v>202.418273038788</v>
      </c>
      <c r="J393" s="4" t="str">
        <f aca="false">IFERROR("PN"&amp;SMALL(PN_list,COUNTIF(PN_list,"&lt;"&amp;I393*bar_per_m)+1),"&gt; max PN")</f>
        <v>PN25</v>
      </c>
      <c r="K393" s="4" t="str">
        <f aca="false">IF(L393="no","end at tank",IF(H393&lt;0,"NEGATIVE",IF(H393&lt;p_min-0.005,"low","OK")))</f>
        <v>OK</v>
      </c>
      <c r="L393" s="4" t="s">
        <v>414</v>
      </c>
    </row>
    <row r="394" customFormat="false" ht="15" hidden="false" customHeight="false" outlineLevel="0" collapsed="false">
      <c r="A394" s="4" t="s">
        <v>40</v>
      </c>
      <c r="B394" s="4" t="s">
        <v>363</v>
      </c>
      <c r="C394" s="47" t="n">
        <v>18227.31</v>
      </c>
      <c r="D394" s="48" t="n">
        <v>1470.88</v>
      </c>
      <c r="E394" s="49" t="n">
        <f aca="false">D394-cover</f>
        <v>1469.68</v>
      </c>
      <c r="F394" s="50" t="n">
        <f aca="false">'Z4 WTP-Ikana'!S18-'Z4 WTP-Ikana'!P18*C394/'Z4 WTP-Ikana'!G18</f>
        <v>1671.24037420477</v>
      </c>
      <c r="G394" s="51" t="n">
        <f aca="false">'Z4 WTP-Ikana'!$B$8-E394</f>
        <v>198.32</v>
      </c>
      <c r="H394" s="52" t="n">
        <f aca="false">F394-E394</f>
        <v>201.560374204769</v>
      </c>
      <c r="I394" s="52" t="n">
        <f aca="false">MAX(H394,G394)</f>
        <v>201.560374204769</v>
      </c>
      <c r="J394" s="4" t="str">
        <f aca="false">IFERROR("PN"&amp;SMALL(PN_list,COUNTIF(PN_list,"&lt;"&amp;I394*bar_per_m)+1),"&gt; max PN")</f>
        <v>PN25</v>
      </c>
      <c r="K394" s="4" t="str">
        <f aca="false">IF(L394="no","end at tank",IF(H394&lt;0,"NEGATIVE",IF(H394&lt;p_min-0.005,"low","OK")))</f>
        <v>OK</v>
      </c>
      <c r="L394" s="4" t="s">
        <v>414</v>
      </c>
    </row>
    <row r="395" customFormat="false" ht="15" hidden="false" customHeight="false" outlineLevel="0" collapsed="false">
      <c r="A395" s="4" t="s">
        <v>40</v>
      </c>
      <c r="B395" s="4" t="s">
        <v>363</v>
      </c>
      <c r="C395" s="47" t="n">
        <v>18277.31</v>
      </c>
      <c r="D395" s="48" t="n">
        <v>1471.61</v>
      </c>
      <c r="E395" s="49" t="n">
        <f aca="false">D395-cover</f>
        <v>1470.41</v>
      </c>
      <c r="F395" s="50" t="n">
        <f aca="false">'Z4 WTP-Ikana'!S18-'Z4 WTP-Ikana'!P18*C395/'Z4 WTP-Ikana'!G18</f>
        <v>1671.1624909474</v>
      </c>
      <c r="G395" s="51" t="n">
        <f aca="false">'Z4 WTP-Ikana'!$B$8-E395</f>
        <v>197.59</v>
      </c>
      <c r="H395" s="52" t="n">
        <f aca="false">F395-E395</f>
        <v>200.752490947403</v>
      </c>
      <c r="I395" s="52" t="n">
        <f aca="false">MAX(H395,G395)</f>
        <v>200.752490947403</v>
      </c>
      <c r="J395" s="4" t="str">
        <f aca="false">IFERROR("PN"&amp;SMALL(PN_list,COUNTIF(PN_list,"&lt;"&amp;I395*bar_per_m)+1),"&gt; max PN")</f>
        <v>PN25</v>
      </c>
      <c r="K395" s="4" t="str">
        <f aca="false">IF(L395="no","end at tank",IF(H395&lt;0,"NEGATIVE",IF(H395&lt;p_min-0.005,"low","OK")))</f>
        <v>OK</v>
      </c>
      <c r="L395" s="4" t="s">
        <v>414</v>
      </c>
    </row>
    <row r="396" customFormat="false" ht="15" hidden="false" customHeight="false" outlineLevel="0" collapsed="false">
      <c r="A396" s="4" t="s">
        <v>40</v>
      </c>
      <c r="B396" s="4" t="s">
        <v>363</v>
      </c>
      <c r="C396" s="47" t="n">
        <v>18327.33</v>
      </c>
      <c r="D396" s="48" t="n">
        <v>1472.71</v>
      </c>
      <c r="E396" s="49" t="n">
        <f aca="false">D396-cover</f>
        <v>1471.51</v>
      </c>
      <c r="F396" s="50" t="n">
        <f aca="false">'Z4 WTP-Ikana'!S18-'Z4 WTP-Ikana'!P18*C396/'Z4 WTP-Ikana'!G18</f>
        <v>1671.08457653673</v>
      </c>
      <c r="G396" s="51" t="n">
        <f aca="false">'Z4 WTP-Ikana'!$B$8-E396</f>
        <v>196.49</v>
      </c>
      <c r="H396" s="52" t="n">
        <f aca="false">F396-E396</f>
        <v>199.574576536733</v>
      </c>
      <c r="I396" s="52" t="n">
        <f aca="false">MAX(H396,G396)</f>
        <v>199.574576536733</v>
      </c>
      <c r="J396" s="4" t="str">
        <f aca="false">IFERROR("PN"&amp;SMALL(PN_list,COUNTIF(PN_list,"&lt;"&amp;I396*bar_per_m)+1),"&gt; max PN")</f>
        <v>PN25</v>
      </c>
      <c r="K396" s="4" t="str">
        <f aca="false">IF(L396="no","end at tank",IF(H396&lt;0,"NEGATIVE",IF(H396&lt;p_min-0.005,"low","OK")))</f>
        <v>OK</v>
      </c>
      <c r="L396" s="4" t="s">
        <v>414</v>
      </c>
    </row>
    <row r="397" customFormat="false" ht="15" hidden="false" customHeight="false" outlineLevel="0" collapsed="false">
      <c r="A397" s="4" t="s">
        <v>40</v>
      </c>
      <c r="B397" s="4" t="s">
        <v>363</v>
      </c>
      <c r="C397" s="47" t="n">
        <v>18377.34</v>
      </c>
      <c r="D397" s="48" t="n">
        <v>1473.96</v>
      </c>
      <c r="E397" s="49" t="n">
        <f aca="false">D397-cover</f>
        <v>1472.76</v>
      </c>
      <c r="F397" s="50" t="n">
        <f aca="false">'Z4 WTP-Ikana'!S18-'Z4 WTP-Ikana'!P18*C397/'Z4 WTP-Ikana'!G18</f>
        <v>1671.00667770271</v>
      </c>
      <c r="G397" s="51" t="n">
        <f aca="false">'Z4 WTP-Ikana'!$B$8-E397</f>
        <v>195.24</v>
      </c>
      <c r="H397" s="52" t="n">
        <f aca="false">F397-E397</f>
        <v>198.246677702714</v>
      </c>
      <c r="I397" s="52" t="n">
        <f aca="false">MAX(H397,G397)</f>
        <v>198.246677702714</v>
      </c>
      <c r="J397" s="4" t="str">
        <f aca="false">IFERROR("PN"&amp;SMALL(PN_list,COUNTIF(PN_list,"&lt;"&amp;I397*bar_per_m)+1),"&gt; max PN")</f>
        <v>PN25</v>
      </c>
      <c r="K397" s="4" t="str">
        <f aca="false">IF(L397="no","end at tank",IF(H397&lt;0,"NEGATIVE",IF(H397&lt;p_min-0.005,"low","OK")))</f>
        <v>OK</v>
      </c>
      <c r="L397" s="4" t="s">
        <v>414</v>
      </c>
    </row>
    <row r="398" customFormat="false" ht="15" hidden="false" customHeight="false" outlineLevel="0" collapsed="false">
      <c r="A398" s="4" t="s">
        <v>40</v>
      </c>
      <c r="B398" s="4" t="s">
        <v>363</v>
      </c>
      <c r="C398" s="47" t="n">
        <v>18427.35</v>
      </c>
      <c r="D398" s="48" t="n">
        <v>1474.5</v>
      </c>
      <c r="E398" s="49" t="n">
        <f aca="false">D398-cover</f>
        <v>1473.3</v>
      </c>
      <c r="F398" s="50" t="n">
        <f aca="false">'Z4 WTP-Ikana'!S18-'Z4 WTP-Ikana'!P18*C398/'Z4 WTP-Ikana'!G18</f>
        <v>1670.9287788687</v>
      </c>
      <c r="G398" s="51" t="n">
        <f aca="false">'Z4 WTP-Ikana'!$B$8-E398</f>
        <v>194.7</v>
      </c>
      <c r="H398" s="52" t="n">
        <f aca="false">F398-E398</f>
        <v>197.628778868695</v>
      </c>
      <c r="I398" s="52" t="n">
        <f aca="false">MAX(H398,G398)</f>
        <v>197.628778868695</v>
      </c>
      <c r="J398" s="4" t="str">
        <f aca="false">IFERROR("PN"&amp;SMALL(PN_list,COUNTIF(PN_list,"&lt;"&amp;I398*bar_per_m)+1),"&gt; max PN")</f>
        <v>PN25</v>
      </c>
      <c r="K398" s="4" t="str">
        <f aca="false">IF(L398="no","end at tank",IF(H398&lt;0,"NEGATIVE",IF(H398&lt;p_min-0.005,"low","OK")))</f>
        <v>OK</v>
      </c>
      <c r="L398" s="4" t="s">
        <v>414</v>
      </c>
    </row>
    <row r="399" customFormat="false" ht="15" hidden="false" customHeight="false" outlineLevel="0" collapsed="false">
      <c r="A399" s="4" t="s">
        <v>40</v>
      </c>
      <c r="B399" s="4" t="s">
        <v>363</v>
      </c>
      <c r="C399" s="47" t="n">
        <v>18477.38</v>
      </c>
      <c r="D399" s="48" t="n">
        <v>1476.31</v>
      </c>
      <c r="E399" s="49" t="n">
        <f aca="false">D399-cover</f>
        <v>1475.11</v>
      </c>
      <c r="F399" s="50" t="n">
        <f aca="false">'Z4 WTP-Ikana'!S18-'Z4 WTP-Ikana'!P18*C399/'Z4 WTP-Ikana'!G18</f>
        <v>1670.85084888137</v>
      </c>
      <c r="G399" s="51" t="n">
        <f aca="false">'Z4 WTP-Ikana'!$B$8-E399</f>
        <v>192.89</v>
      </c>
      <c r="H399" s="52" t="n">
        <f aca="false">F399-E399</f>
        <v>195.740848881374</v>
      </c>
      <c r="I399" s="52" t="n">
        <f aca="false">MAX(H399,G399)</f>
        <v>195.740848881374</v>
      </c>
      <c r="J399" s="4" t="str">
        <f aca="false">IFERROR("PN"&amp;SMALL(PN_list,COUNTIF(PN_list,"&lt;"&amp;I399*bar_per_m)+1),"&gt; max PN")</f>
        <v>PN25</v>
      </c>
      <c r="K399" s="4" t="str">
        <f aca="false">IF(L399="no","end at tank",IF(H399&lt;0,"NEGATIVE",IF(H399&lt;p_min-0.005,"low","OK")))</f>
        <v>OK</v>
      </c>
      <c r="L399" s="4" t="s">
        <v>414</v>
      </c>
    </row>
    <row r="400" customFormat="false" ht="15" hidden="false" customHeight="false" outlineLevel="0" collapsed="false">
      <c r="A400" s="4" t="s">
        <v>40</v>
      </c>
      <c r="B400" s="4" t="s">
        <v>363</v>
      </c>
      <c r="C400" s="47" t="n">
        <v>18527.39</v>
      </c>
      <c r="D400" s="48" t="n">
        <v>1477.26</v>
      </c>
      <c r="E400" s="49" t="n">
        <f aca="false">D400-cover</f>
        <v>1476.06</v>
      </c>
      <c r="F400" s="50" t="n">
        <f aca="false">'Z4 WTP-Ikana'!S18-'Z4 WTP-Ikana'!P18*C400/'Z4 WTP-Ikana'!G18</f>
        <v>1670.77295004736</v>
      </c>
      <c r="G400" s="51" t="n">
        <f aca="false">'Z4 WTP-Ikana'!$B$8-E400</f>
        <v>191.94</v>
      </c>
      <c r="H400" s="52" t="n">
        <f aca="false">F400-E400</f>
        <v>194.712950047355</v>
      </c>
      <c r="I400" s="52" t="n">
        <f aca="false">MAX(H400,G400)</f>
        <v>194.712950047355</v>
      </c>
      <c r="J400" s="4" t="str">
        <f aca="false">IFERROR("PN"&amp;SMALL(PN_list,COUNTIF(PN_list,"&lt;"&amp;I400*bar_per_m)+1),"&gt; max PN")</f>
        <v>PN25</v>
      </c>
      <c r="K400" s="4" t="str">
        <f aca="false">IF(L400="no","end at tank",IF(H400&lt;0,"NEGATIVE",IF(H400&lt;p_min-0.005,"low","OK")))</f>
        <v>OK</v>
      </c>
      <c r="L400" s="4" t="s">
        <v>414</v>
      </c>
    </row>
    <row r="401" customFormat="false" ht="15" hidden="false" customHeight="false" outlineLevel="0" collapsed="false">
      <c r="A401" s="4" t="s">
        <v>40</v>
      </c>
      <c r="B401" s="4" t="s">
        <v>363</v>
      </c>
      <c r="C401" s="47" t="n">
        <v>18577.39</v>
      </c>
      <c r="D401" s="48" t="n">
        <v>1477.66</v>
      </c>
      <c r="E401" s="49" t="n">
        <f aca="false">D401-cover</f>
        <v>1476.46</v>
      </c>
      <c r="F401" s="50" t="n">
        <f aca="false">'Z4 WTP-Ikana'!S18-'Z4 WTP-Ikana'!P18*C401/'Z4 WTP-Ikana'!G18</f>
        <v>1670.69506678999</v>
      </c>
      <c r="G401" s="51" t="n">
        <f aca="false">'Z4 WTP-Ikana'!$B$8-E401</f>
        <v>191.54</v>
      </c>
      <c r="H401" s="52" t="n">
        <f aca="false">F401-E401</f>
        <v>194.235066789988</v>
      </c>
      <c r="I401" s="52" t="n">
        <f aca="false">MAX(H401,G401)</f>
        <v>194.235066789988</v>
      </c>
      <c r="J401" s="4" t="str">
        <f aca="false">IFERROR("PN"&amp;SMALL(PN_list,COUNTIF(PN_list,"&lt;"&amp;I401*bar_per_m)+1),"&gt; max PN")</f>
        <v>PN25</v>
      </c>
      <c r="K401" s="4" t="str">
        <f aca="false">IF(L401="no","end at tank",IF(H401&lt;0,"NEGATIVE",IF(H401&lt;p_min-0.005,"low","OK")))</f>
        <v>OK</v>
      </c>
      <c r="L401" s="4" t="s">
        <v>414</v>
      </c>
    </row>
    <row r="402" customFormat="false" ht="15" hidden="false" customHeight="false" outlineLevel="0" collapsed="false">
      <c r="A402" s="4" t="s">
        <v>40</v>
      </c>
      <c r="B402" s="4" t="s">
        <v>363</v>
      </c>
      <c r="C402" s="47" t="n">
        <v>18627.39</v>
      </c>
      <c r="D402" s="48" t="n">
        <v>1478.19</v>
      </c>
      <c r="E402" s="49" t="n">
        <f aca="false">D402-cover</f>
        <v>1476.99</v>
      </c>
      <c r="F402" s="50" t="n">
        <f aca="false">'Z4 WTP-Ikana'!S18-'Z4 WTP-Ikana'!P18*C402/'Z4 WTP-Ikana'!G18</f>
        <v>1670.61718353262</v>
      </c>
      <c r="G402" s="51" t="n">
        <f aca="false">'Z4 WTP-Ikana'!$B$8-E402</f>
        <v>191.01</v>
      </c>
      <c r="H402" s="52" t="n">
        <f aca="false">F402-E402</f>
        <v>193.627183532621</v>
      </c>
      <c r="I402" s="52" t="n">
        <f aca="false">MAX(H402,G402)</f>
        <v>193.627183532621</v>
      </c>
      <c r="J402" s="4" t="str">
        <f aca="false">IFERROR("PN"&amp;SMALL(PN_list,COUNTIF(PN_list,"&lt;"&amp;I402*bar_per_m)+1),"&gt; max PN")</f>
        <v>PN25</v>
      </c>
      <c r="K402" s="4" t="str">
        <f aca="false">IF(L402="no","end at tank",IF(H402&lt;0,"NEGATIVE",IF(H402&lt;p_min-0.005,"low","OK")))</f>
        <v>OK</v>
      </c>
      <c r="L402" s="4" t="s">
        <v>414</v>
      </c>
    </row>
    <row r="403" customFormat="false" ht="15" hidden="false" customHeight="false" outlineLevel="0" collapsed="false">
      <c r="A403" s="4" t="s">
        <v>40</v>
      </c>
      <c r="B403" s="4" t="s">
        <v>363</v>
      </c>
      <c r="C403" s="47" t="n">
        <v>18670.95</v>
      </c>
      <c r="D403" s="48" t="n">
        <v>1479.22</v>
      </c>
      <c r="E403" s="49" t="n">
        <f aca="false">D403-cover</f>
        <v>1478.02</v>
      </c>
      <c r="F403" s="50" t="n">
        <f aca="false">'Z4 WTP-Ikana'!S18-'Z4 WTP-Ikana'!P18*C403/'Z4 WTP-Ikana'!G18</f>
        <v>1670.5493316388</v>
      </c>
      <c r="G403" s="51" t="n">
        <f aca="false">'Z4 WTP-Ikana'!$B$8-E403</f>
        <v>189.98</v>
      </c>
      <c r="H403" s="52" t="n">
        <f aca="false">F403-E403</f>
        <v>192.529331638803</v>
      </c>
      <c r="I403" s="52" t="n">
        <f aca="false">MAX(H403,G403)</f>
        <v>192.529331638803</v>
      </c>
      <c r="J403" s="4" t="str">
        <f aca="false">IFERROR("PN"&amp;SMALL(PN_list,COUNTIF(PN_list,"&lt;"&amp;I403*bar_per_m)+1),"&gt; max PN")</f>
        <v>PN25</v>
      </c>
      <c r="K403" s="4" t="str">
        <f aca="false">IF(L403="no","end at tank",IF(H403&lt;0,"NEGATIVE",IF(H403&lt;p_min-0.005,"low","OK")))</f>
        <v>OK</v>
      </c>
      <c r="L403" s="4" t="s">
        <v>414</v>
      </c>
    </row>
    <row r="404" customFormat="false" ht="15" hidden="false" customHeight="false" outlineLevel="0" collapsed="false">
      <c r="A404" s="4" t="s">
        <v>40</v>
      </c>
      <c r="B404" s="4" t="s">
        <v>363</v>
      </c>
      <c r="C404" s="47" t="n">
        <v>18721.07</v>
      </c>
      <c r="D404" s="48" t="n">
        <v>1482.67</v>
      </c>
      <c r="E404" s="49" t="n">
        <f aca="false">D404-cover</f>
        <v>1481.47</v>
      </c>
      <c r="F404" s="50" t="n">
        <f aca="false">'Z4 WTP-Ikana'!S18-'Z4 WTP-Ikana'!P18*C404/'Z4 WTP-Ikana'!G18</f>
        <v>1670.47126146162</v>
      </c>
      <c r="G404" s="51" t="n">
        <f aca="false">'Z4 WTP-Ikana'!$B$8-E404</f>
        <v>186.53</v>
      </c>
      <c r="H404" s="52" t="n">
        <f aca="false">F404-E404</f>
        <v>189.001261461618</v>
      </c>
      <c r="I404" s="52" t="n">
        <f aca="false">MAX(H404,G404)</f>
        <v>189.001261461618</v>
      </c>
      <c r="J404" s="4" t="str">
        <f aca="false">IFERROR("PN"&amp;SMALL(PN_list,COUNTIF(PN_list,"&lt;"&amp;I404*bar_per_m)+1),"&gt; max PN")</f>
        <v>PN25</v>
      </c>
      <c r="K404" s="4" t="str">
        <f aca="false">IF(L404="no","end at tank",IF(H404&lt;0,"NEGATIVE",IF(H404&lt;p_min-0.005,"low","OK")))</f>
        <v>OK</v>
      </c>
      <c r="L404" s="4" t="s">
        <v>414</v>
      </c>
    </row>
    <row r="405" customFormat="false" ht="15" hidden="false" customHeight="false" outlineLevel="0" collapsed="false">
      <c r="A405" s="4" t="s">
        <v>40</v>
      </c>
      <c r="B405" s="4" t="s">
        <v>363</v>
      </c>
      <c r="C405" s="47" t="n">
        <v>18771.24</v>
      </c>
      <c r="D405" s="48" t="n">
        <v>1486.74</v>
      </c>
      <c r="E405" s="49" t="n">
        <f aca="false">D405-cover</f>
        <v>1485.54</v>
      </c>
      <c r="F405" s="50" t="n">
        <f aca="false">'Z4 WTP-Ikana'!S18-'Z4 WTP-Ikana'!P18*C405/'Z4 WTP-Ikana'!G18</f>
        <v>1670.39311340118</v>
      </c>
      <c r="G405" s="51" t="n">
        <f aca="false">'Z4 WTP-Ikana'!$B$8-E405</f>
        <v>182.46</v>
      </c>
      <c r="H405" s="52" t="n">
        <f aca="false">F405-E405</f>
        <v>184.853113401176</v>
      </c>
      <c r="I405" s="52" t="n">
        <f aca="false">MAX(H405,G405)</f>
        <v>184.853113401176</v>
      </c>
      <c r="J405" s="4" t="str">
        <f aca="false">IFERROR("PN"&amp;SMALL(PN_list,COUNTIF(PN_list,"&lt;"&amp;I405*bar_per_m)+1),"&gt; max PN")</f>
        <v>PN25</v>
      </c>
      <c r="K405" s="4" t="str">
        <f aca="false">IF(L405="no","end at tank",IF(H405&lt;0,"NEGATIVE",IF(H405&lt;p_min-0.005,"low","OK")))</f>
        <v>OK</v>
      </c>
      <c r="L405" s="4" t="s">
        <v>414</v>
      </c>
    </row>
    <row r="406" customFormat="false" ht="15" hidden="false" customHeight="false" outlineLevel="0" collapsed="false">
      <c r="A406" s="4" t="s">
        <v>40</v>
      </c>
      <c r="B406" s="4" t="s">
        <v>363</v>
      </c>
      <c r="C406" s="47" t="n">
        <v>18821.37</v>
      </c>
      <c r="D406" s="48" t="n">
        <v>1490.37</v>
      </c>
      <c r="E406" s="49" t="n">
        <f aca="false">D406-cover</f>
        <v>1489.17</v>
      </c>
      <c r="F406" s="50" t="n">
        <f aca="false">'Z4 WTP-Ikana'!S18-'Z4 WTP-Ikana'!P18*C406/'Z4 WTP-Ikana'!G18</f>
        <v>1670.31502764734</v>
      </c>
      <c r="G406" s="51" t="n">
        <f aca="false">'Z4 WTP-Ikana'!$B$8-E406</f>
        <v>178.83</v>
      </c>
      <c r="H406" s="52" t="n">
        <f aca="false">F406-E406</f>
        <v>181.14502764734</v>
      </c>
      <c r="I406" s="52" t="n">
        <f aca="false">MAX(H406,G406)</f>
        <v>181.14502764734</v>
      </c>
      <c r="J406" s="4" t="str">
        <f aca="false">IFERROR("PN"&amp;SMALL(PN_list,COUNTIF(PN_list,"&lt;"&amp;I406*bar_per_m)+1),"&gt; max PN")</f>
        <v>PN25</v>
      </c>
      <c r="K406" s="4" t="str">
        <f aca="false">IF(L406="no","end at tank",IF(H406&lt;0,"NEGATIVE",IF(H406&lt;p_min-0.005,"low","OK")))</f>
        <v>OK</v>
      </c>
      <c r="L406" s="4" t="s">
        <v>414</v>
      </c>
    </row>
    <row r="407" customFormat="false" ht="15" hidden="false" customHeight="false" outlineLevel="0" collapsed="false">
      <c r="A407" s="4" t="s">
        <v>40</v>
      </c>
      <c r="B407" s="4" t="s">
        <v>363</v>
      </c>
      <c r="C407" s="47" t="n">
        <v>18871.54</v>
      </c>
      <c r="D407" s="48" t="n">
        <v>1494.5</v>
      </c>
      <c r="E407" s="49" t="n">
        <f aca="false">D407-cover</f>
        <v>1493.3</v>
      </c>
      <c r="F407" s="50" t="n">
        <f aca="false">'Z4 WTP-Ikana'!S18-'Z4 WTP-Ikana'!P18*C407/'Z4 WTP-Ikana'!G18</f>
        <v>1670.2368795869</v>
      </c>
      <c r="G407" s="51" t="n">
        <f aca="false">'Z4 WTP-Ikana'!$B$8-E407</f>
        <v>174.7</v>
      </c>
      <c r="H407" s="52" t="n">
        <f aca="false">F407-E407</f>
        <v>176.936879586898</v>
      </c>
      <c r="I407" s="52" t="n">
        <f aca="false">MAX(H407,G407)</f>
        <v>176.936879586898</v>
      </c>
      <c r="J407" s="4" t="str">
        <f aca="false">IFERROR("PN"&amp;SMALL(PN_list,COUNTIF(PN_list,"&lt;"&amp;I407*bar_per_m)+1),"&gt; max PN")</f>
        <v>PN25</v>
      </c>
      <c r="K407" s="4" t="str">
        <f aca="false">IF(L407="no","end at tank",IF(H407&lt;0,"NEGATIVE",IF(H407&lt;p_min-0.005,"low","OK")))</f>
        <v>OK</v>
      </c>
      <c r="L407" s="4" t="s">
        <v>414</v>
      </c>
    </row>
    <row r="408" customFormat="false" ht="15" hidden="false" customHeight="false" outlineLevel="0" collapsed="false">
      <c r="A408" s="4" t="s">
        <v>40</v>
      </c>
      <c r="B408" s="4" t="s">
        <v>363</v>
      </c>
      <c r="C408" s="47" t="n">
        <v>18921.98</v>
      </c>
      <c r="D408" s="48" t="n">
        <v>1501.16</v>
      </c>
      <c r="E408" s="49" t="n">
        <f aca="false">D408-cover</f>
        <v>1499.96</v>
      </c>
      <c r="F408" s="50" t="n">
        <f aca="false">'Z4 WTP-Ikana'!S18-'Z4 WTP-Ikana'!P18*C408/'Z4 WTP-Ikana'!G18</f>
        <v>1670.15831095687</v>
      </c>
      <c r="G408" s="51" t="n">
        <f aca="false">'Z4 WTP-Ikana'!$B$8-E408</f>
        <v>168.04</v>
      </c>
      <c r="H408" s="52" t="n">
        <f aca="false">F408-E408</f>
        <v>170.198310956866</v>
      </c>
      <c r="I408" s="52" t="n">
        <f aca="false">MAX(H408,G408)</f>
        <v>170.198310956866</v>
      </c>
      <c r="J408" s="4" t="str">
        <f aca="false">IFERROR("PN"&amp;SMALL(PN_list,COUNTIF(PN_list,"&lt;"&amp;I408*bar_per_m)+1),"&gt; max PN")</f>
        <v>PN25</v>
      </c>
      <c r="K408" s="4" t="str">
        <f aca="false">IF(L408="no","end at tank",IF(H408&lt;0,"NEGATIVE",IF(H408&lt;p_min-0.005,"low","OK")))</f>
        <v>OK</v>
      </c>
      <c r="L408" s="4" t="s">
        <v>414</v>
      </c>
    </row>
    <row r="409" customFormat="false" ht="15" hidden="false" customHeight="false" outlineLevel="0" collapsed="false">
      <c r="A409" s="4" t="s">
        <v>40</v>
      </c>
      <c r="B409" s="4" t="s">
        <v>363</v>
      </c>
      <c r="C409" s="47" t="n">
        <v>18972.7</v>
      </c>
      <c r="D409" s="48" t="n">
        <v>1509.64</v>
      </c>
      <c r="E409" s="49" t="n">
        <f aca="false">D409-cover</f>
        <v>1508.44</v>
      </c>
      <c r="F409" s="50" t="n">
        <f aca="false">'Z4 WTP-Ikana'!S18-'Z4 WTP-Ikana'!P18*C409/'Z4 WTP-Ikana'!G18</f>
        <v>1670.07930618059</v>
      </c>
      <c r="G409" s="51" t="n">
        <f aca="false">'Z4 WTP-Ikana'!$B$8-E409</f>
        <v>159.56</v>
      </c>
      <c r="H409" s="52" t="n">
        <f aca="false">F409-E409</f>
        <v>161.639306180593</v>
      </c>
      <c r="I409" s="52" t="n">
        <f aca="false">MAX(H409,G409)</f>
        <v>161.639306180593</v>
      </c>
      <c r="J409" s="4" t="str">
        <f aca="false">IFERROR("PN"&amp;SMALL(PN_list,COUNTIF(PN_list,"&lt;"&amp;I409*bar_per_m)+1),"&gt; max PN")</f>
        <v>PN16</v>
      </c>
      <c r="K409" s="4" t="str">
        <f aca="false">IF(L409="no","end at tank",IF(H409&lt;0,"NEGATIVE",IF(H409&lt;p_min-0.005,"low","OK")))</f>
        <v>OK</v>
      </c>
      <c r="L409" s="4" t="s">
        <v>414</v>
      </c>
    </row>
    <row r="410" customFormat="false" ht="15" hidden="false" customHeight="false" outlineLevel="0" collapsed="false">
      <c r="A410" s="4" t="s">
        <v>40</v>
      </c>
      <c r="B410" s="4" t="s">
        <v>363</v>
      </c>
      <c r="C410" s="47" t="n">
        <v>19024.41</v>
      </c>
      <c r="D410" s="48" t="n">
        <v>1522.84</v>
      </c>
      <c r="E410" s="49" t="n">
        <f aca="false">D410-cover</f>
        <v>1521.64</v>
      </c>
      <c r="F410" s="50" t="n">
        <f aca="false">'Z4 WTP-Ikana'!S18-'Z4 WTP-Ikana'!P18*C410/'Z4 WTP-Ikana'!G18</f>
        <v>1669.99875931582</v>
      </c>
      <c r="G410" s="51" t="n">
        <f aca="false">'Z4 WTP-Ikana'!$B$8-E410</f>
        <v>146.36</v>
      </c>
      <c r="H410" s="52" t="n">
        <f aca="false">F410-E410</f>
        <v>148.358759315824</v>
      </c>
      <c r="I410" s="52" t="n">
        <f aca="false">MAX(H410,G410)</f>
        <v>148.358759315824</v>
      </c>
      <c r="J410" s="4" t="str">
        <f aca="false">IFERROR("PN"&amp;SMALL(PN_list,COUNTIF(PN_list,"&lt;"&amp;I410*bar_per_m)+1),"&gt; max PN")</f>
        <v>PN16</v>
      </c>
      <c r="K410" s="4" t="str">
        <f aca="false">IF(L410="no","end at tank",IF(H410&lt;0,"NEGATIVE",IF(H410&lt;p_min-0.005,"low","OK")))</f>
        <v>OK</v>
      </c>
      <c r="L410" s="4" t="s">
        <v>414</v>
      </c>
    </row>
    <row r="411" customFormat="false" ht="15" hidden="false" customHeight="false" outlineLevel="0" collapsed="false">
      <c r="A411" s="4" t="s">
        <v>40</v>
      </c>
      <c r="B411" s="4" t="s">
        <v>363</v>
      </c>
      <c r="C411" s="47" t="n">
        <v>19408.3</v>
      </c>
      <c r="D411" s="48" t="n">
        <v>1645.96</v>
      </c>
      <c r="E411" s="49" t="n">
        <f aca="false">D411-cover</f>
        <v>1644.76</v>
      </c>
      <c r="F411" s="50" t="n">
        <f aca="false">'Z4 WTP-Ikana'!S18-'Z4 WTP-Ikana'!P18*C411/'Z4 WTP-Ikana'!G18</f>
        <v>1669.40078724241</v>
      </c>
      <c r="G411" s="51" t="n">
        <f aca="false">'Z4 WTP-Ikana'!$B$8-E411</f>
        <v>23.24</v>
      </c>
      <c r="H411" s="52" t="n">
        <f aca="false">F411-E411</f>
        <v>24.6407872424109</v>
      </c>
      <c r="I411" s="52" t="n">
        <f aca="false">MAX(H411,G411)</f>
        <v>24.6407872424109</v>
      </c>
      <c r="J411" s="4" t="str">
        <f aca="false">IFERROR("PN"&amp;SMALL(PN_list,COUNTIF(PN_list,"&lt;"&amp;I411*bar_per_m)+1),"&gt; max PN")</f>
        <v>PN10</v>
      </c>
      <c r="K411" s="4" t="str">
        <f aca="false">IF(L411="no","end at tank",IF(H411&lt;0,"NEGATIVE",IF(H411&lt;p_min-0.005,"low","OK")))</f>
        <v>OK</v>
      </c>
      <c r="L411" s="4" t="s">
        <v>414</v>
      </c>
    </row>
    <row r="412" customFormat="false" ht="15" hidden="false" customHeight="false" outlineLevel="0" collapsed="false">
      <c r="A412" s="4" t="s">
        <v>40</v>
      </c>
      <c r="B412" s="4" t="s">
        <v>363</v>
      </c>
      <c r="C412" s="47" t="n">
        <v>19428.3</v>
      </c>
      <c r="D412" s="48" t="n">
        <v>1646.42</v>
      </c>
      <c r="E412" s="49" t="n">
        <f aca="false">D412-cover</f>
        <v>1645.22</v>
      </c>
      <c r="F412" s="50" t="n">
        <f aca="false">'Z4 WTP-Ikana'!S18-'Z4 WTP-Ikana'!P18*C412/'Z4 WTP-Ikana'!G18</f>
        <v>1669.36963393946</v>
      </c>
      <c r="G412" s="51" t="n">
        <f aca="false">'Z4 WTP-Ikana'!$B$8-E412</f>
        <v>22.78</v>
      </c>
      <c r="H412" s="52" t="n">
        <f aca="false">F412-E412</f>
        <v>24.1496339394641</v>
      </c>
      <c r="I412" s="52" t="n">
        <f aca="false">MAX(H412,G412)</f>
        <v>24.1496339394641</v>
      </c>
      <c r="J412" s="4" t="str">
        <f aca="false">IFERROR("PN"&amp;SMALL(PN_list,COUNTIF(PN_list,"&lt;"&amp;I412*bar_per_m)+1),"&gt; max PN")</f>
        <v>PN10</v>
      </c>
      <c r="K412" s="4" t="str">
        <f aca="false">IF(L412="no","end at tank",IF(H412&lt;0,"NEGATIVE",IF(H412&lt;p_min-0.005,"low","OK")))</f>
        <v>OK</v>
      </c>
      <c r="L412" s="4" t="s">
        <v>414</v>
      </c>
    </row>
    <row r="413" customFormat="false" ht="15" hidden="false" customHeight="false" outlineLevel="0" collapsed="false">
      <c r="A413" s="4" t="s">
        <v>40</v>
      </c>
      <c r="B413" s="4" t="s">
        <v>363</v>
      </c>
      <c r="C413" s="47" t="n">
        <v>19448.42</v>
      </c>
      <c r="D413" s="48" t="n">
        <v>1648.63</v>
      </c>
      <c r="E413" s="49" t="n">
        <f aca="false">D413-cover</f>
        <v>1647.43</v>
      </c>
      <c r="F413" s="50" t="n">
        <f aca="false">'Z4 WTP-Ikana'!S18-'Z4 WTP-Ikana'!P18*C413/'Z4 WTP-Ikana'!G18</f>
        <v>1669.3382937167</v>
      </c>
      <c r="G413" s="51" t="n">
        <f aca="false">'Z4 WTP-Ikana'!$B$8-E413</f>
        <v>20.5699999999999</v>
      </c>
      <c r="H413" s="52" t="n">
        <f aca="false">F413-E413</f>
        <v>21.9082937166995</v>
      </c>
      <c r="I413" s="52" t="n">
        <f aca="false">MAX(H413,G413)</f>
        <v>21.9082937166995</v>
      </c>
      <c r="J413" s="4" t="str">
        <f aca="false">IFERROR("PN"&amp;SMALL(PN_list,COUNTIF(PN_list,"&lt;"&amp;I413*bar_per_m)+1),"&gt; max PN")</f>
        <v>PN10</v>
      </c>
      <c r="K413" s="4" t="str">
        <f aca="false">IF(L413="no","end at tank",IF(H413&lt;0,"NEGATIVE",IF(H413&lt;p_min-0.005,"low","OK")))</f>
        <v>OK</v>
      </c>
      <c r="L413" s="4" t="s">
        <v>414</v>
      </c>
    </row>
    <row r="414" customFormat="false" ht="15" hidden="false" customHeight="false" outlineLevel="0" collapsed="false">
      <c r="A414" s="4" t="s">
        <v>40</v>
      </c>
      <c r="B414" s="4" t="s">
        <v>363</v>
      </c>
      <c r="C414" s="47" t="n">
        <v>19468.45</v>
      </c>
      <c r="D414" s="48" t="n">
        <v>1649.59</v>
      </c>
      <c r="E414" s="49" t="n">
        <f aca="false">D414-cover</f>
        <v>1648.39</v>
      </c>
      <c r="F414" s="50" t="n">
        <f aca="false">'Z4 WTP-Ikana'!S18-'Z4 WTP-Ikana'!P18*C414/'Z4 WTP-Ikana'!G18</f>
        <v>1669.3070936838</v>
      </c>
      <c r="G414" s="51" t="n">
        <f aca="false">'Z4 WTP-Ikana'!$B$8-E414</f>
        <v>19.6100000000001</v>
      </c>
      <c r="H414" s="52" t="n">
        <f aca="false">F414-E414</f>
        <v>20.9170936837984</v>
      </c>
      <c r="I414" s="52" t="n">
        <f aca="false">MAX(H414,G414)</f>
        <v>20.9170936837984</v>
      </c>
      <c r="J414" s="4" t="str">
        <f aca="false">IFERROR("PN"&amp;SMALL(PN_list,COUNTIF(PN_list,"&lt;"&amp;I414*bar_per_m)+1),"&gt; max PN")</f>
        <v>PN10</v>
      </c>
      <c r="K414" s="4" t="str">
        <f aca="false">IF(L414="no","end at tank",IF(H414&lt;0,"NEGATIVE",IF(H414&lt;p_min-0.005,"low","OK")))</f>
        <v>OK</v>
      </c>
      <c r="L414" s="4" t="s">
        <v>414</v>
      </c>
    </row>
    <row r="415" customFormat="false" ht="15" hidden="false" customHeight="false" outlineLevel="0" collapsed="false">
      <c r="A415" s="4" t="s">
        <v>40</v>
      </c>
      <c r="B415" s="4" t="s">
        <v>363</v>
      </c>
      <c r="C415" s="47" t="n">
        <v>19480.19</v>
      </c>
      <c r="D415" s="48" t="n">
        <v>1649.7</v>
      </c>
      <c r="E415" s="49" t="n">
        <f aca="false">D415-cover</f>
        <v>1648.5</v>
      </c>
      <c r="F415" s="50" t="n">
        <f aca="false">'Z4 WTP-Ikana'!S18-'Z4 WTP-Ikana'!P18*C415/'Z4 WTP-Ikana'!G18</f>
        <v>1669.28880669497</v>
      </c>
      <c r="G415" s="51" t="n">
        <f aca="false">'Z4 WTP-Ikana'!$B$8-E415</f>
        <v>19.5</v>
      </c>
      <c r="H415" s="52" t="n">
        <f aca="false">F415-E415</f>
        <v>20.7888066949686</v>
      </c>
      <c r="I415" s="52" t="n">
        <f aca="false">MAX(H415,G415)</f>
        <v>20.7888066949686</v>
      </c>
      <c r="J415" s="4" t="str">
        <f aca="false">IFERROR("PN"&amp;SMALL(PN_list,COUNTIF(PN_list,"&lt;"&amp;I415*bar_per_m)+1),"&gt; max PN")</f>
        <v>PN10</v>
      </c>
      <c r="K415" s="4" t="str">
        <f aca="false">IF(L415="no","end at tank",IF(H415&lt;0,"NEGATIVE",IF(H415&lt;p_min-0.005,"low","OK")))</f>
        <v>OK</v>
      </c>
      <c r="L415" s="4" t="s">
        <v>414</v>
      </c>
    </row>
    <row r="416" customFormat="false" ht="15" hidden="false" customHeight="false" outlineLevel="0" collapsed="false">
      <c r="A416" s="4" t="s">
        <v>40</v>
      </c>
      <c r="B416" s="4" t="s">
        <v>363</v>
      </c>
      <c r="C416" s="47" t="n">
        <v>19512.89</v>
      </c>
      <c r="D416" s="48" t="n">
        <v>1646.52</v>
      </c>
      <c r="E416" s="49" t="n">
        <f aca="false">D416-cover</f>
        <v>1645.32</v>
      </c>
      <c r="F416" s="50" t="n">
        <f aca="false">'Z4 WTP-Ikana'!S18-'Z4 WTP-Ikana'!P18*C416/'Z4 WTP-Ikana'!G18</f>
        <v>1669.23787104465</v>
      </c>
      <c r="G416" s="51" t="n">
        <f aca="false">'Z4 WTP-Ikana'!$B$8-E416</f>
        <v>22.6800000000001</v>
      </c>
      <c r="H416" s="52" t="n">
        <f aca="false">F416-E416</f>
        <v>23.9178710446506</v>
      </c>
      <c r="I416" s="52" t="n">
        <f aca="false">MAX(H416,G416)</f>
        <v>23.9178710446506</v>
      </c>
      <c r="J416" s="4" t="str">
        <f aca="false">IFERROR("PN"&amp;SMALL(PN_list,COUNTIF(PN_list,"&lt;"&amp;I416*bar_per_m)+1),"&gt; max PN")</f>
        <v>PN10</v>
      </c>
      <c r="K416" s="4" t="str">
        <f aca="false">IF(L416="no","end at tank",IF(H416&lt;0,"NEGATIVE",IF(H416&lt;p_min-0.005,"low","OK")))</f>
        <v>OK</v>
      </c>
      <c r="L416" s="4" t="s">
        <v>414</v>
      </c>
    </row>
    <row r="417" customFormat="false" ht="15" hidden="false" customHeight="false" outlineLevel="0" collapsed="false">
      <c r="A417" s="4" t="s">
        <v>40</v>
      </c>
      <c r="B417" s="4" t="s">
        <v>363</v>
      </c>
      <c r="C417" s="47" t="n">
        <v>19542.37</v>
      </c>
      <c r="D417" s="48" t="n">
        <v>1649.65</v>
      </c>
      <c r="E417" s="49" t="n">
        <f aca="false">D417-cover</f>
        <v>1648.45</v>
      </c>
      <c r="F417" s="50" t="n">
        <f aca="false">'Z4 WTP-Ikana'!S18-'Z4 WTP-Ikana'!P18*C417/'Z4 WTP-Ikana'!G18</f>
        <v>1669.19195107611</v>
      </c>
      <c r="G417" s="51" t="n">
        <f aca="false">'Z4 WTP-Ikana'!$B$8-E417</f>
        <v>19.55</v>
      </c>
      <c r="H417" s="52" t="n">
        <f aca="false">F417-E417</f>
        <v>20.7419510761067</v>
      </c>
      <c r="I417" s="52" t="n">
        <f aca="false">MAX(H417,G417)</f>
        <v>20.7419510761067</v>
      </c>
      <c r="J417" s="4" t="str">
        <f aca="false">IFERROR("PN"&amp;SMALL(PN_list,COUNTIF(PN_list,"&lt;"&amp;I417*bar_per_m)+1),"&gt; max PN")</f>
        <v>PN10</v>
      </c>
      <c r="K417" s="4" t="str">
        <f aca="false">IF(L417="no","end at tank",IF(H417&lt;0,"NEGATIVE",IF(H417&lt;p_min-0.005,"low","OK")))</f>
        <v>OK</v>
      </c>
      <c r="L417" s="4" t="s">
        <v>414</v>
      </c>
    </row>
    <row r="418" customFormat="false" ht="15" hidden="false" customHeight="false" outlineLevel="0" collapsed="false">
      <c r="A418" s="4" t="s">
        <v>40</v>
      </c>
      <c r="B418" s="4" t="s">
        <v>363</v>
      </c>
      <c r="C418" s="47" t="n">
        <v>19589.57</v>
      </c>
      <c r="D418" s="48" t="n">
        <v>1655.69</v>
      </c>
      <c r="E418" s="49" t="n">
        <f aca="false">D418-cover</f>
        <v>1654.49</v>
      </c>
      <c r="F418" s="50" t="n">
        <f aca="false">'Z4 WTP-Ikana'!S18-'Z4 WTP-Ikana'!P18*C418/'Z4 WTP-Ikana'!G18</f>
        <v>1669.11842928115</v>
      </c>
      <c r="G418" s="51" t="n">
        <f aca="false">'Z4 WTP-Ikana'!$B$8-E418</f>
        <v>13.51</v>
      </c>
      <c r="H418" s="52" t="n">
        <f aca="false">F418-E418</f>
        <v>14.6284292811524</v>
      </c>
      <c r="I418" s="52" t="n">
        <f aca="false">MAX(H418,G418)</f>
        <v>14.6284292811524</v>
      </c>
      <c r="J418" s="4" t="str">
        <f aca="false">IFERROR("PN"&amp;SMALL(PN_list,COUNTIF(PN_list,"&lt;"&amp;I418*bar_per_m)+1),"&gt; max PN")</f>
        <v>PN10</v>
      </c>
      <c r="K418" s="4" t="str">
        <f aca="false">IF(L418="no","end at tank",IF(H418&lt;0,"NEGATIVE",IF(H418&lt;p_min-0.005,"low","OK")))</f>
        <v>OK</v>
      </c>
      <c r="L418" s="4" t="s">
        <v>414</v>
      </c>
    </row>
    <row r="419" customFormat="false" ht="15" hidden="false" customHeight="false" outlineLevel="0" collapsed="false">
      <c r="A419" s="4" t="s">
        <v>40</v>
      </c>
      <c r="B419" s="4" t="s">
        <v>363</v>
      </c>
      <c r="C419" s="47" t="n">
        <v>19645.61</v>
      </c>
      <c r="D419" s="48" t="n">
        <v>1661.36</v>
      </c>
      <c r="E419" s="49" t="n">
        <f aca="false">D419-cover</f>
        <v>1660.16</v>
      </c>
      <c r="F419" s="50" t="n">
        <f aca="false">'Z4 WTP-Ikana'!S18-'Z4 WTP-Ikana'!P18*C419/'Z4 WTP-Ikana'!G18</f>
        <v>1669.0311377263</v>
      </c>
      <c r="G419" s="51" t="n">
        <f aca="false">'Z4 WTP-Ikana'!$B$8-E419</f>
        <v>7.84000000000015</v>
      </c>
      <c r="H419" s="52" t="n">
        <f aca="false">F419-E419</f>
        <v>8.8711377262955</v>
      </c>
      <c r="I419" s="52" t="n">
        <f aca="false">MAX(H419,G419)</f>
        <v>8.8711377262955</v>
      </c>
      <c r="J419" s="4" t="str">
        <f aca="false">IFERROR("PN"&amp;SMALL(PN_list,COUNTIF(PN_list,"&lt;"&amp;I419*bar_per_m)+1),"&gt; max PN")</f>
        <v>PN10</v>
      </c>
      <c r="K419" s="4" t="str">
        <f aca="false">IF(L419="no","end at tank",IF(H419&lt;0,"NEGATIVE",IF(H419&lt;p_min-0.005,"low","OK")))</f>
        <v>OK</v>
      </c>
      <c r="L419" s="4" t="s">
        <v>414</v>
      </c>
    </row>
    <row r="420" customFormat="false" ht="15" hidden="false" customHeight="false" outlineLevel="0" collapsed="false">
      <c r="A420" s="4" t="s">
        <v>40</v>
      </c>
      <c r="B420" s="4" t="s">
        <v>363</v>
      </c>
      <c r="C420" s="47" t="n">
        <v>19665.64</v>
      </c>
      <c r="D420" s="48" t="n">
        <v>1662.58</v>
      </c>
      <c r="E420" s="49" t="n">
        <f aca="false">D420-cover</f>
        <v>1661.38</v>
      </c>
      <c r="F420" s="50" t="n">
        <f aca="false">'Z4 WTP-Ikana'!S18-'Z4 WTP-Ikana'!P18*C420/'Z4 WTP-Ikana'!G18</f>
        <v>1668.99993769339</v>
      </c>
      <c r="G420" s="51" t="n">
        <f aca="false">'Z4 WTP-Ikana'!$B$8-E420</f>
        <v>6.62000000000012</v>
      </c>
      <c r="H420" s="52" t="n">
        <f aca="false">F420-E420</f>
        <v>7.61993769339415</v>
      </c>
      <c r="I420" s="52" t="n">
        <f aca="false">MAX(H420,G420)</f>
        <v>7.61993769339415</v>
      </c>
      <c r="J420" s="4" t="str">
        <f aca="false">IFERROR("PN"&amp;SMALL(PN_list,COUNTIF(PN_list,"&lt;"&amp;I420*bar_per_m)+1),"&gt; max PN")</f>
        <v>PN10</v>
      </c>
      <c r="K420" s="4" t="str">
        <f aca="false">IF(L420="no","end at tank",IF(H420&lt;0,"NEGATIVE",IF(H420&lt;p_min-0.005,"low","OK")))</f>
        <v>end at tank</v>
      </c>
      <c r="L420" s="4" t="s">
        <v>413</v>
      </c>
    </row>
    <row r="421" customFormat="false" ht="15" hidden="false" customHeight="false" outlineLevel="0" collapsed="false">
      <c r="A421" s="4" t="s">
        <v>42</v>
      </c>
      <c r="B421" s="4" t="s">
        <v>368</v>
      </c>
      <c r="C421" s="47" t="n">
        <v>0</v>
      </c>
      <c r="D421" s="48" t="n">
        <v>1662.58</v>
      </c>
      <c r="E421" s="49" t="n">
        <f aca="false">D421-cover</f>
        <v>1661.38</v>
      </c>
      <c r="F421" s="50" t="n">
        <f aca="false">'Z5 Ikana-Nkangamo'!S12-'Z5 Ikana-Nkangamo'!P12*C421/'Z5 Ikana-Nkangamo'!G12</f>
        <v>1663.3</v>
      </c>
      <c r="G421" s="51" t="n">
        <f aca="false">'Z5 Ikana-Nkangamo'!$B$8-E421</f>
        <v>6.62000000000012</v>
      </c>
      <c r="H421" s="52" t="n">
        <f aca="false">F421-E421</f>
        <v>1.92000000000007</v>
      </c>
      <c r="I421" s="52" t="n">
        <f aca="false">MAX(H421,G421)</f>
        <v>6.62000000000012</v>
      </c>
      <c r="J421" s="4" t="str">
        <f aca="false">IFERROR("PN"&amp;SMALL(PN_list,COUNTIF(PN_list,"&lt;"&amp;I421*bar_per_m)+1),"&gt; max PN")</f>
        <v>PN10</v>
      </c>
      <c r="K421" s="4" t="str">
        <f aca="false">IF(L421="no","end at tank",IF(H421&lt;0,"NEGATIVE",IF(H421&lt;p_min-0.005,"low","OK")))</f>
        <v>end at tank</v>
      </c>
      <c r="L421" s="4" t="s">
        <v>413</v>
      </c>
    </row>
    <row r="422" customFormat="false" ht="15" hidden="false" customHeight="false" outlineLevel="0" collapsed="false">
      <c r="A422" s="4" t="s">
        <v>42</v>
      </c>
      <c r="B422" s="4" t="s">
        <v>368</v>
      </c>
      <c r="C422" s="47" t="n">
        <v>170.33</v>
      </c>
      <c r="D422" s="48" t="n">
        <v>1579.17</v>
      </c>
      <c r="E422" s="49" t="n">
        <f aca="false">D422-cover</f>
        <v>1577.97</v>
      </c>
      <c r="F422" s="50" t="n">
        <f aca="false">'Z5 Ikana-Nkangamo'!S12-'Z5 Ikana-Nkangamo'!P12*C422/'Z5 Ikana-Nkangamo'!G12</f>
        <v>1663.07417041609</v>
      </c>
      <c r="G422" s="51" t="n">
        <f aca="false">'Z5 Ikana-Nkangamo'!$B$8-E422</f>
        <v>90.03</v>
      </c>
      <c r="H422" s="52" t="n">
        <f aca="false">F422-E422</f>
        <v>85.1041704160862</v>
      </c>
      <c r="I422" s="52" t="n">
        <f aca="false">MAX(H422,G422)</f>
        <v>90.03</v>
      </c>
      <c r="J422" s="4" t="str">
        <f aca="false">IFERROR("PN"&amp;SMALL(PN_list,COUNTIF(PN_list,"&lt;"&amp;I422*bar_per_m)+1),"&gt; max PN")</f>
        <v>PN10</v>
      </c>
      <c r="K422" s="4" t="str">
        <f aca="false">IF(L422="no","end at tank",IF(H422&lt;0,"NEGATIVE",IF(H422&lt;p_min-0.005,"low","OK")))</f>
        <v>OK</v>
      </c>
      <c r="L422" s="4" t="s">
        <v>414</v>
      </c>
    </row>
    <row r="423" customFormat="false" ht="15" hidden="false" customHeight="false" outlineLevel="0" collapsed="false">
      <c r="A423" s="4" t="s">
        <v>42</v>
      </c>
      <c r="B423" s="4" t="s">
        <v>368</v>
      </c>
      <c r="C423" s="47" t="n">
        <v>225.08</v>
      </c>
      <c r="D423" s="48" t="n">
        <v>1555.04</v>
      </c>
      <c r="E423" s="49" t="n">
        <f aca="false">D423-cover</f>
        <v>1553.84</v>
      </c>
      <c r="F423" s="50" t="n">
        <f aca="false">'Z5 Ikana-Nkangamo'!S12-'Z5 Ikana-Nkangamo'!P12*C423/'Z5 Ikana-Nkangamo'!G12</f>
        <v>1663.001580915</v>
      </c>
      <c r="G423" s="51" t="n">
        <f aca="false">'Z5 Ikana-Nkangamo'!$B$8-E423</f>
        <v>114.16</v>
      </c>
      <c r="H423" s="52" t="n">
        <f aca="false">F423-E423</f>
        <v>109.161580915004</v>
      </c>
      <c r="I423" s="52" t="n">
        <f aca="false">MAX(H423,G423)</f>
        <v>114.16</v>
      </c>
      <c r="J423" s="4" t="str">
        <f aca="false">IFERROR("PN"&amp;SMALL(PN_list,COUNTIF(PN_list,"&lt;"&amp;I423*bar_per_m)+1),"&gt; max PN")</f>
        <v>PN16</v>
      </c>
      <c r="K423" s="4" t="str">
        <f aca="false">IF(L423="no","end at tank",IF(H423&lt;0,"NEGATIVE",IF(H423&lt;p_min-0.005,"low","OK")))</f>
        <v>OK</v>
      </c>
      <c r="L423" s="4" t="s">
        <v>414</v>
      </c>
    </row>
    <row r="424" customFormat="false" ht="15" hidden="false" customHeight="false" outlineLevel="0" collapsed="false">
      <c r="A424" s="4" t="s">
        <v>42</v>
      </c>
      <c r="B424" s="4" t="s">
        <v>368</v>
      </c>
      <c r="C424" s="47" t="n">
        <v>278</v>
      </c>
      <c r="D424" s="48" t="n">
        <v>1537.7</v>
      </c>
      <c r="E424" s="49" t="n">
        <f aca="false">D424-cover</f>
        <v>1536.5</v>
      </c>
      <c r="F424" s="50" t="n">
        <f aca="false">'Z5 Ikana-Nkangamo'!S12-'Z5 Ikana-Nkangamo'!P12*C424/'Z5 Ikana-Nkangamo'!G12</f>
        <v>1662.93141769314</v>
      </c>
      <c r="G424" s="51" t="n">
        <f aca="false">'Z5 Ikana-Nkangamo'!$B$8-E424</f>
        <v>131.5</v>
      </c>
      <c r="H424" s="52" t="n">
        <f aca="false">F424-E424</f>
        <v>126.431417693137</v>
      </c>
      <c r="I424" s="52" t="n">
        <f aca="false">MAX(H424,G424)</f>
        <v>131.5</v>
      </c>
      <c r="J424" s="4" t="str">
        <f aca="false">IFERROR("PN"&amp;SMALL(PN_list,COUNTIF(PN_list,"&lt;"&amp;I424*bar_per_m)+1),"&gt; max PN")</f>
        <v>PN16</v>
      </c>
      <c r="K424" s="4" t="str">
        <f aca="false">IF(L424="no","end at tank",IF(H424&lt;0,"NEGATIVE",IF(H424&lt;p_min-0.005,"low","OK")))</f>
        <v>OK</v>
      </c>
      <c r="L424" s="4" t="s">
        <v>414</v>
      </c>
    </row>
    <row r="425" customFormat="false" ht="15" hidden="false" customHeight="false" outlineLevel="0" collapsed="false">
      <c r="A425" s="4" t="s">
        <v>42</v>
      </c>
      <c r="B425" s="4" t="s">
        <v>368</v>
      </c>
      <c r="C425" s="47" t="n">
        <v>328.96</v>
      </c>
      <c r="D425" s="48" t="n">
        <v>1522.84</v>
      </c>
      <c r="E425" s="49" t="n">
        <f aca="false">D425-cover</f>
        <v>1521.64</v>
      </c>
      <c r="F425" s="50" t="n">
        <f aca="false">'Z5 Ikana-Nkangamo'!S12-'Z5 Ikana-Nkangamo'!P12*C425/'Z5 Ikana-Nkangamo'!G12</f>
        <v>1662.86385310912</v>
      </c>
      <c r="G425" s="51" t="n">
        <f aca="false">'Z5 Ikana-Nkangamo'!$B$8-E425</f>
        <v>146.36</v>
      </c>
      <c r="H425" s="52" t="n">
        <f aca="false">F425-E425</f>
        <v>141.223853109116</v>
      </c>
      <c r="I425" s="52" t="n">
        <f aca="false">MAX(H425,G425)</f>
        <v>146.36</v>
      </c>
      <c r="J425" s="4" t="str">
        <f aca="false">IFERROR("PN"&amp;SMALL(PN_list,COUNTIF(PN_list,"&lt;"&amp;I425*bar_per_m)+1),"&gt; max PN")</f>
        <v>PN16</v>
      </c>
      <c r="K425" s="4" t="str">
        <f aca="false">IF(L425="no","end at tank",IF(H425&lt;0,"NEGATIVE",IF(H425&lt;p_min-0.005,"low","OK")))</f>
        <v>OK</v>
      </c>
      <c r="L425" s="4" t="s">
        <v>414</v>
      </c>
    </row>
    <row r="426" customFormat="false" ht="15" hidden="false" customHeight="false" outlineLevel="0" collapsed="false">
      <c r="A426" s="4" t="s">
        <v>42</v>
      </c>
      <c r="B426" s="4" t="s">
        <v>368</v>
      </c>
      <c r="C426" s="47" t="n">
        <v>380.56</v>
      </c>
      <c r="D426" s="48" t="n">
        <v>1510.1</v>
      </c>
      <c r="E426" s="49" t="n">
        <f aca="false">D426-cover</f>
        <v>1508.9</v>
      </c>
      <c r="F426" s="50" t="n">
        <f aca="false">'Z5 Ikana-Nkangamo'!S12-'Z5 Ikana-Nkangamo'!P12*C426/'Z5 Ikana-Nkangamo'!G12</f>
        <v>1662.79543999029</v>
      </c>
      <c r="G426" s="51" t="n">
        <f aca="false">'Z5 Ikana-Nkangamo'!$B$8-E426</f>
        <v>159.1</v>
      </c>
      <c r="H426" s="52" t="n">
        <f aca="false">F426-E426</f>
        <v>153.895439990288</v>
      </c>
      <c r="I426" s="52" t="n">
        <f aca="false">MAX(H426,G426)</f>
        <v>159.1</v>
      </c>
      <c r="J426" s="4" t="str">
        <f aca="false">IFERROR("PN"&amp;SMALL(PN_list,COUNTIF(PN_list,"&lt;"&amp;I426*bar_per_m)+1),"&gt; max PN")</f>
        <v>PN16</v>
      </c>
      <c r="K426" s="4" t="str">
        <f aca="false">IF(L426="no","end at tank",IF(H426&lt;0,"NEGATIVE",IF(H426&lt;p_min-0.005,"low","OK")))</f>
        <v>OK</v>
      </c>
      <c r="L426" s="4" t="s">
        <v>414</v>
      </c>
    </row>
    <row r="427" customFormat="false" ht="15" hidden="false" customHeight="false" outlineLevel="0" collapsed="false">
      <c r="A427" s="4" t="s">
        <v>42</v>
      </c>
      <c r="B427" s="4" t="s">
        <v>368</v>
      </c>
      <c r="C427" s="47" t="n">
        <v>431.14</v>
      </c>
      <c r="D427" s="48" t="n">
        <v>1502.46</v>
      </c>
      <c r="E427" s="49" t="n">
        <f aca="false">D427-cover</f>
        <v>1501.26</v>
      </c>
      <c r="F427" s="50" t="n">
        <f aca="false">'Z5 Ikana-Nkangamo'!S12-'Z5 Ikana-Nkangamo'!P12*C427/'Z5 Ikana-Nkangamo'!G12</f>
        <v>1662.72837922381</v>
      </c>
      <c r="G427" s="51" t="n">
        <f aca="false">'Z5 Ikana-Nkangamo'!$B$8-E427</f>
        <v>166.74</v>
      </c>
      <c r="H427" s="52" t="n">
        <f aca="false">F427-E427</f>
        <v>161.468379223809</v>
      </c>
      <c r="I427" s="52" t="n">
        <f aca="false">MAX(H427,G427)</f>
        <v>166.74</v>
      </c>
      <c r="J427" s="4" t="str">
        <f aca="false">IFERROR("PN"&amp;SMALL(PN_list,COUNTIF(PN_list,"&lt;"&amp;I427*bar_per_m)+1),"&gt; max PN")</f>
        <v>PN25</v>
      </c>
      <c r="K427" s="4" t="str">
        <f aca="false">IF(L427="no","end at tank",IF(H427&lt;0,"NEGATIVE",IF(H427&lt;p_min-0.005,"low","OK")))</f>
        <v>OK</v>
      </c>
      <c r="L427" s="4" t="s">
        <v>414</v>
      </c>
    </row>
    <row r="428" customFormat="false" ht="15" hidden="false" customHeight="false" outlineLevel="0" collapsed="false">
      <c r="A428" s="4" t="s">
        <v>42</v>
      </c>
      <c r="B428" s="4" t="s">
        <v>368</v>
      </c>
      <c r="C428" s="47" t="n">
        <v>481.46</v>
      </c>
      <c r="D428" s="48" t="n">
        <v>1496.78</v>
      </c>
      <c r="E428" s="49" t="n">
        <f aca="false">D428-cover</f>
        <v>1495.58</v>
      </c>
      <c r="F428" s="50" t="n">
        <f aca="false">'Z5 Ikana-Nkangamo'!S12-'Z5 Ikana-Nkangamo'!P12*C428/'Z5 Ikana-Nkangamo'!G12</f>
        <v>1662.6616631746</v>
      </c>
      <c r="G428" s="51" t="n">
        <f aca="false">'Z5 Ikana-Nkangamo'!$B$8-E428</f>
        <v>172.42</v>
      </c>
      <c r="H428" s="52" t="n">
        <f aca="false">F428-E428</f>
        <v>167.081663174596</v>
      </c>
      <c r="I428" s="52" t="n">
        <f aca="false">MAX(H428,G428)</f>
        <v>172.42</v>
      </c>
      <c r="J428" s="4" t="str">
        <f aca="false">IFERROR("PN"&amp;SMALL(PN_list,COUNTIF(PN_list,"&lt;"&amp;I428*bar_per_m)+1),"&gt; max PN")</f>
        <v>PN25</v>
      </c>
      <c r="K428" s="4" t="str">
        <f aca="false">IF(L428="no","end at tank",IF(H428&lt;0,"NEGATIVE",IF(H428&lt;p_min-0.005,"low","OK")))</f>
        <v>OK</v>
      </c>
      <c r="L428" s="4" t="s">
        <v>414</v>
      </c>
    </row>
    <row r="429" customFormat="false" ht="15" hidden="false" customHeight="false" outlineLevel="0" collapsed="false">
      <c r="A429" s="4" t="s">
        <v>42</v>
      </c>
      <c r="B429" s="4" t="s">
        <v>368</v>
      </c>
      <c r="C429" s="47" t="n">
        <v>531.85</v>
      </c>
      <c r="D429" s="48" t="n">
        <v>1490.49</v>
      </c>
      <c r="E429" s="49" t="n">
        <f aca="false">D429-cover</f>
        <v>1489.29</v>
      </c>
      <c r="F429" s="50" t="n">
        <f aca="false">'Z5 Ikana-Nkangamo'!S12-'Z5 Ikana-Nkangamo'!P12*C429/'Z5 Ikana-Nkangamo'!G12</f>
        <v>1662.59485431689</v>
      </c>
      <c r="G429" s="51" t="n">
        <f aca="false">'Z5 Ikana-Nkangamo'!$B$8-E429</f>
        <v>178.71</v>
      </c>
      <c r="H429" s="52" t="n">
        <f aca="false">F429-E429</f>
        <v>173.304854316888</v>
      </c>
      <c r="I429" s="52" t="n">
        <f aca="false">MAX(H429,G429)</f>
        <v>178.71</v>
      </c>
      <c r="J429" s="4" t="str">
        <f aca="false">IFERROR("PN"&amp;SMALL(PN_list,COUNTIF(PN_list,"&lt;"&amp;I429*bar_per_m)+1),"&gt; max PN")</f>
        <v>PN25</v>
      </c>
      <c r="K429" s="4" t="str">
        <f aca="false">IF(L429="no","end at tank",IF(H429&lt;0,"NEGATIVE",IF(H429&lt;p_min-0.005,"low","OK")))</f>
        <v>OK</v>
      </c>
      <c r="L429" s="4" t="s">
        <v>414</v>
      </c>
    </row>
    <row r="430" customFormat="false" ht="15" hidden="false" customHeight="false" outlineLevel="0" collapsed="false">
      <c r="A430" s="4" t="s">
        <v>42</v>
      </c>
      <c r="B430" s="4" t="s">
        <v>368</v>
      </c>
      <c r="C430" s="47" t="n">
        <v>581.99</v>
      </c>
      <c r="D430" s="48" t="n">
        <v>1486.84</v>
      </c>
      <c r="E430" s="49" t="n">
        <f aca="false">D430-cover</f>
        <v>1485.64</v>
      </c>
      <c r="F430" s="50" t="n">
        <f aca="false">'Z5 Ikana-Nkangamo'!S12-'Z5 Ikana-Nkangamo'!P12*C430/'Z5 Ikana-Nkangamo'!G12</f>
        <v>1662.52837691809</v>
      </c>
      <c r="G430" s="51" t="n">
        <f aca="false">'Z5 Ikana-Nkangamo'!$B$8-E430</f>
        <v>182.36</v>
      </c>
      <c r="H430" s="52" t="n">
        <f aca="false">F430-E430</f>
        <v>176.888376918089</v>
      </c>
      <c r="I430" s="52" t="n">
        <f aca="false">MAX(H430,G430)</f>
        <v>182.36</v>
      </c>
      <c r="J430" s="4" t="str">
        <f aca="false">IFERROR("PN"&amp;SMALL(PN_list,COUNTIF(PN_list,"&lt;"&amp;I430*bar_per_m)+1),"&gt; max PN")</f>
        <v>PN25</v>
      </c>
      <c r="K430" s="4" t="str">
        <f aca="false">IF(L430="no","end at tank",IF(H430&lt;0,"NEGATIVE",IF(H430&lt;p_min-0.005,"low","OK")))</f>
        <v>OK</v>
      </c>
      <c r="L430" s="4" t="s">
        <v>414</v>
      </c>
    </row>
    <row r="431" customFormat="false" ht="15" hidden="false" customHeight="false" outlineLevel="0" collapsed="false">
      <c r="A431" s="4" t="s">
        <v>42</v>
      </c>
      <c r="B431" s="4" t="s">
        <v>368</v>
      </c>
      <c r="C431" s="47" t="n">
        <v>632.16</v>
      </c>
      <c r="D431" s="48" t="n">
        <v>1482.69</v>
      </c>
      <c r="E431" s="49" t="n">
        <f aca="false">D431-cover</f>
        <v>1481.49</v>
      </c>
      <c r="F431" s="50" t="n">
        <f aca="false">'Z5 Ikana-Nkangamo'!S12-'Z5 Ikana-Nkangamo'!P12*C431/'Z5 Ikana-Nkangamo'!G12</f>
        <v>1662.46185974422</v>
      </c>
      <c r="G431" s="51" t="n">
        <f aca="false">'Z5 Ikana-Nkangamo'!$B$8-E431</f>
        <v>186.51</v>
      </c>
      <c r="H431" s="52" t="n">
        <f aca="false">F431-E431</f>
        <v>180.97185974422</v>
      </c>
      <c r="I431" s="52" t="n">
        <f aca="false">MAX(H431,G431)</f>
        <v>186.51</v>
      </c>
      <c r="J431" s="4" t="str">
        <f aca="false">IFERROR("PN"&amp;SMALL(PN_list,COUNTIF(PN_list,"&lt;"&amp;I431*bar_per_m)+1),"&gt; max PN")</f>
        <v>PN25</v>
      </c>
      <c r="K431" s="4" t="str">
        <f aca="false">IF(L431="no","end at tank",IF(H431&lt;0,"NEGATIVE",IF(H431&lt;p_min-0.005,"low","OK")))</f>
        <v>OK</v>
      </c>
      <c r="L431" s="4" t="s">
        <v>414</v>
      </c>
    </row>
    <row r="432" customFormat="false" ht="15" hidden="false" customHeight="false" outlineLevel="0" collapsed="false">
      <c r="A432" s="4" t="s">
        <v>42</v>
      </c>
      <c r="B432" s="4" t="s">
        <v>368</v>
      </c>
      <c r="C432" s="47" t="n">
        <v>682.25</v>
      </c>
      <c r="D432" s="48" t="n">
        <v>1479.62</v>
      </c>
      <c r="E432" s="49" t="n">
        <f aca="false">D432-cover</f>
        <v>1478.42</v>
      </c>
      <c r="F432" s="50" t="n">
        <f aca="false">'Z5 Ikana-Nkangamo'!S12-'Z5 Ikana-Nkangamo'!P12*C432/'Z5 Ikana-Nkangamo'!G12</f>
        <v>1662.3954486372</v>
      </c>
      <c r="G432" s="51" t="n">
        <f aca="false">'Z5 Ikana-Nkangamo'!$B$8-E432</f>
        <v>189.58</v>
      </c>
      <c r="H432" s="52" t="n">
        <f aca="false">F432-E432</f>
        <v>183.975448637204</v>
      </c>
      <c r="I432" s="52" t="n">
        <f aca="false">MAX(H432,G432)</f>
        <v>189.58</v>
      </c>
      <c r="J432" s="4" t="str">
        <f aca="false">IFERROR("PN"&amp;SMALL(PN_list,COUNTIF(PN_list,"&lt;"&amp;I432*bar_per_m)+1),"&gt; max PN")</f>
        <v>PN25</v>
      </c>
      <c r="K432" s="4" t="str">
        <f aca="false">IF(L432="no","end at tank",IF(H432&lt;0,"NEGATIVE",IF(H432&lt;p_min-0.005,"low","OK")))</f>
        <v>OK</v>
      </c>
      <c r="L432" s="4" t="s">
        <v>414</v>
      </c>
    </row>
    <row r="433" customFormat="false" ht="15" hidden="false" customHeight="false" outlineLevel="0" collapsed="false">
      <c r="A433" s="4" t="s">
        <v>42</v>
      </c>
      <c r="B433" s="4" t="s">
        <v>368</v>
      </c>
      <c r="C433" s="47" t="n">
        <v>721.28</v>
      </c>
      <c r="D433" s="48" t="n">
        <v>1480.19</v>
      </c>
      <c r="E433" s="49" t="n">
        <f aca="false">D433-cover</f>
        <v>1478.99</v>
      </c>
      <c r="F433" s="50" t="n">
        <f aca="false">'Z5 Ikana-Nkangamo'!S12-'Z5 Ikana-Nkangamo'!P12*C433/'Z5 Ikana-Nkangamo'!G12</f>
        <v>1662.34370127232</v>
      </c>
      <c r="G433" s="51" t="n">
        <f aca="false">'Z5 Ikana-Nkangamo'!$B$8-E433</f>
        <v>189.01</v>
      </c>
      <c r="H433" s="52" t="n">
        <f aca="false">F433-E433</f>
        <v>183.353701272323</v>
      </c>
      <c r="I433" s="52" t="n">
        <f aca="false">MAX(H433,G433)</f>
        <v>189.01</v>
      </c>
      <c r="J433" s="4" t="str">
        <f aca="false">IFERROR("PN"&amp;SMALL(PN_list,COUNTIF(PN_list,"&lt;"&amp;I433*bar_per_m)+1),"&gt; max PN")</f>
        <v>PN25</v>
      </c>
      <c r="K433" s="4" t="str">
        <f aca="false">IF(L433="no","end at tank",IF(H433&lt;0,"NEGATIVE",IF(H433&lt;p_min-0.005,"low","OK")))</f>
        <v>OK</v>
      </c>
      <c r="L433" s="4" t="s">
        <v>414</v>
      </c>
    </row>
    <row r="434" customFormat="false" ht="15" hidden="false" customHeight="false" outlineLevel="0" collapsed="false">
      <c r="A434" s="4" t="s">
        <v>42</v>
      </c>
      <c r="B434" s="4" t="s">
        <v>368</v>
      </c>
      <c r="C434" s="47" t="n">
        <v>771.29</v>
      </c>
      <c r="D434" s="48" t="n">
        <v>1481.29</v>
      </c>
      <c r="E434" s="49" t="n">
        <f aca="false">D434-cover</f>
        <v>1480.09</v>
      </c>
      <c r="F434" s="50" t="n">
        <f aca="false">'Z5 Ikana-Nkangamo'!S12-'Z5 Ikana-Nkangamo'!P12*C434/'Z5 Ikana-Nkangamo'!G12</f>
        <v>1662.27739623216</v>
      </c>
      <c r="G434" s="51" t="n">
        <f aca="false">'Z5 Ikana-Nkangamo'!$B$8-E434</f>
        <v>187.91</v>
      </c>
      <c r="H434" s="52" t="n">
        <f aca="false">F434-E434</f>
        <v>182.187396232156</v>
      </c>
      <c r="I434" s="52" t="n">
        <f aca="false">MAX(H434,G434)</f>
        <v>187.91</v>
      </c>
      <c r="J434" s="4" t="str">
        <f aca="false">IFERROR("PN"&amp;SMALL(PN_list,COUNTIF(PN_list,"&lt;"&amp;I434*bar_per_m)+1),"&gt; max PN")</f>
        <v>PN25</v>
      </c>
      <c r="K434" s="4" t="str">
        <f aca="false">IF(L434="no","end at tank",IF(H434&lt;0,"NEGATIVE",IF(H434&lt;p_min-0.005,"low","OK")))</f>
        <v>OK</v>
      </c>
      <c r="L434" s="4" t="s">
        <v>414</v>
      </c>
    </row>
    <row r="435" customFormat="false" ht="15" hidden="false" customHeight="false" outlineLevel="0" collapsed="false">
      <c r="A435" s="4" t="s">
        <v>42</v>
      </c>
      <c r="B435" s="4" t="s">
        <v>368</v>
      </c>
      <c r="C435" s="47" t="n">
        <v>821.3</v>
      </c>
      <c r="D435" s="48" t="n">
        <v>1482.18</v>
      </c>
      <c r="E435" s="49" t="n">
        <f aca="false">D435-cover</f>
        <v>1480.98</v>
      </c>
      <c r="F435" s="50" t="n">
        <f aca="false">'Z5 Ikana-Nkangamo'!S12-'Z5 Ikana-Nkangamo'!P12*C435/'Z5 Ikana-Nkangamo'!G12</f>
        <v>1662.21109119199</v>
      </c>
      <c r="G435" s="51" t="n">
        <f aca="false">'Z5 Ikana-Nkangamo'!$B$8-E435</f>
        <v>187.02</v>
      </c>
      <c r="H435" s="52" t="n">
        <f aca="false">F435-E435</f>
        <v>181.23109119199</v>
      </c>
      <c r="I435" s="52" t="n">
        <f aca="false">MAX(H435,G435)</f>
        <v>187.02</v>
      </c>
      <c r="J435" s="4" t="str">
        <f aca="false">IFERROR("PN"&amp;SMALL(PN_list,COUNTIF(PN_list,"&lt;"&amp;I435*bar_per_m)+1),"&gt; max PN")</f>
        <v>PN25</v>
      </c>
      <c r="K435" s="4" t="str">
        <f aca="false">IF(L435="no","end at tank",IF(H435&lt;0,"NEGATIVE",IF(H435&lt;p_min-0.005,"low","OK")))</f>
        <v>OK</v>
      </c>
      <c r="L435" s="4" t="s">
        <v>414</v>
      </c>
    </row>
    <row r="436" customFormat="false" ht="15" hidden="false" customHeight="false" outlineLevel="0" collapsed="false">
      <c r="A436" s="4" t="s">
        <v>42</v>
      </c>
      <c r="B436" s="4" t="s">
        <v>368</v>
      </c>
      <c r="C436" s="47" t="n">
        <v>871.3</v>
      </c>
      <c r="D436" s="48" t="n">
        <v>1482.82</v>
      </c>
      <c r="E436" s="49" t="n">
        <f aca="false">D436-cover</f>
        <v>1481.62</v>
      </c>
      <c r="F436" s="50" t="n">
        <f aca="false">'Z5 Ikana-Nkangamo'!S12-'Z5 Ikana-Nkangamo'!P12*C436/'Z5 Ikana-Nkangamo'!G12</f>
        <v>1662.14479941018</v>
      </c>
      <c r="G436" s="51" t="n">
        <f aca="false">'Z5 Ikana-Nkangamo'!$B$8-E436</f>
        <v>186.38</v>
      </c>
      <c r="H436" s="52" t="n">
        <f aca="false">F436-E436</f>
        <v>180.52479941018</v>
      </c>
      <c r="I436" s="52" t="n">
        <f aca="false">MAX(H436,G436)</f>
        <v>186.38</v>
      </c>
      <c r="J436" s="4" t="str">
        <f aca="false">IFERROR("PN"&amp;SMALL(PN_list,COUNTIF(PN_list,"&lt;"&amp;I436*bar_per_m)+1),"&gt; max PN")</f>
        <v>PN25</v>
      </c>
      <c r="K436" s="4" t="str">
        <f aca="false">IF(L436="no","end at tank",IF(H436&lt;0,"NEGATIVE",IF(H436&lt;p_min-0.005,"low","OK")))</f>
        <v>OK</v>
      </c>
      <c r="L436" s="4" t="s">
        <v>414</v>
      </c>
    </row>
    <row r="437" customFormat="false" ht="15" hidden="false" customHeight="false" outlineLevel="0" collapsed="false">
      <c r="A437" s="4" t="s">
        <v>42</v>
      </c>
      <c r="B437" s="4" t="s">
        <v>368</v>
      </c>
      <c r="C437" s="47" t="n">
        <v>915.78</v>
      </c>
      <c r="D437" s="48" t="n">
        <v>1482.8</v>
      </c>
      <c r="E437" s="49" t="n">
        <f aca="false">D437-cover</f>
        <v>1481.6</v>
      </c>
      <c r="F437" s="50" t="n">
        <f aca="false">'Z5 Ikana-Nkangamo'!S12-'Z5 Ikana-Nkangamo'!P12*C437/'Z5 Ikana-Nkangamo'!G12</f>
        <v>1662.08582624108</v>
      </c>
      <c r="G437" s="51" t="n">
        <f aca="false">'Z5 Ikana-Nkangamo'!$B$8-E437</f>
        <v>186.4</v>
      </c>
      <c r="H437" s="52" t="n">
        <f aca="false">F437-E437</f>
        <v>180.485826241082</v>
      </c>
      <c r="I437" s="52" t="n">
        <f aca="false">MAX(H437,G437)</f>
        <v>186.4</v>
      </c>
      <c r="J437" s="4" t="str">
        <f aca="false">IFERROR("PN"&amp;SMALL(PN_list,COUNTIF(PN_list,"&lt;"&amp;I437*bar_per_m)+1),"&gt; max PN")</f>
        <v>PN25</v>
      </c>
      <c r="K437" s="4" t="str">
        <f aca="false">IF(L437="no","end at tank",IF(H437&lt;0,"NEGATIVE",IF(H437&lt;p_min-0.005,"low","OK")))</f>
        <v>OK</v>
      </c>
      <c r="L437" s="4" t="s">
        <v>414</v>
      </c>
    </row>
    <row r="438" customFormat="false" ht="15" hidden="false" customHeight="false" outlineLevel="0" collapsed="false">
      <c r="A438" s="4" t="s">
        <v>42</v>
      </c>
      <c r="B438" s="4" t="s">
        <v>368</v>
      </c>
      <c r="C438" s="47" t="n">
        <v>965.84</v>
      </c>
      <c r="D438" s="48" t="n">
        <v>1480.39</v>
      </c>
      <c r="E438" s="49" t="n">
        <f aca="false">D438-cover</f>
        <v>1479.19</v>
      </c>
      <c r="F438" s="50" t="n">
        <f aca="false">'Z5 Ikana-Nkangamo'!S12-'Z5 Ikana-Nkangamo'!P12*C438/'Z5 Ikana-Nkangamo'!G12</f>
        <v>1662.01945490913</v>
      </c>
      <c r="G438" s="51" t="n">
        <f aca="false">'Z5 Ikana-Nkangamo'!$B$8-E438</f>
        <v>188.81</v>
      </c>
      <c r="H438" s="52" t="n">
        <f aca="false">F438-E438</f>
        <v>182.829454909134</v>
      </c>
      <c r="I438" s="52" t="n">
        <f aca="false">MAX(H438,G438)</f>
        <v>188.81</v>
      </c>
      <c r="J438" s="4" t="str">
        <f aca="false">IFERROR("PN"&amp;SMALL(PN_list,COUNTIF(PN_list,"&lt;"&amp;I438*bar_per_m)+1),"&gt; max PN")</f>
        <v>PN25</v>
      </c>
      <c r="K438" s="4" t="str">
        <f aca="false">IF(L438="no","end at tank",IF(H438&lt;0,"NEGATIVE",IF(H438&lt;p_min-0.005,"low","OK")))</f>
        <v>OK</v>
      </c>
      <c r="L438" s="4" t="s">
        <v>414</v>
      </c>
    </row>
    <row r="439" customFormat="false" ht="15" hidden="false" customHeight="false" outlineLevel="0" collapsed="false">
      <c r="A439" s="4" t="s">
        <v>42</v>
      </c>
      <c r="B439" s="4" t="s">
        <v>368</v>
      </c>
      <c r="C439" s="47" t="n">
        <v>1009.13</v>
      </c>
      <c r="D439" s="48" t="n">
        <v>1477.15</v>
      </c>
      <c r="E439" s="49" t="n">
        <f aca="false">D439-cover</f>
        <v>1475.95</v>
      </c>
      <c r="F439" s="50" t="n">
        <f aca="false">'Z5 Ikana-Nkangamo'!S12-'Z5 Ikana-Nkangamo'!P12*C439/'Z5 Ikana-Nkangamo'!G12</f>
        <v>1661.96205948444</v>
      </c>
      <c r="G439" s="51" t="n">
        <f aca="false">'Z5 Ikana-Nkangamo'!$B$8-E439</f>
        <v>192.05</v>
      </c>
      <c r="H439" s="52" t="n">
        <f aca="false">F439-E439</f>
        <v>186.012059484443</v>
      </c>
      <c r="I439" s="52" t="n">
        <f aca="false">MAX(H439,G439)</f>
        <v>192.05</v>
      </c>
      <c r="J439" s="4" t="str">
        <f aca="false">IFERROR("PN"&amp;SMALL(PN_list,COUNTIF(PN_list,"&lt;"&amp;I439*bar_per_m)+1),"&gt; max PN")</f>
        <v>PN25</v>
      </c>
      <c r="K439" s="4" t="str">
        <f aca="false">IF(L439="no","end at tank",IF(H439&lt;0,"NEGATIVE",IF(H439&lt;p_min-0.005,"low","OK")))</f>
        <v>OK</v>
      </c>
      <c r="L439" s="4" t="s">
        <v>414</v>
      </c>
    </row>
    <row r="440" customFormat="false" ht="15" hidden="false" customHeight="false" outlineLevel="0" collapsed="false">
      <c r="A440" s="4" t="s">
        <v>42</v>
      </c>
      <c r="B440" s="4" t="s">
        <v>368</v>
      </c>
      <c r="C440" s="47" t="n">
        <v>1059.16</v>
      </c>
      <c r="D440" s="48" t="n">
        <v>1475.43</v>
      </c>
      <c r="E440" s="49" t="n">
        <f aca="false">D440-cover</f>
        <v>1474.23</v>
      </c>
      <c r="F440" s="50" t="n">
        <f aca="false">'Z5 Ikana-Nkangamo'!S12-'Z5 Ikana-Nkangamo'!P12*C440/'Z5 Ikana-Nkangamo'!G12</f>
        <v>1661.89572792756</v>
      </c>
      <c r="G440" s="51" t="n">
        <f aca="false">'Z5 Ikana-Nkangamo'!$B$8-E440</f>
        <v>193.77</v>
      </c>
      <c r="H440" s="52" t="n">
        <f aca="false">F440-E440</f>
        <v>187.665727927563</v>
      </c>
      <c r="I440" s="52" t="n">
        <f aca="false">MAX(H440,G440)</f>
        <v>193.77</v>
      </c>
      <c r="J440" s="4" t="str">
        <f aca="false">IFERROR("PN"&amp;SMALL(PN_list,COUNTIF(PN_list,"&lt;"&amp;I440*bar_per_m)+1),"&gt; max PN")</f>
        <v>PN25</v>
      </c>
      <c r="K440" s="4" t="str">
        <f aca="false">IF(L440="no","end at tank",IF(H440&lt;0,"NEGATIVE",IF(H440&lt;p_min-0.005,"low","OK")))</f>
        <v>OK</v>
      </c>
      <c r="L440" s="4" t="s">
        <v>414</v>
      </c>
    </row>
    <row r="441" customFormat="false" ht="15" hidden="false" customHeight="false" outlineLevel="0" collapsed="false">
      <c r="A441" s="4" t="s">
        <v>42</v>
      </c>
      <c r="B441" s="4" t="s">
        <v>368</v>
      </c>
      <c r="C441" s="47" t="n">
        <v>1109.22</v>
      </c>
      <c r="D441" s="48" t="n">
        <v>1472.93</v>
      </c>
      <c r="E441" s="49" t="n">
        <f aca="false">D441-cover</f>
        <v>1471.73</v>
      </c>
      <c r="F441" s="50" t="n">
        <f aca="false">'Z5 Ikana-Nkangamo'!S12-'Z5 Ikana-Nkangamo'!P12*C441/'Z5 Ikana-Nkangamo'!G12</f>
        <v>1661.82935659562</v>
      </c>
      <c r="G441" s="51" t="n">
        <f aca="false">'Z5 Ikana-Nkangamo'!$B$8-E441</f>
        <v>196.27</v>
      </c>
      <c r="H441" s="52" t="n">
        <f aca="false">F441-E441</f>
        <v>190.099356595616</v>
      </c>
      <c r="I441" s="52" t="n">
        <f aca="false">MAX(H441,G441)</f>
        <v>196.27</v>
      </c>
      <c r="J441" s="4" t="str">
        <f aca="false">IFERROR("PN"&amp;SMALL(PN_list,COUNTIF(PN_list,"&lt;"&amp;I441*bar_per_m)+1),"&gt; max PN")</f>
        <v>PN25</v>
      </c>
      <c r="K441" s="4" t="str">
        <f aca="false">IF(L441="no","end at tank",IF(H441&lt;0,"NEGATIVE",IF(H441&lt;p_min-0.005,"low","OK")))</f>
        <v>OK</v>
      </c>
      <c r="L441" s="4" t="s">
        <v>414</v>
      </c>
    </row>
    <row r="442" customFormat="false" ht="15" hidden="false" customHeight="false" outlineLevel="0" collapsed="false">
      <c r="A442" s="4" t="s">
        <v>42</v>
      </c>
      <c r="B442" s="4" t="s">
        <v>368</v>
      </c>
      <c r="C442" s="47" t="n">
        <v>1159.24</v>
      </c>
      <c r="D442" s="48" t="n">
        <v>1471.75</v>
      </c>
      <c r="E442" s="49" t="n">
        <f aca="false">D442-cover</f>
        <v>1470.55</v>
      </c>
      <c r="F442" s="50" t="n">
        <f aca="false">'Z5 Ikana-Nkangamo'!S12-'Z5 Ikana-Nkangamo'!P12*C442/'Z5 Ikana-Nkangamo'!G12</f>
        <v>1661.76303829709</v>
      </c>
      <c r="G442" s="51" t="n">
        <f aca="false">'Z5 Ikana-Nkangamo'!$B$8-E442</f>
        <v>197.45</v>
      </c>
      <c r="H442" s="52" t="n">
        <f aca="false">F442-E442</f>
        <v>191.213038297093</v>
      </c>
      <c r="I442" s="52" t="n">
        <f aca="false">MAX(H442,G442)</f>
        <v>197.45</v>
      </c>
      <c r="J442" s="4" t="str">
        <f aca="false">IFERROR("PN"&amp;SMALL(PN_list,COUNTIF(PN_list,"&lt;"&amp;I442*bar_per_m)+1),"&gt; max PN")</f>
        <v>PN25</v>
      </c>
      <c r="K442" s="4" t="str">
        <f aca="false">IF(L442="no","end at tank",IF(H442&lt;0,"NEGATIVE",IF(H442&lt;p_min-0.005,"low","OK")))</f>
        <v>OK</v>
      </c>
      <c r="L442" s="4" t="s">
        <v>414</v>
      </c>
    </row>
    <row r="443" customFormat="false" ht="15" hidden="false" customHeight="false" outlineLevel="0" collapsed="false">
      <c r="A443" s="4" t="s">
        <v>42</v>
      </c>
      <c r="B443" s="4" t="s">
        <v>368</v>
      </c>
      <c r="C443" s="47" t="n">
        <v>1209.26</v>
      </c>
      <c r="D443" s="48" t="n">
        <v>1470.11</v>
      </c>
      <c r="E443" s="49" t="n">
        <f aca="false">D443-cover</f>
        <v>1468.91</v>
      </c>
      <c r="F443" s="50" t="n">
        <f aca="false">'Z5 Ikana-Nkangamo'!S12-'Z5 Ikana-Nkangamo'!P12*C443/'Z5 Ikana-Nkangamo'!G12</f>
        <v>1661.69671999857</v>
      </c>
      <c r="G443" s="51" t="n">
        <f aca="false">'Z5 Ikana-Nkangamo'!$B$8-E443</f>
        <v>199.09</v>
      </c>
      <c r="H443" s="52" t="n">
        <f aca="false">F443-E443</f>
        <v>192.78671999857</v>
      </c>
      <c r="I443" s="52" t="n">
        <f aca="false">MAX(H443,G443)</f>
        <v>199.09</v>
      </c>
      <c r="J443" s="4" t="str">
        <f aca="false">IFERROR("PN"&amp;SMALL(PN_list,COUNTIF(PN_list,"&lt;"&amp;I443*bar_per_m)+1),"&gt; max PN")</f>
        <v>PN25</v>
      </c>
      <c r="K443" s="4" t="str">
        <f aca="false">IF(L443="no","end at tank",IF(H443&lt;0,"NEGATIVE",IF(H443&lt;p_min-0.005,"low","OK")))</f>
        <v>OK</v>
      </c>
      <c r="L443" s="4" t="s">
        <v>414</v>
      </c>
    </row>
    <row r="444" customFormat="false" ht="15" hidden="false" customHeight="false" outlineLevel="0" collapsed="false">
      <c r="A444" s="4" t="s">
        <v>42</v>
      </c>
      <c r="B444" s="4" t="s">
        <v>368</v>
      </c>
      <c r="C444" s="47" t="n">
        <v>1259.3</v>
      </c>
      <c r="D444" s="48" t="n">
        <v>1468.25</v>
      </c>
      <c r="E444" s="49" t="n">
        <f aca="false">D444-cover</f>
        <v>1467.05</v>
      </c>
      <c r="F444" s="50" t="n">
        <f aca="false">'Z5 Ikana-Nkangamo'!S12-'Z5 Ikana-Nkangamo'!P12*C444/'Z5 Ikana-Nkangamo'!G12</f>
        <v>1661.63037518333</v>
      </c>
      <c r="G444" s="51" t="n">
        <f aca="false">'Z5 Ikana-Nkangamo'!$B$8-E444</f>
        <v>200.95</v>
      </c>
      <c r="H444" s="52" t="n">
        <f aca="false">F444-E444</f>
        <v>194.580375183335</v>
      </c>
      <c r="I444" s="52" t="n">
        <f aca="false">MAX(H444,G444)</f>
        <v>200.95</v>
      </c>
      <c r="J444" s="4" t="str">
        <f aca="false">IFERROR("PN"&amp;SMALL(PN_list,COUNTIF(PN_list,"&lt;"&amp;I444*bar_per_m)+1),"&gt; max PN")</f>
        <v>PN25</v>
      </c>
      <c r="K444" s="4" t="str">
        <f aca="false">IF(L444="no","end at tank",IF(H444&lt;0,"NEGATIVE",IF(H444&lt;p_min-0.005,"low","OK")))</f>
        <v>OK</v>
      </c>
      <c r="L444" s="4" t="s">
        <v>414</v>
      </c>
    </row>
    <row r="445" customFormat="false" ht="15" hidden="false" customHeight="false" outlineLevel="0" collapsed="false">
      <c r="A445" s="4" t="s">
        <v>42</v>
      </c>
      <c r="B445" s="4" t="s">
        <v>368</v>
      </c>
      <c r="C445" s="47" t="n">
        <v>1309.31</v>
      </c>
      <c r="D445" s="48" t="n">
        <v>1467.1</v>
      </c>
      <c r="E445" s="49" t="n">
        <f aca="false">D445-cover</f>
        <v>1465.9</v>
      </c>
      <c r="F445" s="50" t="n">
        <f aca="false">'Z5 Ikana-Nkangamo'!S12-'Z5 Ikana-Nkangamo'!P12*C445/'Z5 Ikana-Nkangamo'!G12</f>
        <v>1661.56407014317</v>
      </c>
      <c r="G445" s="51" t="n">
        <f aca="false">'Z5 Ikana-Nkangamo'!$B$8-E445</f>
        <v>202.1</v>
      </c>
      <c r="H445" s="52" t="n">
        <f aca="false">F445-E445</f>
        <v>195.664070143169</v>
      </c>
      <c r="I445" s="52" t="n">
        <f aca="false">MAX(H445,G445)</f>
        <v>202.1</v>
      </c>
      <c r="J445" s="4" t="str">
        <f aca="false">IFERROR("PN"&amp;SMALL(PN_list,COUNTIF(PN_list,"&lt;"&amp;I445*bar_per_m)+1),"&gt; max PN")</f>
        <v>PN25</v>
      </c>
      <c r="K445" s="4" t="str">
        <f aca="false">IF(L445="no","end at tank",IF(H445&lt;0,"NEGATIVE",IF(H445&lt;p_min-0.005,"low","OK")))</f>
        <v>OK</v>
      </c>
      <c r="L445" s="4" t="s">
        <v>414</v>
      </c>
    </row>
    <row r="446" customFormat="false" ht="15" hidden="false" customHeight="false" outlineLevel="0" collapsed="false">
      <c r="A446" s="4" t="s">
        <v>42</v>
      </c>
      <c r="B446" s="4" t="s">
        <v>368</v>
      </c>
      <c r="C446" s="47" t="n">
        <v>1359.33</v>
      </c>
      <c r="D446" s="48" t="n">
        <v>1465.95</v>
      </c>
      <c r="E446" s="49" t="n">
        <f aca="false">D446-cover</f>
        <v>1464.75</v>
      </c>
      <c r="F446" s="50" t="n">
        <f aca="false">'Z5 Ikana-Nkangamo'!S12-'Z5 Ikana-Nkangamo'!P12*C446/'Z5 Ikana-Nkangamo'!G12</f>
        <v>1661.49775184465</v>
      </c>
      <c r="G446" s="51" t="n">
        <f aca="false">'Z5 Ikana-Nkangamo'!$B$8-E446</f>
        <v>203.25</v>
      </c>
      <c r="H446" s="52" t="n">
        <f aca="false">F446-E446</f>
        <v>196.747751844646</v>
      </c>
      <c r="I446" s="52" t="n">
        <f aca="false">MAX(H446,G446)</f>
        <v>203.25</v>
      </c>
      <c r="J446" s="4" t="str">
        <f aca="false">IFERROR("PN"&amp;SMALL(PN_list,COUNTIF(PN_list,"&lt;"&amp;I446*bar_per_m)+1),"&gt; max PN")</f>
        <v>PN25</v>
      </c>
      <c r="K446" s="4" t="str">
        <f aca="false">IF(L446="no","end at tank",IF(H446&lt;0,"NEGATIVE",IF(H446&lt;p_min-0.005,"low","OK")))</f>
        <v>OK</v>
      </c>
      <c r="L446" s="4" t="s">
        <v>414</v>
      </c>
    </row>
    <row r="447" customFormat="false" ht="15" hidden="false" customHeight="false" outlineLevel="0" collapsed="false">
      <c r="A447" s="4" t="s">
        <v>42</v>
      </c>
      <c r="B447" s="4" t="s">
        <v>368</v>
      </c>
      <c r="C447" s="47" t="n">
        <v>1409.34</v>
      </c>
      <c r="D447" s="48" t="n">
        <v>1464.72</v>
      </c>
      <c r="E447" s="49" t="n">
        <f aca="false">D447-cover</f>
        <v>1463.52</v>
      </c>
      <c r="F447" s="50" t="n">
        <f aca="false">'Z5 Ikana-Nkangamo'!S12-'Z5 Ikana-Nkangamo'!P12*C447/'Z5 Ikana-Nkangamo'!G12</f>
        <v>1661.43144680448</v>
      </c>
      <c r="G447" s="51" t="n">
        <f aca="false">'Z5 Ikana-Nkangamo'!$B$8-E447</f>
        <v>204.48</v>
      </c>
      <c r="H447" s="52" t="n">
        <f aca="false">F447-E447</f>
        <v>197.91144680448</v>
      </c>
      <c r="I447" s="52" t="n">
        <f aca="false">MAX(H447,G447)</f>
        <v>204.48</v>
      </c>
      <c r="J447" s="4" t="str">
        <f aca="false">IFERROR("PN"&amp;SMALL(PN_list,COUNTIF(PN_list,"&lt;"&amp;I447*bar_per_m)+1),"&gt; max PN")</f>
        <v>PN25</v>
      </c>
      <c r="K447" s="4" t="str">
        <f aca="false">IF(L447="no","end at tank",IF(H447&lt;0,"NEGATIVE",IF(H447&lt;p_min-0.005,"low","OK")))</f>
        <v>OK</v>
      </c>
      <c r="L447" s="4" t="s">
        <v>414</v>
      </c>
    </row>
    <row r="448" customFormat="false" ht="15" hidden="false" customHeight="false" outlineLevel="0" collapsed="false">
      <c r="A448" s="4" t="s">
        <v>42</v>
      </c>
      <c r="B448" s="4" t="s">
        <v>368</v>
      </c>
      <c r="C448" s="47" t="n">
        <v>1459.36</v>
      </c>
      <c r="D448" s="48" t="n">
        <v>1463.52</v>
      </c>
      <c r="E448" s="49" t="n">
        <f aca="false">D448-cover</f>
        <v>1462.32</v>
      </c>
      <c r="F448" s="50" t="n">
        <f aca="false">'Z5 Ikana-Nkangamo'!S12-'Z5 Ikana-Nkangamo'!P12*C448/'Z5 Ikana-Nkangamo'!G12</f>
        <v>1661.36512850596</v>
      </c>
      <c r="G448" s="51" t="n">
        <f aca="false">'Z5 Ikana-Nkangamo'!$B$8-E448</f>
        <v>205.68</v>
      </c>
      <c r="H448" s="52" t="n">
        <f aca="false">F448-E448</f>
        <v>199.045128505957</v>
      </c>
      <c r="I448" s="52" t="n">
        <f aca="false">MAX(H448,G448)</f>
        <v>205.68</v>
      </c>
      <c r="J448" s="4" t="str">
        <f aca="false">IFERROR("PN"&amp;SMALL(PN_list,COUNTIF(PN_list,"&lt;"&amp;I448*bar_per_m)+1),"&gt; max PN")</f>
        <v>PN25</v>
      </c>
      <c r="K448" s="4" t="str">
        <f aca="false">IF(L448="no","end at tank",IF(H448&lt;0,"NEGATIVE",IF(H448&lt;p_min-0.005,"low","OK")))</f>
        <v>OK</v>
      </c>
      <c r="L448" s="4" t="s">
        <v>414</v>
      </c>
    </row>
    <row r="449" customFormat="false" ht="15" hidden="false" customHeight="false" outlineLevel="0" collapsed="false">
      <c r="A449" s="4" t="s">
        <v>42</v>
      </c>
      <c r="B449" s="4" t="s">
        <v>368</v>
      </c>
      <c r="C449" s="47" t="n">
        <v>1509.39</v>
      </c>
      <c r="D449" s="48" t="n">
        <v>1461.76</v>
      </c>
      <c r="E449" s="49" t="n">
        <f aca="false">D449-cover</f>
        <v>1460.56</v>
      </c>
      <c r="F449" s="50" t="n">
        <f aca="false">'Z5 Ikana-Nkangamo'!S12-'Z5 Ikana-Nkangamo'!P12*C449/'Z5 Ikana-Nkangamo'!G12</f>
        <v>1661.29879694908</v>
      </c>
      <c r="G449" s="51" t="n">
        <f aca="false">'Z5 Ikana-Nkangamo'!$B$8-E449</f>
        <v>207.44</v>
      </c>
      <c r="H449" s="52" t="n">
        <f aca="false">F449-E449</f>
        <v>200.738796949078</v>
      </c>
      <c r="I449" s="52" t="n">
        <f aca="false">MAX(H449,G449)</f>
        <v>207.44</v>
      </c>
      <c r="J449" s="4" t="str">
        <f aca="false">IFERROR("PN"&amp;SMALL(PN_list,COUNTIF(PN_list,"&lt;"&amp;I449*bar_per_m)+1),"&gt; max PN")</f>
        <v>PN25</v>
      </c>
      <c r="K449" s="4" t="str">
        <f aca="false">IF(L449="no","end at tank",IF(H449&lt;0,"NEGATIVE",IF(H449&lt;p_min-0.005,"low","OK")))</f>
        <v>OK</v>
      </c>
      <c r="L449" s="4" t="s">
        <v>414</v>
      </c>
    </row>
    <row r="450" customFormat="false" ht="15" hidden="false" customHeight="false" outlineLevel="0" collapsed="false">
      <c r="A450" s="4" t="s">
        <v>42</v>
      </c>
      <c r="B450" s="4" t="s">
        <v>368</v>
      </c>
      <c r="C450" s="47" t="n">
        <v>1559.4</v>
      </c>
      <c r="D450" s="48" t="n">
        <v>1460.69</v>
      </c>
      <c r="E450" s="49" t="n">
        <f aca="false">D450-cover</f>
        <v>1459.49</v>
      </c>
      <c r="F450" s="50" t="n">
        <f aca="false">'Z5 Ikana-Nkangamo'!S12-'Z5 Ikana-Nkangamo'!P12*C450/'Z5 Ikana-Nkangamo'!G12</f>
        <v>1661.23249190891</v>
      </c>
      <c r="G450" s="51" t="n">
        <f aca="false">'Z5 Ikana-Nkangamo'!$B$8-E450</f>
        <v>208.51</v>
      </c>
      <c r="H450" s="52" t="n">
        <f aca="false">F450-E450</f>
        <v>201.742491908911</v>
      </c>
      <c r="I450" s="52" t="n">
        <f aca="false">MAX(H450,G450)</f>
        <v>208.51</v>
      </c>
      <c r="J450" s="4" t="str">
        <f aca="false">IFERROR("PN"&amp;SMALL(PN_list,COUNTIF(PN_list,"&lt;"&amp;I450*bar_per_m)+1),"&gt; max PN")</f>
        <v>PN25</v>
      </c>
      <c r="K450" s="4" t="str">
        <f aca="false">IF(L450="no","end at tank",IF(H450&lt;0,"NEGATIVE",IF(H450&lt;p_min-0.005,"low","OK")))</f>
        <v>OK</v>
      </c>
      <c r="L450" s="4" t="s">
        <v>414</v>
      </c>
    </row>
    <row r="451" customFormat="false" ht="15" hidden="false" customHeight="false" outlineLevel="0" collapsed="false">
      <c r="A451" s="4" t="s">
        <v>42</v>
      </c>
      <c r="B451" s="4" t="s">
        <v>368</v>
      </c>
      <c r="C451" s="47" t="n">
        <v>1609.42</v>
      </c>
      <c r="D451" s="48" t="n">
        <v>1459.34</v>
      </c>
      <c r="E451" s="49" t="n">
        <f aca="false">D451-cover</f>
        <v>1458.14</v>
      </c>
      <c r="F451" s="50" t="n">
        <f aca="false">'Z5 Ikana-Nkangamo'!S12-'Z5 Ikana-Nkangamo'!P12*C451/'Z5 Ikana-Nkangamo'!G12</f>
        <v>1661.16617361039</v>
      </c>
      <c r="G451" s="51" t="n">
        <f aca="false">'Z5 Ikana-Nkangamo'!$B$8-E451</f>
        <v>209.86</v>
      </c>
      <c r="H451" s="52" t="n">
        <f aca="false">F451-E451</f>
        <v>203.026173610389</v>
      </c>
      <c r="I451" s="52" t="n">
        <f aca="false">MAX(H451,G451)</f>
        <v>209.86</v>
      </c>
      <c r="J451" s="4" t="str">
        <f aca="false">IFERROR("PN"&amp;SMALL(PN_list,COUNTIF(PN_list,"&lt;"&amp;I451*bar_per_m)+1),"&gt; max PN")</f>
        <v>PN25</v>
      </c>
      <c r="K451" s="4" t="str">
        <f aca="false">IF(L451="no","end at tank",IF(H451&lt;0,"NEGATIVE",IF(H451&lt;p_min-0.005,"low","OK")))</f>
        <v>OK</v>
      </c>
      <c r="L451" s="4" t="s">
        <v>414</v>
      </c>
    </row>
    <row r="452" customFormat="false" ht="15" hidden="false" customHeight="false" outlineLevel="0" collapsed="false">
      <c r="A452" s="4" t="s">
        <v>42</v>
      </c>
      <c r="B452" s="4" t="s">
        <v>368</v>
      </c>
      <c r="C452" s="47" t="n">
        <v>1659.42</v>
      </c>
      <c r="D452" s="48" t="n">
        <v>1458.97</v>
      </c>
      <c r="E452" s="49" t="n">
        <f aca="false">D452-cover</f>
        <v>1457.77</v>
      </c>
      <c r="F452" s="50" t="n">
        <f aca="false">'Z5 Ikana-Nkangamo'!S12-'Z5 Ikana-Nkangamo'!P12*C452/'Z5 Ikana-Nkangamo'!G12</f>
        <v>1661.09988182858</v>
      </c>
      <c r="G452" s="51" t="n">
        <f aca="false">'Z5 Ikana-Nkangamo'!$B$8-E452</f>
        <v>210.23</v>
      </c>
      <c r="H452" s="52" t="n">
        <f aca="false">F452-E452</f>
        <v>203.329881828579</v>
      </c>
      <c r="I452" s="52" t="n">
        <f aca="false">MAX(H452,G452)</f>
        <v>210.23</v>
      </c>
      <c r="J452" s="4" t="str">
        <f aca="false">IFERROR("PN"&amp;SMALL(PN_list,COUNTIF(PN_list,"&lt;"&amp;I452*bar_per_m)+1),"&gt; max PN")</f>
        <v>PN25</v>
      </c>
      <c r="K452" s="4" t="str">
        <f aca="false">IF(L452="no","end at tank",IF(H452&lt;0,"NEGATIVE",IF(H452&lt;p_min-0.005,"low","OK")))</f>
        <v>OK</v>
      </c>
      <c r="L452" s="4" t="s">
        <v>414</v>
      </c>
    </row>
    <row r="453" customFormat="false" ht="15" hidden="false" customHeight="false" outlineLevel="0" collapsed="false">
      <c r="A453" s="4" t="s">
        <v>42</v>
      </c>
      <c r="B453" s="4" t="s">
        <v>368</v>
      </c>
      <c r="C453" s="47" t="n">
        <v>1709.43</v>
      </c>
      <c r="D453" s="48" t="n">
        <v>1457.77</v>
      </c>
      <c r="E453" s="49" t="n">
        <f aca="false">D453-cover</f>
        <v>1456.57</v>
      </c>
      <c r="F453" s="50" t="n">
        <f aca="false">'Z5 Ikana-Nkangamo'!S12-'Z5 Ikana-Nkangamo'!P12*C453/'Z5 Ikana-Nkangamo'!G12</f>
        <v>1661.03357678841</v>
      </c>
      <c r="G453" s="51" t="n">
        <f aca="false">'Z5 Ikana-Nkangamo'!$B$8-E453</f>
        <v>211.43</v>
      </c>
      <c r="H453" s="52" t="n">
        <f aca="false">F453-E453</f>
        <v>204.463576788413</v>
      </c>
      <c r="I453" s="52" t="n">
        <f aca="false">MAX(H453,G453)</f>
        <v>211.43</v>
      </c>
      <c r="J453" s="4" t="str">
        <f aca="false">IFERROR("PN"&amp;SMALL(PN_list,COUNTIF(PN_list,"&lt;"&amp;I453*bar_per_m)+1),"&gt; max PN")</f>
        <v>PN25</v>
      </c>
      <c r="K453" s="4" t="str">
        <f aca="false">IF(L453="no","end at tank",IF(H453&lt;0,"NEGATIVE",IF(H453&lt;p_min-0.005,"low","OK")))</f>
        <v>OK</v>
      </c>
      <c r="L453" s="4" t="s">
        <v>414</v>
      </c>
    </row>
    <row r="454" customFormat="false" ht="15" hidden="false" customHeight="false" outlineLevel="0" collapsed="false">
      <c r="A454" s="4" t="s">
        <v>42</v>
      </c>
      <c r="B454" s="4" t="s">
        <v>368</v>
      </c>
      <c r="C454" s="47" t="n">
        <v>1759.44</v>
      </c>
      <c r="D454" s="48" t="n">
        <v>1457.01</v>
      </c>
      <c r="E454" s="49" t="n">
        <f aca="false">D454-cover</f>
        <v>1455.81</v>
      </c>
      <c r="F454" s="50" t="n">
        <f aca="false">'Z5 Ikana-Nkangamo'!S12-'Z5 Ikana-Nkangamo'!P12*C454/'Z5 Ikana-Nkangamo'!G12</f>
        <v>1660.96727174825</v>
      </c>
      <c r="G454" s="51" t="n">
        <f aca="false">'Z5 Ikana-Nkangamo'!$B$8-E454</f>
        <v>212.19</v>
      </c>
      <c r="H454" s="52" t="n">
        <f aca="false">F454-E454</f>
        <v>205.157271748246</v>
      </c>
      <c r="I454" s="52" t="n">
        <f aca="false">MAX(H454,G454)</f>
        <v>212.19</v>
      </c>
      <c r="J454" s="4" t="str">
        <f aca="false">IFERROR("PN"&amp;SMALL(PN_list,COUNTIF(PN_list,"&lt;"&amp;I454*bar_per_m)+1),"&gt; max PN")</f>
        <v>PN25</v>
      </c>
      <c r="K454" s="4" t="str">
        <f aca="false">IF(L454="no","end at tank",IF(H454&lt;0,"NEGATIVE",IF(H454&lt;p_min-0.005,"low","OK")))</f>
        <v>OK</v>
      </c>
      <c r="L454" s="4" t="s">
        <v>414</v>
      </c>
    </row>
    <row r="455" customFormat="false" ht="15" hidden="false" customHeight="false" outlineLevel="0" collapsed="false">
      <c r="A455" s="4" t="s">
        <v>42</v>
      </c>
      <c r="B455" s="4" t="s">
        <v>368</v>
      </c>
      <c r="C455" s="47" t="n">
        <v>1809.44</v>
      </c>
      <c r="D455" s="48" t="n">
        <v>1456.65</v>
      </c>
      <c r="E455" s="49" t="n">
        <f aca="false">D455-cover</f>
        <v>1455.45</v>
      </c>
      <c r="F455" s="50" t="n">
        <f aca="false">'Z5 Ikana-Nkangamo'!S12-'Z5 Ikana-Nkangamo'!P12*C455/'Z5 Ikana-Nkangamo'!G12</f>
        <v>1660.90097996644</v>
      </c>
      <c r="G455" s="51" t="n">
        <f aca="false">'Z5 Ikana-Nkangamo'!$B$8-E455</f>
        <v>212.55</v>
      </c>
      <c r="H455" s="52" t="n">
        <f aca="false">F455-E455</f>
        <v>205.450979966436</v>
      </c>
      <c r="I455" s="52" t="n">
        <f aca="false">MAX(H455,G455)</f>
        <v>212.55</v>
      </c>
      <c r="J455" s="4" t="str">
        <f aca="false">IFERROR("PN"&amp;SMALL(PN_list,COUNTIF(PN_list,"&lt;"&amp;I455*bar_per_m)+1),"&gt; max PN")</f>
        <v>PN25</v>
      </c>
      <c r="K455" s="4" t="str">
        <f aca="false">IF(L455="no","end at tank",IF(H455&lt;0,"NEGATIVE",IF(H455&lt;p_min-0.005,"low","OK")))</f>
        <v>OK</v>
      </c>
      <c r="L455" s="4" t="s">
        <v>414</v>
      </c>
    </row>
    <row r="456" customFormat="false" ht="15" hidden="false" customHeight="false" outlineLevel="0" collapsed="false">
      <c r="A456" s="4" t="s">
        <v>42</v>
      </c>
      <c r="B456" s="4" t="s">
        <v>368</v>
      </c>
      <c r="C456" s="47" t="n">
        <v>1859.44</v>
      </c>
      <c r="D456" s="48" t="n">
        <v>1457.33</v>
      </c>
      <c r="E456" s="49" t="n">
        <f aca="false">D456-cover</f>
        <v>1456.13</v>
      </c>
      <c r="F456" s="50" t="n">
        <f aca="false">'Z5 Ikana-Nkangamo'!S12-'Z5 Ikana-Nkangamo'!P12*C456/'Z5 Ikana-Nkangamo'!G12</f>
        <v>1660.83468818463</v>
      </c>
      <c r="G456" s="51" t="n">
        <f aca="false">'Z5 Ikana-Nkangamo'!$B$8-E456</f>
        <v>211.87</v>
      </c>
      <c r="H456" s="52" t="n">
        <f aca="false">F456-E456</f>
        <v>204.704688184627</v>
      </c>
      <c r="I456" s="52" t="n">
        <f aca="false">MAX(H456,G456)</f>
        <v>211.87</v>
      </c>
      <c r="J456" s="4" t="str">
        <f aca="false">IFERROR("PN"&amp;SMALL(PN_list,COUNTIF(PN_list,"&lt;"&amp;I456*bar_per_m)+1),"&gt; max PN")</f>
        <v>PN25</v>
      </c>
      <c r="K456" s="4" t="str">
        <f aca="false">IF(L456="no","end at tank",IF(H456&lt;0,"NEGATIVE",IF(H456&lt;p_min-0.005,"low","OK")))</f>
        <v>OK</v>
      </c>
      <c r="L456" s="4" t="s">
        <v>414</v>
      </c>
    </row>
    <row r="457" customFormat="false" ht="15" hidden="false" customHeight="false" outlineLevel="0" collapsed="false">
      <c r="A457" s="4" t="s">
        <v>42</v>
      </c>
      <c r="B457" s="4" t="s">
        <v>368</v>
      </c>
      <c r="C457" s="47" t="n">
        <v>1909.46</v>
      </c>
      <c r="D457" s="48" t="n">
        <v>1456.05</v>
      </c>
      <c r="E457" s="49" t="n">
        <f aca="false">D457-cover</f>
        <v>1454.85</v>
      </c>
      <c r="F457" s="50" t="n">
        <f aca="false">'Z5 Ikana-Nkangamo'!S12-'Z5 Ikana-Nkangamo'!P12*C457/'Z5 Ikana-Nkangamo'!G12</f>
        <v>1660.7683698861</v>
      </c>
      <c r="G457" s="51" t="n">
        <f aca="false">'Z5 Ikana-Nkangamo'!$B$8-E457</f>
        <v>213.15</v>
      </c>
      <c r="H457" s="52" t="n">
        <f aca="false">F457-E457</f>
        <v>205.918369886104</v>
      </c>
      <c r="I457" s="52" t="n">
        <f aca="false">MAX(H457,G457)</f>
        <v>213.15</v>
      </c>
      <c r="J457" s="4" t="str">
        <f aca="false">IFERROR("PN"&amp;SMALL(PN_list,COUNTIF(PN_list,"&lt;"&amp;I457*bar_per_m)+1),"&gt; max PN")</f>
        <v>PN25</v>
      </c>
      <c r="K457" s="4" t="str">
        <f aca="false">IF(L457="no","end at tank",IF(H457&lt;0,"NEGATIVE",IF(H457&lt;p_min-0.005,"low","OK")))</f>
        <v>OK</v>
      </c>
      <c r="L457" s="4" t="s">
        <v>414</v>
      </c>
    </row>
    <row r="458" customFormat="false" ht="15" hidden="false" customHeight="false" outlineLevel="0" collapsed="false">
      <c r="A458" s="4" t="s">
        <v>42</v>
      </c>
      <c r="B458" s="4" t="s">
        <v>368</v>
      </c>
      <c r="C458" s="47" t="n">
        <v>1959.46</v>
      </c>
      <c r="D458" s="48" t="n">
        <v>1456.18</v>
      </c>
      <c r="E458" s="49" t="n">
        <f aca="false">D458-cover</f>
        <v>1454.98</v>
      </c>
      <c r="F458" s="50" t="n">
        <f aca="false">'Z5 Ikana-Nkangamo'!S12-'Z5 Ikana-Nkangamo'!P12*C458/'Z5 Ikana-Nkangamo'!G12</f>
        <v>1660.70207810429</v>
      </c>
      <c r="G458" s="51" t="n">
        <f aca="false">'Z5 Ikana-Nkangamo'!$B$8-E458</f>
        <v>213.02</v>
      </c>
      <c r="H458" s="52" t="n">
        <f aca="false">F458-E458</f>
        <v>205.722078104294</v>
      </c>
      <c r="I458" s="52" t="n">
        <f aca="false">MAX(H458,G458)</f>
        <v>213.02</v>
      </c>
      <c r="J458" s="4" t="str">
        <f aca="false">IFERROR("PN"&amp;SMALL(PN_list,COUNTIF(PN_list,"&lt;"&amp;I458*bar_per_m)+1),"&gt; max PN")</f>
        <v>PN25</v>
      </c>
      <c r="K458" s="4" t="str">
        <f aca="false">IF(L458="no","end at tank",IF(H458&lt;0,"NEGATIVE",IF(H458&lt;p_min-0.005,"low","OK")))</f>
        <v>OK</v>
      </c>
      <c r="L458" s="4" t="s">
        <v>414</v>
      </c>
    </row>
    <row r="459" customFormat="false" ht="15" hidden="false" customHeight="false" outlineLevel="0" collapsed="false">
      <c r="A459" s="4" t="s">
        <v>42</v>
      </c>
      <c r="B459" s="4" t="s">
        <v>368</v>
      </c>
      <c r="C459" s="47" t="n">
        <v>2009.46</v>
      </c>
      <c r="D459" s="48" t="n">
        <v>1456.26</v>
      </c>
      <c r="E459" s="49" t="n">
        <f aca="false">D459-cover</f>
        <v>1455.06</v>
      </c>
      <c r="F459" s="50" t="n">
        <f aca="false">'Z5 Ikana-Nkangamo'!S12-'Z5 Ikana-Nkangamo'!P12*C459/'Z5 Ikana-Nkangamo'!G12</f>
        <v>1660.63578632248</v>
      </c>
      <c r="G459" s="51" t="n">
        <f aca="false">'Z5 Ikana-Nkangamo'!$B$8-E459</f>
        <v>212.94</v>
      </c>
      <c r="H459" s="52" t="n">
        <f aca="false">F459-E459</f>
        <v>205.575786322484</v>
      </c>
      <c r="I459" s="52" t="n">
        <f aca="false">MAX(H459,G459)</f>
        <v>212.94</v>
      </c>
      <c r="J459" s="4" t="str">
        <f aca="false">IFERROR("PN"&amp;SMALL(PN_list,COUNTIF(PN_list,"&lt;"&amp;I459*bar_per_m)+1),"&gt; max PN")</f>
        <v>PN25</v>
      </c>
      <c r="K459" s="4" t="str">
        <f aca="false">IF(L459="no","end at tank",IF(H459&lt;0,"NEGATIVE",IF(H459&lt;p_min-0.005,"low","OK")))</f>
        <v>OK</v>
      </c>
      <c r="L459" s="4" t="s">
        <v>414</v>
      </c>
    </row>
    <row r="460" customFormat="false" ht="15" hidden="false" customHeight="false" outlineLevel="0" collapsed="false">
      <c r="A460" s="4" t="s">
        <v>42</v>
      </c>
      <c r="B460" s="4" t="s">
        <v>368</v>
      </c>
      <c r="C460" s="47" t="n">
        <v>2059.46</v>
      </c>
      <c r="D460" s="48" t="n">
        <v>1456.49</v>
      </c>
      <c r="E460" s="49" t="n">
        <f aca="false">D460-cover</f>
        <v>1455.29</v>
      </c>
      <c r="F460" s="50" t="n">
        <f aca="false">'Z5 Ikana-Nkangamo'!S12-'Z5 Ikana-Nkangamo'!P12*C460/'Z5 Ikana-Nkangamo'!G12</f>
        <v>1660.56949454067</v>
      </c>
      <c r="G460" s="51" t="n">
        <f aca="false">'Z5 Ikana-Nkangamo'!$B$8-E460</f>
        <v>212.71</v>
      </c>
      <c r="H460" s="52" t="n">
        <f aca="false">F460-E460</f>
        <v>205.279494540674</v>
      </c>
      <c r="I460" s="52" t="n">
        <f aca="false">MAX(H460,G460)</f>
        <v>212.71</v>
      </c>
      <c r="J460" s="4" t="str">
        <f aca="false">IFERROR("PN"&amp;SMALL(PN_list,COUNTIF(PN_list,"&lt;"&amp;I460*bar_per_m)+1),"&gt; max PN")</f>
        <v>PN25</v>
      </c>
      <c r="K460" s="4" t="str">
        <f aca="false">IF(L460="no","end at tank",IF(H460&lt;0,"NEGATIVE",IF(H460&lt;p_min-0.005,"low","OK")))</f>
        <v>OK</v>
      </c>
      <c r="L460" s="4" t="s">
        <v>414</v>
      </c>
    </row>
    <row r="461" customFormat="false" ht="15" hidden="false" customHeight="false" outlineLevel="0" collapsed="false">
      <c r="A461" s="4" t="s">
        <v>42</v>
      </c>
      <c r="B461" s="4" t="s">
        <v>368</v>
      </c>
      <c r="C461" s="47" t="n">
        <v>2109.46</v>
      </c>
      <c r="D461" s="48" t="n">
        <v>1456.29</v>
      </c>
      <c r="E461" s="49" t="n">
        <f aca="false">D461-cover</f>
        <v>1455.09</v>
      </c>
      <c r="F461" s="50" t="n">
        <f aca="false">'Z5 Ikana-Nkangamo'!S12-'Z5 Ikana-Nkangamo'!P12*C461/'Z5 Ikana-Nkangamo'!G12</f>
        <v>1660.50320275886</v>
      </c>
      <c r="G461" s="51" t="n">
        <f aca="false">'Z5 Ikana-Nkangamo'!$B$8-E461</f>
        <v>212.91</v>
      </c>
      <c r="H461" s="52" t="n">
        <f aca="false">F461-E461</f>
        <v>205.413202758864</v>
      </c>
      <c r="I461" s="52" t="n">
        <f aca="false">MAX(H461,G461)</f>
        <v>212.91</v>
      </c>
      <c r="J461" s="4" t="str">
        <f aca="false">IFERROR("PN"&amp;SMALL(PN_list,COUNTIF(PN_list,"&lt;"&amp;I461*bar_per_m)+1),"&gt; max PN")</f>
        <v>PN25</v>
      </c>
      <c r="K461" s="4" t="str">
        <f aca="false">IF(L461="no","end at tank",IF(H461&lt;0,"NEGATIVE",IF(H461&lt;p_min-0.005,"low","OK")))</f>
        <v>OK</v>
      </c>
      <c r="L461" s="4" t="s">
        <v>414</v>
      </c>
    </row>
    <row r="462" customFormat="false" ht="15" hidden="false" customHeight="false" outlineLevel="0" collapsed="false">
      <c r="A462" s="4" t="s">
        <v>42</v>
      </c>
      <c r="B462" s="4" t="s">
        <v>368</v>
      </c>
      <c r="C462" s="47" t="n">
        <v>2159.46</v>
      </c>
      <c r="D462" s="48" t="n">
        <v>1456.23</v>
      </c>
      <c r="E462" s="49" t="n">
        <f aca="false">D462-cover</f>
        <v>1455.03</v>
      </c>
      <c r="F462" s="50" t="n">
        <f aca="false">'Z5 Ikana-Nkangamo'!S12-'Z5 Ikana-Nkangamo'!P12*C462/'Z5 Ikana-Nkangamo'!G12</f>
        <v>1660.43691097705</v>
      </c>
      <c r="G462" s="51" t="n">
        <f aca="false">'Z5 Ikana-Nkangamo'!$B$8-E462</f>
        <v>212.97</v>
      </c>
      <c r="H462" s="52" t="n">
        <f aca="false">F462-E462</f>
        <v>205.406910977054</v>
      </c>
      <c r="I462" s="52" t="n">
        <f aca="false">MAX(H462,G462)</f>
        <v>212.97</v>
      </c>
      <c r="J462" s="4" t="str">
        <f aca="false">IFERROR("PN"&amp;SMALL(PN_list,COUNTIF(PN_list,"&lt;"&amp;I462*bar_per_m)+1),"&gt; max PN")</f>
        <v>PN25</v>
      </c>
      <c r="K462" s="4" t="str">
        <f aca="false">IF(L462="no","end at tank",IF(H462&lt;0,"NEGATIVE",IF(H462&lt;p_min-0.005,"low","OK")))</f>
        <v>OK</v>
      </c>
      <c r="L462" s="4" t="s">
        <v>414</v>
      </c>
    </row>
    <row r="463" customFormat="false" ht="15" hidden="false" customHeight="false" outlineLevel="0" collapsed="false">
      <c r="A463" s="4" t="s">
        <v>42</v>
      </c>
      <c r="B463" s="4" t="s">
        <v>368</v>
      </c>
      <c r="C463" s="47" t="n">
        <v>2209.47</v>
      </c>
      <c r="D463" s="48" t="n">
        <v>1457.11</v>
      </c>
      <c r="E463" s="49" t="n">
        <f aca="false">D463-cover</f>
        <v>1455.91</v>
      </c>
      <c r="F463" s="50" t="n">
        <f aca="false">'Z5 Ikana-Nkangamo'!S12-'Z5 Ikana-Nkangamo'!P12*C463/'Z5 Ikana-Nkangamo'!G12</f>
        <v>1660.37060593689</v>
      </c>
      <c r="G463" s="51" t="n">
        <f aca="false">'Z5 Ikana-Nkangamo'!$B$8-E463</f>
        <v>212.09</v>
      </c>
      <c r="H463" s="52" t="n">
        <f aca="false">F463-E463</f>
        <v>204.460605936888</v>
      </c>
      <c r="I463" s="52" t="n">
        <f aca="false">MAX(H463,G463)</f>
        <v>212.09</v>
      </c>
      <c r="J463" s="4" t="str">
        <f aca="false">IFERROR("PN"&amp;SMALL(PN_list,COUNTIF(PN_list,"&lt;"&amp;I463*bar_per_m)+1),"&gt; max PN")</f>
        <v>PN25</v>
      </c>
      <c r="K463" s="4" t="str">
        <f aca="false">IF(L463="no","end at tank",IF(H463&lt;0,"NEGATIVE",IF(H463&lt;p_min-0.005,"low","OK")))</f>
        <v>OK</v>
      </c>
      <c r="L463" s="4" t="s">
        <v>414</v>
      </c>
    </row>
    <row r="464" customFormat="false" ht="15" hidden="false" customHeight="false" outlineLevel="0" collapsed="false">
      <c r="A464" s="4" t="s">
        <v>42</v>
      </c>
      <c r="B464" s="4" t="s">
        <v>368</v>
      </c>
      <c r="C464" s="47" t="n">
        <v>2259.47</v>
      </c>
      <c r="D464" s="48" t="n">
        <v>1457.1</v>
      </c>
      <c r="E464" s="49" t="n">
        <f aca="false">D464-cover</f>
        <v>1455.9</v>
      </c>
      <c r="F464" s="50" t="n">
        <f aca="false">'Z5 Ikana-Nkangamo'!S12-'Z5 Ikana-Nkangamo'!P12*C464/'Z5 Ikana-Nkangamo'!G12</f>
        <v>1660.30431415508</v>
      </c>
      <c r="G464" s="51" t="n">
        <f aca="false">'Z5 Ikana-Nkangamo'!$B$8-E464</f>
        <v>212.1</v>
      </c>
      <c r="H464" s="52" t="n">
        <f aca="false">F464-E464</f>
        <v>204.404314155078</v>
      </c>
      <c r="I464" s="52" t="n">
        <f aca="false">MAX(H464,G464)</f>
        <v>212.1</v>
      </c>
      <c r="J464" s="4" t="str">
        <f aca="false">IFERROR("PN"&amp;SMALL(PN_list,COUNTIF(PN_list,"&lt;"&amp;I464*bar_per_m)+1),"&gt; max PN")</f>
        <v>PN25</v>
      </c>
      <c r="K464" s="4" t="str">
        <f aca="false">IF(L464="no","end at tank",IF(H464&lt;0,"NEGATIVE",IF(H464&lt;p_min-0.005,"low","OK")))</f>
        <v>OK</v>
      </c>
      <c r="L464" s="4" t="s">
        <v>414</v>
      </c>
    </row>
    <row r="465" customFormat="false" ht="15" hidden="false" customHeight="false" outlineLevel="0" collapsed="false">
      <c r="A465" s="4" t="s">
        <v>42</v>
      </c>
      <c r="B465" s="4" t="s">
        <v>368</v>
      </c>
      <c r="C465" s="47" t="n">
        <v>2309.48</v>
      </c>
      <c r="D465" s="48" t="n">
        <v>1458.05</v>
      </c>
      <c r="E465" s="49" t="n">
        <f aca="false">D465-cover</f>
        <v>1456.85</v>
      </c>
      <c r="F465" s="50" t="n">
        <f aca="false">'Z5 Ikana-Nkangamo'!S12-'Z5 Ikana-Nkangamo'!P12*C465/'Z5 Ikana-Nkangamo'!G12</f>
        <v>1660.23800911491</v>
      </c>
      <c r="G465" s="51" t="n">
        <f aca="false">'Z5 Ikana-Nkangamo'!$B$8-E465</f>
        <v>211.15</v>
      </c>
      <c r="H465" s="52" t="n">
        <f aca="false">F465-E465</f>
        <v>203.388009114911</v>
      </c>
      <c r="I465" s="52" t="n">
        <f aca="false">MAX(H465,G465)</f>
        <v>211.15</v>
      </c>
      <c r="J465" s="4" t="str">
        <f aca="false">IFERROR("PN"&amp;SMALL(PN_list,COUNTIF(PN_list,"&lt;"&amp;I465*bar_per_m)+1),"&gt; max PN")</f>
        <v>PN25</v>
      </c>
      <c r="K465" s="4" t="str">
        <f aca="false">IF(L465="no","end at tank",IF(H465&lt;0,"NEGATIVE",IF(H465&lt;p_min-0.005,"low","OK")))</f>
        <v>OK</v>
      </c>
      <c r="L465" s="4" t="s">
        <v>414</v>
      </c>
    </row>
    <row r="466" customFormat="false" ht="15" hidden="false" customHeight="false" outlineLevel="0" collapsed="false">
      <c r="A466" s="4" t="s">
        <v>42</v>
      </c>
      <c r="B466" s="4" t="s">
        <v>368</v>
      </c>
      <c r="C466" s="47" t="n">
        <v>2359.48</v>
      </c>
      <c r="D466" s="48" t="n">
        <v>1458.72</v>
      </c>
      <c r="E466" s="49" t="n">
        <f aca="false">D466-cover</f>
        <v>1457.52</v>
      </c>
      <c r="F466" s="50" t="n">
        <f aca="false">'Z5 Ikana-Nkangamo'!S12-'Z5 Ikana-Nkangamo'!P12*C466/'Z5 Ikana-Nkangamo'!G12</f>
        <v>1660.1717173331</v>
      </c>
      <c r="G466" s="51" t="n">
        <f aca="false">'Z5 Ikana-Nkangamo'!$B$8-E466</f>
        <v>210.48</v>
      </c>
      <c r="H466" s="52" t="n">
        <f aca="false">F466-E466</f>
        <v>202.651717333102</v>
      </c>
      <c r="I466" s="52" t="n">
        <f aca="false">MAX(H466,G466)</f>
        <v>210.48</v>
      </c>
      <c r="J466" s="4" t="str">
        <f aca="false">IFERROR("PN"&amp;SMALL(PN_list,COUNTIF(PN_list,"&lt;"&amp;I466*bar_per_m)+1),"&gt; max PN")</f>
        <v>PN25</v>
      </c>
      <c r="K466" s="4" t="str">
        <f aca="false">IF(L466="no","end at tank",IF(H466&lt;0,"NEGATIVE",IF(H466&lt;p_min-0.005,"low","OK")))</f>
        <v>OK</v>
      </c>
      <c r="L466" s="4" t="s">
        <v>414</v>
      </c>
    </row>
    <row r="467" customFormat="false" ht="15" hidden="false" customHeight="false" outlineLevel="0" collapsed="false">
      <c r="A467" s="4" t="s">
        <v>42</v>
      </c>
      <c r="B467" s="4" t="s">
        <v>368</v>
      </c>
      <c r="C467" s="47" t="n">
        <v>2409.48</v>
      </c>
      <c r="D467" s="48" t="n">
        <v>1459.22</v>
      </c>
      <c r="E467" s="49" t="n">
        <f aca="false">D467-cover</f>
        <v>1458.02</v>
      </c>
      <c r="F467" s="50" t="n">
        <f aca="false">'Z5 Ikana-Nkangamo'!S12-'Z5 Ikana-Nkangamo'!P12*C467/'Z5 Ikana-Nkangamo'!G12</f>
        <v>1660.10542555129</v>
      </c>
      <c r="G467" s="51" t="n">
        <f aca="false">'Z5 Ikana-Nkangamo'!$B$8-E467</f>
        <v>209.98</v>
      </c>
      <c r="H467" s="52" t="n">
        <f aca="false">F467-E467</f>
        <v>202.085425551292</v>
      </c>
      <c r="I467" s="52" t="n">
        <f aca="false">MAX(H467,G467)</f>
        <v>209.98</v>
      </c>
      <c r="J467" s="4" t="str">
        <f aca="false">IFERROR("PN"&amp;SMALL(PN_list,COUNTIF(PN_list,"&lt;"&amp;I467*bar_per_m)+1),"&gt; max PN")</f>
        <v>PN25</v>
      </c>
      <c r="K467" s="4" t="str">
        <f aca="false">IF(L467="no","end at tank",IF(H467&lt;0,"NEGATIVE",IF(H467&lt;p_min-0.005,"low","OK")))</f>
        <v>OK</v>
      </c>
      <c r="L467" s="4" t="s">
        <v>414</v>
      </c>
    </row>
    <row r="468" customFormat="false" ht="15" hidden="false" customHeight="false" outlineLevel="0" collapsed="false">
      <c r="A468" s="4" t="s">
        <v>42</v>
      </c>
      <c r="B468" s="4" t="s">
        <v>368</v>
      </c>
      <c r="C468" s="47" t="n">
        <v>2459.49</v>
      </c>
      <c r="D468" s="48" t="n">
        <v>1459.83</v>
      </c>
      <c r="E468" s="49" t="n">
        <f aca="false">D468-cover</f>
        <v>1458.63</v>
      </c>
      <c r="F468" s="50" t="n">
        <f aca="false">'Z5 Ikana-Nkangamo'!S12-'Z5 Ikana-Nkangamo'!P12*C468/'Z5 Ikana-Nkangamo'!G12</f>
        <v>1660.03912051113</v>
      </c>
      <c r="G468" s="51" t="n">
        <f aca="false">'Z5 Ikana-Nkangamo'!$B$8-E468</f>
        <v>209.37</v>
      </c>
      <c r="H468" s="52" t="n">
        <f aca="false">F468-E468</f>
        <v>201.409120511125</v>
      </c>
      <c r="I468" s="52" t="n">
        <f aca="false">MAX(H468,G468)</f>
        <v>209.37</v>
      </c>
      <c r="J468" s="4" t="str">
        <f aca="false">IFERROR("PN"&amp;SMALL(PN_list,COUNTIF(PN_list,"&lt;"&amp;I468*bar_per_m)+1),"&gt; max PN")</f>
        <v>PN25</v>
      </c>
      <c r="K468" s="4" t="str">
        <f aca="false">IF(L468="no","end at tank",IF(H468&lt;0,"NEGATIVE",IF(H468&lt;p_min-0.005,"low","OK")))</f>
        <v>OK</v>
      </c>
      <c r="L468" s="4" t="s">
        <v>414</v>
      </c>
    </row>
    <row r="469" customFormat="false" ht="15" hidden="false" customHeight="false" outlineLevel="0" collapsed="false">
      <c r="A469" s="4" t="s">
        <v>42</v>
      </c>
      <c r="B469" s="4" t="s">
        <v>368</v>
      </c>
      <c r="C469" s="47" t="n">
        <v>2509.49</v>
      </c>
      <c r="D469" s="48" t="n">
        <v>1459.77</v>
      </c>
      <c r="E469" s="49" t="n">
        <f aca="false">D469-cover</f>
        <v>1458.57</v>
      </c>
      <c r="F469" s="50" t="n">
        <f aca="false">'Z5 Ikana-Nkangamo'!S12-'Z5 Ikana-Nkangamo'!P12*C469/'Z5 Ikana-Nkangamo'!G12</f>
        <v>1659.97282872932</v>
      </c>
      <c r="G469" s="51" t="n">
        <f aca="false">'Z5 Ikana-Nkangamo'!$B$8-E469</f>
        <v>209.43</v>
      </c>
      <c r="H469" s="52" t="n">
        <f aca="false">F469-E469</f>
        <v>201.402828729315</v>
      </c>
      <c r="I469" s="52" t="n">
        <f aca="false">MAX(H469,G469)</f>
        <v>209.43</v>
      </c>
      <c r="J469" s="4" t="str">
        <f aca="false">IFERROR("PN"&amp;SMALL(PN_list,COUNTIF(PN_list,"&lt;"&amp;I469*bar_per_m)+1),"&gt; max PN")</f>
        <v>PN25</v>
      </c>
      <c r="K469" s="4" t="str">
        <f aca="false">IF(L469="no","end at tank",IF(H469&lt;0,"NEGATIVE",IF(H469&lt;p_min-0.005,"low","OK")))</f>
        <v>OK</v>
      </c>
      <c r="L469" s="4" t="s">
        <v>414</v>
      </c>
    </row>
    <row r="470" customFormat="false" ht="15" hidden="false" customHeight="false" outlineLevel="0" collapsed="false">
      <c r="A470" s="4" t="s">
        <v>42</v>
      </c>
      <c r="B470" s="4" t="s">
        <v>368</v>
      </c>
      <c r="C470" s="47" t="n">
        <v>2559.49</v>
      </c>
      <c r="D470" s="48" t="n">
        <v>1460.05</v>
      </c>
      <c r="E470" s="49" t="n">
        <f aca="false">D470-cover</f>
        <v>1458.85</v>
      </c>
      <c r="F470" s="50" t="n">
        <f aca="false">'Z5 Ikana-Nkangamo'!S12-'Z5 Ikana-Nkangamo'!P12*C470/'Z5 Ikana-Nkangamo'!G12</f>
        <v>1659.90653694751</v>
      </c>
      <c r="G470" s="51" t="n">
        <f aca="false">'Z5 Ikana-Nkangamo'!$B$8-E470</f>
        <v>209.15</v>
      </c>
      <c r="H470" s="52" t="n">
        <f aca="false">F470-E470</f>
        <v>201.056536947506</v>
      </c>
      <c r="I470" s="52" t="n">
        <f aca="false">MAX(H470,G470)</f>
        <v>209.15</v>
      </c>
      <c r="J470" s="4" t="str">
        <f aca="false">IFERROR("PN"&amp;SMALL(PN_list,COUNTIF(PN_list,"&lt;"&amp;I470*bar_per_m)+1),"&gt; max PN")</f>
        <v>PN25</v>
      </c>
      <c r="K470" s="4" t="str">
        <f aca="false">IF(L470="no","end at tank",IF(H470&lt;0,"NEGATIVE",IF(H470&lt;p_min-0.005,"low","OK")))</f>
        <v>OK</v>
      </c>
      <c r="L470" s="4" t="s">
        <v>414</v>
      </c>
    </row>
    <row r="471" customFormat="false" ht="15" hidden="false" customHeight="false" outlineLevel="0" collapsed="false">
      <c r="A471" s="4" t="s">
        <v>42</v>
      </c>
      <c r="B471" s="4" t="s">
        <v>368</v>
      </c>
      <c r="C471" s="47" t="n">
        <v>2609.49</v>
      </c>
      <c r="D471" s="48" t="n">
        <v>1460.41</v>
      </c>
      <c r="E471" s="49" t="n">
        <f aca="false">D471-cover</f>
        <v>1459.21</v>
      </c>
      <c r="F471" s="50" t="n">
        <f aca="false">'Z5 Ikana-Nkangamo'!S12-'Z5 Ikana-Nkangamo'!P12*C471/'Z5 Ikana-Nkangamo'!G12</f>
        <v>1659.8402451657</v>
      </c>
      <c r="G471" s="51" t="n">
        <f aca="false">'Z5 Ikana-Nkangamo'!$B$8-E471</f>
        <v>208.79</v>
      </c>
      <c r="H471" s="52" t="n">
        <f aca="false">F471-E471</f>
        <v>200.630245165695</v>
      </c>
      <c r="I471" s="52" t="n">
        <f aca="false">MAX(H471,G471)</f>
        <v>208.79</v>
      </c>
      <c r="J471" s="4" t="str">
        <f aca="false">IFERROR("PN"&amp;SMALL(PN_list,COUNTIF(PN_list,"&lt;"&amp;I471*bar_per_m)+1),"&gt; max PN")</f>
        <v>PN25</v>
      </c>
      <c r="K471" s="4" t="str">
        <f aca="false">IF(L471="no","end at tank",IF(H471&lt;0,"NEGATIVE",IF(H471&lt;p_min-0.005,"low","OK")))</f>
        <v>OK</v>
      </c>
      <c r="L471" s="4" t="s">
        <v>414</v>
      </c>
    </row>
    <row r="472" customFormat="false" ht="15" hidden="false" customHeight="false" outlineLevel="0" collapsed="false">
      <c r="A472" s="4" t="s">
        <v>42</v>
      </c>
      <c r="B472" s="4" t="s">
        <v>368</v>
      </c>
      <c r="C472" s="47" t="n">
        <v>2659.49</v>
      </c>
      <c r="D472" s="48" t="n">
        <v>1459.92</v>
      </c>
      <c r="E472" s="49" t="n">
        <f aca="false">D472-cover</f>
        <v>1458.72</v>
      </c>
      <c r="F472" s="50" t="n">
        <f aca="false">'Z5 Ikana-Nkangamo'!S12-'Z5 Ikana-Nkangamo'!P12*C472/'Z5 Ikana-Nkangamo'!G12</f>
        <v>1659.77395338389</v>
      </c>
      <c r="G472" s="51" t="n">
        <f aca="false">'Z5 Ikana-Nkangamo'!$B$8-E472</f>
        <v>209.28</v>
      </c>
      <c r="H472" s="52" t="n">
        <f aca="false">F472-E472</f>
        <v>201.053953383885</v>
      </c>
      <c r="I472" s="52" t="n">
        <f aca="false">MAX(H472,G472)</f>
        <v>209.28</v>
      </c>
      <c r="J472" s="4" t="str">
        <f aca="false">IFERROR("PN"&amp;SMALL(PN_list,COUNTIF(PN_list,"&lt;"&amp;I472*bar_per_m)+1),"&gt; max PN")</f>
        <v>PN25</v>
      </c>
      <c r="K472" s="4" t="str">
        <f aca="false">IF(L472="no","end at tank",IF(H472&lt;0,"NEGATIVE",IF(H472&lt;p_min-0.005,"low","OK")))</f>
        <v>OK</v>
      </c>
      <c r="L472" s="4" t="s">
        <v>414</v>
      </c>
    </row>
    <row r="473" customFormat="false" ht="15" hidden="false" customHeight="false" outlineLevel="0" collapsed="false">
      <c r="A473" s="4" t="s">
        <v>42</v>
      </c>
      <c r="B473" s="4" t="s">
        <v>368</v>
      </c>
      <c r="C473" s="47" t="n">
        <v>2709.49</v>
      </c>
      <c r="D473" s="48" t="n">
        <v>1459.75</v>
      </c>
      <c r="E473" s="49" t="n">
        <f aca="false">D473-cover</f>
        <v>1458.55</v>
      </c>
      <c r="F473" s="50" t="n">
        <f aca="false">'Z5 Ikana-Nkangamo'!S12-'Z5 Ikana-Nkangamo'!P12*C473/'Z5 Ikana-Nkangamo'!G12</f>
        <v>1659.70766160208</v>
      </c>
      <c r="G473" s="51" t="n">
        <f aca="false">'Z5 Ikana-Nkangamo'!$B$8-E473</f>
        <v>209.45</v>
      </c>
      <c r="H473" s="52" t="n">
        <f aca="false">F473-E473</f>
        <v>201.157661602075</v>
      </c>
      <c r="I473" s="52" t="n">
        <f aca="false">MAX(H473,G473)</f>
        <v>209.45</v>
      </c>
      <c r="J473" s="4" t="str">
        <f aca="false">IFERROR("PN"&amp;SMALL(PN_list,COUNTIF(PN_list,"&lt;"&amp;I473*bar_per_m)+1),"&gt; max PN")</f>
        <v>PN25</v>
      </c>
      <c r="K473" s="4" t="str">
        <f aca="false">IF(L473="no","end at tank",IF(H473&lt;0,"NEGATIVE",IF(H473&lt;p_min-0.005,"low","OK")))</f>
        <v>OK</v>
      </c>
      <c r="L473" s="4" t="s">
        <v>414</v>
      </c>
    </row>
    <row r="474" customFormat="false" ht="15" hidden="false" customHeight="false" outlineLevel="0" collapsed="false">
      <c r="A474" s="4" t="s">
        <v>42</v>
      </c>
      <c r="B474" s="4" t="s">
        <v>368</v>
      </c>
      <c r="C474" s="47" t="n">
        <v>2759.5</v>
      </c>
      <c r="D474" s="48" t="n">
        <v>1459.06</v>
      </c>
      <c r="E474" s="49" t="n">
        <f aca="false">D474-cover</f>
        <v>1457.86</v>
      </c>
      <c r="F474" s="50" t="n">
        <f aca="false">'Z5 Ikana-Nkangamo'!S12-'Z5 Ikana-Nkangamo'!P12*C474/'Z5 Ikana-Nkangamo'!G12</f>
        <v>1659.64135656191</v>
      </c>
      <c r="G474" s="51" t="n">
        <f aca="false">'Z5 Ikana-Nkangamo'!$B$8-E474</f>
        <v>210.14</v>
      </c>
      <c r="H474" s="52" t="n">
        <f aca="false">F474-E474</f>
        <v>201.781356561909</v>
      </c>
      <c r="I474" s="52" t="n">
        <f aca="false">MAX(H474,G474)</f>
        <v>210.14</v>
      </c>
      <c r="J474" s="4" t="str">
        <f aca="false">IFERROR("PN"&amp;SMALL(PN_list,COUNTIF(PN_list,"&lt;"&amp;I474*bar_per_m)+1),"&gt; max PN")</f>
        <v>PN25</v>
      </c>
      <c r="K474" s="4" t="str">
        <f aca="false">IF(L474="no","end at tank",IF(H474&lt;0,"NEGATIVE",IF(H474&lt;p_min-0.005,"low","OK")))</f>
        <v>OK</v>
      </c>
      <c r="L474" s="4" t="s">
        <v>414</v>
      </c>
    </row>
    <row r="475" customFormat="false" ht="15" hidden="false" customHeight="false" outlineLevel="0" collapsed="false">
      <c r="A475" s="4" t="s">
        <v>42</v>
      </c>
      <c r="B475" s="4" t="s">
        <v>368</v>
      </c>
      <c r="C475" s="47" t="n">
        <v>2809.5</v>
      </c>
      <c r="D475" s="48" t="n">
        <v>1459.48</v>
      </c>
      <c r="E475" s="49" t="n">
        <f aca="false">D475-cover</f>
        <v>1458.28</v>
      </c>
      <c r="F475" s="50" t="n">
        <f aca="false">'Z5 Ikana-Nkangamo'!S12-'Z5 Ikana-Nkangamo'!P12*C475/'Z5 Ikana-Nkangamo'!G12</f>
        <v>1659.5750647801</v>
      </c>
      <c r="G475" s="51" t="n">
        <f aca="false">'Z5 Ikana-Nkangamo'!$B$8-E475</f>
        <v>209.72</v>
      </c>
      <c r="H475" s="52" t="n">
        <f aca="false">F475-E475</f>
        <v>201.295064780099</v>
      </c>
      <c r="I475" s="52" t="n">
        <f aca="false">MAX(H475,G475)</f>
        <v>209.72</v>
      </c>
      <c r="J475" s="4" t="str">
        <f aca="false">IFERROR("PN"&amp;SMALL(PN_list,COUNTIF(PN_list,"&lt;"&amp;I475*bar_per_m)+1),"&gt; max PN")</f>
        <v>PN25</v>
      </c>
      <c r="K475" s="4" t="str">
        <f aca="false">IF(L475="no","end at tank",IF(H475&lt;0,"NEGATIVE",IF(H475&lt;p_min-0.005,"low","OK")))</f>
        <v>OK</v>
      </c>
      <c r="L475" s="4" t="s">
        <v>414</v>
      </c>
    </row>
    <row r="476" customFormat="false" ht="15" hidden="false" customHeight="false" outlineLevel="0" collapsed="false">
      <c r="A476" s="4" t="s">
        <v>42</v>
      </c>
      <c r="B476" s="4" t="s">
        <v>368</v>
      </c>
      <c r="C476" s="47" t="n">
        <v>2859.51</v>
      </c>
      <c r="D476" s="48" t="n">
        <v>1458.44</v>
      </c>
      <c r="E476" s="49" t="n">
        <f aca="false">D476-cover</f>
        <v>1457.24</v>
      </c>
      <c r="F476" s="50" t="n">
        <f aca="false">'Z5 Ikana-Nkangamo'!S12-'Z5 Ikana-Nkangamo'!P12*C476/'Z5 Ikana-Nkangamo'!G12</f>
        <v>1659.50875973993</v>
      </c>
      <c r="G476" s="51" t="n">
        <f aca="false">'Z5 Ikana-Nkangamo'!$B$8-E476</f>
        <v>210.76</v>
      </c>
      <c r="H476" s="52" t="n">
        <f aca="false">F476-E476</f>
        <v>202.268759739933</v>
      </c>
      <c r="I476" s="52" t="n">
        <f aca="false">MAX(H476,G476)</f>
        <v>210.76</v>
      </c>
      <c r="J476" s="4" t="str">
        <f aca="false">IFERROR("PN"&amp;SMALL(PN_list,COUNTIF(PN_list,"&lt;"&amp;I476*bar_per_m)+1),"&gt; max PN")</f>
        <v>PN25</v>
      </c>
      <c r="K476" s="4" t="str">
        <f aca="false">IF(L476="no","end at tank",IF(H476&lt;0,"NEGATIVE",IF(H476&lt;p_min-0.005,"low","OK")))</f>
        <v>OK</v>
      </c>
      <c r="L476" s="4" t="s">
        <v>414</v>
      </c>
    </row>
    <row r="477" customFormat="false" ht="15" hidden="false" customHeight="false" outlineLevel="0" collapsed="false">
      <c r="A477" s="4" t="s">
        <v>42</v>
      </c>
      <c r="B477" s="4" t="s">
        <v>368</v>
      </c>
      <c r="C477" s="47" t="n">
        <v>2906.15</v>
      </c>
      <c r="D477" s="48" t="n">
        <v>1457.89</v>
      </c>
      <c r="E477" s="49" t="n">
        <f aca="false">D477-cover</f>
        <v>1456.69</v>
      </c>
      <c r="F477" s="50" t="n">
        <f aca="false">'Z5 Ikana-Nkangamo'!S12-'Z5 Ikana-Nkangamo'!P12*C477/'Z5 Ikana-Nkangamo'!G12</f>
        <v>1659.44692276586</v>
      </c>
      <c r="G477" s="51" t="n">
        <f aca="false">'Z5 Ikana-Nkangamo'!$B$8-E477</f>
        <v>211.31</v>
      </c>
      <c r="H477" s="52" t="n">
        <f aca="false">F477-E477</f>
        <v>202.756922765861</v>
      </c>
      <c r="I477" s="52" t="n">
        <f aca="false">MAX(H477,G477)</f>
        <v>211.31</v>
      </c>
      <c r="J477" s="4" t="str">
        <f aca="false">IFERROR("PN"&amp;SMALL(PN_list,COUNTIF(PN_list,"&lt;"&amp;I477*bar_per_m)+1),"&gt; max PN")</f>
        <v>PN25</v>
      </c>
      <c r="K477" s="4" t="str">
        <f aca="false">IF(L477="no","end at tank",IF(H477&lt;0,"NEGATIVE",IF(H477&lt;p_min-0.005,"low","OK")))</f>
        <v>OK</v>
      </c>
      <c r="L477" s="4" t="s">
        <v>414</v>
      </c>
    </row>
    <row r="478" customFormat="false" ht="15" hidden="false" customHeight="false" outlineLevel="0" collapsed="false">
      <c r="A478" s="4" t="s">
        <v>42</v>
      </c>
      <c r="B478" s="4" t="s">
        <v>368</v>
      </c>
      <c r="C478" s="47" t="n">
        <v>2956.16</v>
      </c>
      <c r="D478" s="48" t="n">
        <v>1458.35</v>
      </c>
      <c r="E478" s="49" t="n">
        <f aca="false">D478-cover</f>
        <v>1457.15</v>
      </c>
      <c r="F478" s="50" t="n">
        <f aca="false">'Z5 Ikana-Nkangamo'!S12-'Z5 Ikana-Nkangamo'!P12*C478/'Z5 Ikana-Nkangamo'!G12</f>
        <v>1659.38061772569</v>
      </c>
      <c r="G478" s="51" t="n">
        <f aca="false">'Z5 Ikana-Nkangamo'!$B$8-E478</f>
        <v>210.85</v>
      </c>
      <c r="H478" s="52" t="n">
        <f aca="false">F478-E478</f>
        <v>202.230617725694</v>
      </c>
      <c r="I478" s="52" t="n">
        <f aca="false">MAX(H478,G478)</f>
        <v>210.85</v>
      </c>
      <c r="J478" s="4" t="str">
        <f aca="false">IFERROR("PN"&amp;SMALL(PN_list,COUNTIF(PN_list,"&lt;"&amp;I478*bar_per_m)+1),"&gt; max PN")</f>
        <v>PN25</v>
      </c>
      <c r="K478" s="4" t="str">
        <f aca="false">IF(L478="no","end at tank",IF(H478&lt;0,"NEGATIVE",IF(H478&lt;p_min-0.005,"low","OK")))</f>
        <v>OK</v>
      </c>
      <c r="L478" s="4" t="s">
        <v>414</v>
      </c>
    </row>
    <row r="479" customFormat="false" ht="15" hidden="false" customHeight="false" outlineLevel="0" collapsed="false">
      <c r="A479" s="4" t="s">
        <v>42</v>
      </c>
      <c r="B479" s="4" t="s">
        <v>368</v>
      </c>
      <c r="C479" s="47" t="n">
        <v>3006.16</v>
      </c>
      <c r="D479" s="48" t="n">
        <v>1458.6</v>
      </c>
      <c r="E479" s="49" t="n">
        <f aca="false">D479-cover</f>
        <v>1457.4</v>
      </c>
      <c r="F479" s="50" t="n">
        <f aca="false">'Z5 Ikana-Nkangamo'!S12-'Z5 Ikana-Nkangamo'!P12*C479/'Z5 Ikana-Nkangamo'!G12</f>
        <v>1659.31432594388</v>
      </c>
      <c r="G479" s="51" t="n">
        <f aca="false">'Z5 Ikana-Nkangamo'!$B$8-E479</f>
        <v>210.6</v>
      </c>
      <c r="H479" s="52" t="n">
        <f aca="false">F479-E479</f>
        <v>201.914325943884</v>
      </c>
      <c r="I479" s="52" t="n">
        <f aca="false">MAX(H479,G479)</f>
        <v>210.6</v>
      </c>
      <c r="J479" s="4" t="str">
        <f aca="false">IFERROR("PN"&amp;SMALL(PN_list,COUNTIF(PN_list,"&lt;"&amp;I479*bar_per_m)+1),"&gt; max PN")</f>
        <v>PN25</v>
      </c>
      <c r="K479" s="4" t="str">
        <f aca="false">IF(L479="no","end at tank",IF(H479&lt;0,"NEGATIVE",IF(H479&lt;p_min-0.005,"low","OK")))</f>
        <v>OK</v>
      </c>
      <c r="L479" s="4" t="s">
        <v>414</v>
      </c>
    </row>
    <row r="480" customFormat="false" ht="15" hidden="false" customHeight="false" outlineLevel="0" collapsed="false">
      <c r="A480" s="4" t="s">
        <v>42</v>
      </c>
      <c r="B480" s="4" t="s">
        <v>368</v>
      </c>
      <c r="C480" s="47" t="n">
        <v>3056.16</v>
      </c>
      <c r="D480" s="48" t="n">
        <v>1458.48</v>
      </c>
      <c r="E480" s="49" t="n">
        <f aca="false">D480-cover</f>
        <v>1457.28</v>
      </c>
      <c r="F480" s="50" t="n">
        <f aca="false">'Z5 Ikana-Nkangamo'!S12-'Z5 Ikana-Nkangamo'!P12*C480/'Z5 Ikana-Nkangamo'!G12</f>
        <v>1659.24803416207</v>
      </c>
      <c r="G480" s="51" t="n">
        <f aca="false">'Z5 Ikana-Nkangamo'!$B$8-E480</f>
        <v>210.72</v>
      </c>
      <c r="H480" s="52" t="n">
        <f aca="false">F480-E480</f>
        <v>201.968034162074</v>
      </c>
      <c r="I480" s="52" t="n">
        <f aca="false">MAX(H480,G480)</f>
        <v>210.72</v>
      </c>
      <c r="J480" s="4" t="str">
        <f aca="false">IFERROR("PN"&amp;SMALL(PN_list,COUNTIF(PN_list,"&lt;"&amp;I480*bar_per_m)+1),"&gt; max PN")</f>
        <v>PN25</v>
      </c>
      <c r="K480" s="4" t="str">
        <f aca="false">IF(L480="no","end at tank",IF(H480&lt;0,"NEGATIVE",IF(H480&lt;p_min-0.005,"low","OK")))</f>
        <v>OK</v>
      </c>
      <c r="L480" s="4" t="s">
        <v>414</v>
      </c>
    </row>
    <row r="481" customFormat="false" ht="15" hidden="false" customHeight="false" outlineLevel="0" collapsed="false">
      <c r="A481" s="4" t="s">
        <v>42</v>
      </c>
      <c r="B481" s="4" t="s">
        <v>368</v>
      </c>
      <c r="C481" s="47" t="n">
        <v>3106.16</v>
      </c>
      <c r="D481" s="48" t="n">
        <v>1458.45</v>
      </c>
      <c r="E481" s="49" t="n">
        <f aca="false">D481-cover</f>
        <v>1457.25</v>
      </c>
      <c r="F481" s="50" t="n">
        <f aca="false">'Z5 Ikana-Nkangamo'!S12-'Z5 Ikana-Nkangamo'!P12*C481/'Z5 Ikana-Nkangamo'!G12</f>
        <v>1659.18174238026</v>
      </c>
      <c r="G481" s="51" t="n">
        <f aca="false">'Z5 Ikana-Nkangamo'!$B$8-E481</f>
        <v>210.75</v>
      </c>
      <c r="H481" s="52" t="n">
        <f aca="false">F481-E481</f>
        <v>201.931742380265</v>
      </c>
      <c r="I481" s="52" t="n">
        <f aca="false">MAX(H481,G481)</f>
        <v>210.75</v>
      </c>
      <c r="J481" s="4" t="str">
        <f aca="false">IFERROR("PN"&amp;SMALL(PN_list,COUNTIF(PN_list,"&lt;"&amp;I481*bar_per_m)+1),"&gt; max PN")</f>
        <v>PN25</v>
      </c>
      <c r="K481" s="4" t="str">
        <f aca="false">IF(L481="no","end at tank",IF(H481&lt;0,"NEGATIVE",IF(H481&lt;p_min-0.005,"low","OK")))</f>
        <v>OK</v>
      </c>
      <c r="L481" s="4" t="s">
        <v>414</v>
      </c>
    </row>
    <row r="482" customFormat="false" ht="15" hidden="false" customHeight="false" outlineLevel="0" collapsed="false">
      <c r="A482" s="4" t="s">
        <v>42</v>
      </c>
      <c r="B482" s="4" t="s">
        <v>368</v>
      </c>
      <c r="C482" s="47" t="n">
        <v>3156.16</v>
      </c>
      <c r="D482" s="48" t="n">
        <v>1458.37</v>
      </c>
      <c r="E482" s="49" t="n">
        <f aca="false">D482-cover</f>
        <v>1457.17</v>
      </c>
      <c r="F482" s="50" t="n">
        <f aca="false">'Z5 Ikana-Nkangamo'!S12-'Z5 Ikana-Nkangamo'!P12*C482/'Z5 Ikana-Nkangamo'!G12</f>
        <v>1659.11545059845</v>
      </c>
      <c r="G482" s="51" t="n">
        <f aca="false">'Z5 Ikana-Nkangamo'!$B$8-E482</f>
        <v>210.83</v>
      </c>
      <c r="H482" s="52" t="n">
        <f aca="false">F482-E482</f>
        <v>201.945450598455</v>
      </c>
      <c r="I482" s="52" t="n">
        <f aca="false">MAX(H482,G482)</f>
        <v>210.83</v>
      </c>
      <c r="J482" s="4" t="str">
        <f aca="false">IFERROR("PN"&amp;SMALL(PN_list,COUNTIF(PN_list,"&lt;"&amp;I482*bar_per_m)+1),"&gt; max PN")</f>
        <v>PN25</v>
      </c>
      <c r="K482" s="4" t="str">
        <f aca="false">IF(L482="no","end at tank",IF(H482&lt;0,"NEGATIVE",IF(H482&lt;p_min-0.005,"low","OK")))</f>
        <v>OK</v>
      </c>
      <c r="L482" s="4" t="s">
        <v>414</v>
      </c>
    </row>
    <row r="483" customFormat="false" ht="15" hidden="false" customHeight="false" outlineLevel="0" collapsed="false">
      <c r="A483" s="4" t="s">
        <v>42</v>
      </c>
      <c r="B483" s="4" t="s">
        <v>368</v>
      </c>
      <c r="C483" s="47" t="n">
        <v>3206.16</v>
      </c>
      <c r="D483" s="48" t="n">
        <v>1458.6</v>
      </c>
      <c r="E483" s="49" t="n">
        <f aca="false">D483-cover</f>
        <v>1457.4</v>
      </c>
      <c r="F483" s="50" t="n">
        <f aca="false">'Z5 Ikana-Nkangamo'!S12-'Z5 Ikana-Nkangamo'!P12*C483/'Z5 Ikana-Nkangamo'!G12</f>
        <v>1659.04915881664</v>
      </c>
      <c r="G483" s="51" t="n">
        <f aca="false">'Z5 Ikana-Nkangamo'!$B$8-E483</f>
        <v>210.6</v>
      </c>
      <c r="H483" s="52" t="n">
        <f aca="false">F483-E483</f>
        <v>201.649158816645</v>
      </c>
      <c r="I483" s="52" t="n">
        <f aca="false">MAX(H483,G483)</f>
        <v>210.6</v>
      </c>
      <c r="J483" s="4" t="str">
        <f aca="false">IFERROR("PN"&amp;SMALL(PN_list,COUNTIF(PN_list,"&lt;"&amp;I483*bar_per_m)+1),"&gt; max PN")</f>
        <v>PN25</v>
      </c>
      <c r="K483" s="4" t="str">
        <f aca="false">IF(L483="no","end at tank",IF(H483&lt;0,"NEGATIVE",IF(H483&lt;p_min-0.005,"low","OK")))</f>
        <v>OK</v>
      </c>
      <c r="L483" s="4" t="s">
        <v>414</v>
      </c>
    </row>
    <row r="484" customFormat="false" ht="15" hidden="false" customHeight="false" outlineLevel="0" collapsed="false">
      <c r="A484" s="4" t="s">
        <v>42</v>
      </c>
      <c r="B484" s="4" t="s">
        <v>368</v>
      </c>
      <c r="C484" s="47" t="n">
        <v>3256.16</v>
      </c>
      <c r="D484" s="48" t="n">
        <v>1458.6</v>
      </c>
      <c r="E484" s="49" t="n">
        <f aca="false">D484-cover</f>
        <v>1457.4</v>
      </c>
      <c r="F484" s="50" t="n">
        <f aca="false">'Z5 Ikana-Nkangamo'!S12-'Z5 Ikana-Nkangamo'!P12*C484/'Z5 Ikana-Nkangamo'!G12</f>
        <v>1658.98286703483</v>
      </c>
      <c r="G484" s="51" t="n">
        <f aca="false">'Z5 Ikana-Nkangamo'!$B$8-E484</f>
        <v>210.6</v>
      </c>
      <c r="H484" s="52" t="n">
        <f aca="false">F484-E484</f>
        <v>201.582867034835</v>
      </c>
      <c r="I484" s="52" t="n">
        <f aca="false">MAX(H484,G484)</f>
        <v>210.6</v>
      </c>
      <c r="J484" s="4" t="str">
        <f aca="false">IFERROR("PN"&amp;SMALL(PN_list,COUNTIF(PN_list,"&lt;"&amp;I484*bar_per_m)+1),"&gt; max PN")</f>
        <v>PN25</v>
      </c>
      <c r="K484" s="4" t="str">
        <f aca="false">IF(L484="no","end at tank",IF(H484&lt;0,"NEGATIVE",IF(H484&lt;p_min-0.005,"low","OK")))</f>
        <v>OK</v>
      </c>
      <c r="L484" s="4" t="s">
        <v>414</v>
      </c>
    </row>
    <row r="485" customFormat="false" ht="15" hidden="false" customHeight="false" outlineLevel="0" collapsed="false">
      <c r="A485" s="4" t="s">
        <v>42</v>
      </c>
      <c r="B485" s="4" t="s">
        <v>368</v>
      </c>
      <c r="C485" s="47" t="n">
        <v>3306.16</v>
      </c>
      <c r="D485" s="48" t="n">
        <v>1458.8</v>
      </c>
      <c r="E485" s="49" t="n">
        <f aca="false">D485-cover</f>
        <v>1457.6</v>
      </c>
      <c r="F485" s="50" t="n">
        <f aca="false">'Z5 Ikana-Nkangamo'!S12-'Z5 Ikana-Nkangamo'!P12*C485/'Z5 Ikana-Nkangamo'!G12</f>
        <v>1658.91657525302</v>
      </c>
      <c r="G485" s="51" t="n">
        <f aca="false">'Z5 Ikana-Nkangamo'!$B$8-E485</f>
        <v>210.4</v>
      </c>
      <c r="H485" s="52" t="n">
        <f aca="false">F485-E485</f>
        <v>201.316575253025</v>
      </c>
      <c r="I485" s="52" t="n">
        <f aca="false">MAX(H485,G485)</f>
        <v>210.4</v>
      </c>
      <c r="J485" s="4" t="str">
        <f aca="false">IFERROR("PN"&amp;SMALL(PN_list,COUNTIF(PN_list,"&lt;"&amp;I485*bar_per_m)+1),"&gt; max PN")</f>
        <v>PN25</v>
      </c>
      <c r="K485" s="4" t="str">
        <f aca="false">IF(L485="no","end at tank",IF(H485&lt;0,"NEGATIVE",IF(H485&lt;p_min-0.005,"low","OK")))</f>
        <v>OK</v>
      </c>
      <c r="L485" s="4" t="s">
        <v>414</v>
      </c>
    </row>
    <row r="486" customFormat="false" ht="15" hidden="false" customHeight="false" outlineLevel="0" collapsed="false">
      <c r="A486" s="4" t="s">
        <v>42</v>
      </c>
      <c r="B486" s="4" t="s">
        <v>368</v>
      </c>
      <c r="C486" s="47" t="n">
        <v>3356.16</v>
      </c>
      <c r="D486" s="48" t="n">
        <v>1459.03</v>
      </c>
      <c r="E486" s="49" t="n">
        <f aca="false">D486-cover</f>
        <v>1457.83</v>
      </c>
      <c r="F486" s="50" t="n">
        <f aca="false">'Z5 Ikana-Nkangamo'!S12-'Z5 Ikana-Nkangamo'!P12*C486/'Z5 Ikana-Nkangamo'!G12</f>
        <v>1658.85028347121</v>
      </c>
      <c r="G486" s="51" t="n">
        <f aca="false">'Z5 Ikana-Nkangamo'!$B$8-E486</f>
        <v>210.17</v>
      </c>
      <c r="H486" s="52" t="n">
        <f aca="false">F486-E486</f>
        <v>201.020283471215</v>
      </c>
      <c r="I486" s="52" t="n">
        <f aca="false">MAX(H486,G486)</f>
        <v>210.17</v>
      </c>
      <c r="J486" s="4" t="str">
        <f aca="false">IFERROR("PN"&amp;SMALL(PN_list,COUNTIF(PN_list,"&lt;"&amp;I486*bar_per_m)+1),"&gt; max PN")</f>
        <v>PN25</v>
      </c>
      <c r="K486" s="4" t="str">
        <f aca="false">IF(L486="no","end at tank",IF(H486&lt;0,"NEGATIVE",IF(H486&lt;p_min-0.005,"low","OK")))</f>
        <v>OK</v>
      </c>
      <c r="L486" s="4" t="s">
        <v>414</v>
      </c>
    </row>
    <row r="487" customFormat="false" ht="15" hidden="false" customHeight="false" outlineLevel="0" collapsed="false">
      <c r="A487" s="4" t="s">
        <v>42</v>
      </c>
      <c r="B487" s="4" t="s">
        <v>368</v>
      </c>
      <c r="C487" s="47" t="n">
        <v>3406.16</v>
      </c>
      <c r="D487" s="48" t="n">
        <v>1459.58</v>
      </c>
      <c r="E487" s="49" t="n">
        <f aca="false">D487-cover</f>
        <v>1458.38</v>
      </c>
      <c r="F487" s="50" t="n">
        <f aca="false">'Z5 Ikana-Nkangamo'!S12-'Z5 Ikana-Nkangamo'!P12*C487/'Z5 Ikana-Nkangamo'!G12</f>
        <v>1658.7839916894</v>
      </c>
      <c r="G487" s="51" t="n">
        <f aca="false">'Z5 Ikana-Nkangamo'!$B$8-E487</f>
        <v>209.62</v>
      </c>
      <c r="H487" s="52" t="n">
        <f aca="false">F487-E487</f>
        <v>200.403991689405</v>
      </c>
      <c r="I487" s="52" t="n">
        <f aca="false">MAX(H487,G487)</f>
        <v>209.62</v>
      </c>
      <c r="J487" s="4" t="str">
        <f aca="false">IFERROR("PN"&amp;SMALL(PN_list,COUNTIF(PN_list,"&lt;"&amp;I487*bar_per_m)+1),"&gt; max PN")</f>
        <v>PN25</v>
      </c>
      <c r="K487" s="4" t="str">
        <f aca="false">IF(L487="no","end at tank",IF(H487&lt;0,"NEGATIVE",IF(H487&lt;p_min-0.005,"low","OK")))</f>
        <v>OK</v>
      </c>
      <c r="L487" s="4" t="s">
        <v>414</v>
      </c>
    </row>
    <row r="488" customFormat="false" ht="15" hidden="false" customHeight="false" outlineLevel="0" collapsed="false">
      <c r="A488" s="4" t="s">
        <v>42</v>
      </c>
      <c r="B488" s="4" t="s">
        <v>368</v>
      </c>
      <c r="C488" s="47" t="n">
        <v>3456.16</v>
      </c>
      <c r="D488" s="48" t="n">
        <v>1459.82</v>
      </c>
      <c r="E488" s="49" t="n">
        <f aca="false">D488-cover</f>
        <v>1458.62</v>
      </c>
      <c r="F488" s="50" t="n">
        <f aca="false">'Z5 Ikana-Nkangamo'!S12-'Z5 Ikana-Nkangamo'!P12*C488/'Z5 Ikana-Nkangamo'!G12</f>
        <v>1658.71769990759</v>
      </c>
      <c r="G488" s="51" t="n">
        <f aca="false">'Z5 Ikana-Nkangamo'!$B$8-E488</f>
        <v>209.38</v>
      </c>
      <c r="H488" s="52" t="n">
        <f aca="false">F488-E488</f>
        <v>200.097699907595</v>
      </c>
      <c r="I488" s="52" t="n">
        <f aca="false">MAX(H488,G488)</f>
        <v>209.38</v>
      </c>
      <c r="J488" s="4" t="str">
        <f aca="false">IFERROR("PN"&amp;SMALL(PN_list,COUNTIF(PN_list,"&lt;"&amp;I488*bar_per_m)+1),"&gt; max PN")</f>
        <v>PN25</v>
      </c>
      <c r="K488" s="4" t="str">
        <f aca="false">IF(L488="no","end at tank",IF(H488&lt;0,"NEGATIVE",IF(H488&lt;p_min-0.005,"low","OK")))</f>
        <v>OK</v>
      </c>
      <c r="L488" s="4" t="s">
        <v>414</v>
      </c>
    </row>
    <row r="489" customFormat="false" ht="15" hidden="false" customHeight="false" outlineLevel="0" collapsed="false">
      <c r="A489" s="4" t="s">
        <v>42</v>
      </c>
      <c r="B489" s="4" t="s">
        <v>368</v>
      </c>
      <c r="C489" s="47" t="n">
        <v>3506.16</v>
      </c>
      <c r="D489" s="48" t="n">
        <v>1460.21</v>
      </c>
      <c r="E489" s="49" t="n">
        <f aca="false">D489-cover</f>
        <v>1459.01</v>
      </c>
      <c r="F489" s="50" t="n">
        <f aca="false">'Z5 Ikana-Nkangamo'!S12-'Z5 Ikana-Nkangamo'!P12*C489/'Z5 Ikana-Nkangamo'!G12</f>
        <v>1658.65140812578</v>
      </c>
      <c r="G489" s="51" t="n">
        <f aca="false">'Z5 Ikana-Nkangamo'!$B$8-E489</f>
        <v>208.99</v>
      </c>
      <c r="H489" s="52" t="n">
        <f aca="false">F489-E489</f>
        <v>199.641408125785</v>
      </c>
      <c r="I489" s="52" t="n">
        <f aca="false">MAX(H489,G489)</f>
        <v>208.99</v>
      </c>
      <c r="J489" s="4" t="str">
        <f aca="false">IFERROR("PN"&amp;SMALL(PN_list,COUNTIF(PN_list,"&lt;"&amp;I489*bar_per_m)+1),"&gt; max PN")</f>
        <v>PN25</v>
      </c>
      <c r="K489" s="4" t="str">
        <f aca="false">IF(L489="no","end at tank",IF(H489&lt;0,"NEGATIVE",IF(H489&lt;p_min-0.005,"low","OK")))</f>
        <v>OK</v>
      </c>
      <c r="L489" s="4" t="s">
        <v>414</v>
      </c>
    </row>
    <row r="490" customFormat="false" ht="15" hidden="false" customHeight="false" outlineLevel="0" collapsed="false">
      <c r="A490" s="4" t="s">
        <v>42</v>
      </c>
      <c r="B490" s="4" t="s">
        <v>368</v>
      </c>
      <c r="C490" s="47" t="n">
        <v>3556.16</v>
      </c>
      <c r="D490" s="48" t="n">
        <v>1460.3</v>
      </c>
      <c r="E490" s="49" t="n">
        <f aca="false">D490-cover</f>
        <v>1459.1</v>
      </c>
      <c r="F490" s="50" t="n">
        <f aca="false">'Z5 Ikana-Nkangamo'!S12-'Z5 Ikana-Nkangamo'!P12*C490/'Z5 Ikana-Nkangamo'!G12</f>
        <v>1658.58511634398</v>
      </c>
      <c r="G490" s="51" t="n">
        <f aca="false">'Z5 Ikana-Nkangamo'!$B$8-E490</f>
        <v>208.9</v>
      </c>
      <c r="H490" s="52" t="n">
        <f aca="false">F490-E490</f>
        <v>199.485116343975</v>
      </c>
      <c r="I490" s="52" t="n">
        <f aca="false">MAX(H490,G490)</f>
        <v>208.9</v>
      </c>
      <c r="J490" s="4" t="str">
        <f aca="false">IFERROR("PN"&amp;SMALL(PN_list,COUNTIF(PN_list,"&lt;"&amp;I490*bar_per_m)+1),"&gt; max PN")</f>
        <v>PN25</v>
      </c>
      <c r="K490" s="4" t="str">
        <f aca="false">IF(L490="no","end at tank",IF(H490&lt;0,"NEGATIVE",IF(H490&lt;p_min-0.005,"low","OK")))</f>
        <v>OK</v>
      </c>
      <c r="L490" s="4" t="s">
        <v>414</v>
      </c>
    </row>
    <row r="491" customFormat="false" ht="15" hidden="false" customHeight="false" outlineLevel="0" collapsed="false">
      <c r="A491" s="4" t="s">
        <v>42</v>
      </c>
      <c r="B491" s="4" t="s">
        <v>368</v>
      </c>
      <c r="C491" s="47" t="n">
        <v>3606.16</v>
      </c>
      <c r="D491" s="48" t="n">
        <v>1460.55</v>
      </c>
      <c r="E491" s="49" t="n">
        <f aca="false">D491-cover</f>
        <v>1459.35</v>
      </c>
      <c r="F491" s="50" t="n">
        <f aca="false">'Z5 Ikana-Nkangamo'!S12-'Z5 Ikana-Nkangamo'!P12*C491/'Z5 Ikana-Nkangamo'!G12</f>
        <v>1658.51882456217</v>
      </c>
      <c r="G491" s="51" t="n">
        <f aca="false">'Z5 Ikana-Nkangamo'!$B$8-E491</f>
        <v>208.65</v>
      </c>
      <c r="H491" s="52" t="n">
        <f aca="false">F491-E491</f>
        <v>199.168824562165</v>
      </c>
      <c r="I491" s="52" t="n">
        <f aca="false">MAX(H491,G491)</f>
        <v>208.65</v>
      </c>
      <c r="J491" s="4" t="str">
        <f aca="false">IFERROR("PN"&amp;SMALL(PN_list,COUNTIF(PN_list,"&lt;"&amp;I491*bar_per_m)+1),"&gt; max PN")</f>
        <v>PN25</v>
      </c>
      <c r="K491" s="4" t="str">
        <f aca="false">IF(L491="no","end at tank",IF(H491&lt;0,"NEGATIVE",IF(H491&lt;p_min-0.005,"low","OK")))</f>
        <v>OK</v>
      </c>
      <c r="L491" s="4" t="s">
        <v>414</v>
      </c>
    </row>
    <row r="492" customFormat="false" ht="15" hidden="false" customHeight="false" outlineLevel="0" collapsed="false">
      <c r="A492" s="4" t="s">
        <v>42</v>
      </c>
      <c r="B492" s="4" t="s">
        <v>368</v>
      </c>
      <c r="C492" s="47" t="n">
        <v>3656.16</v>
      </c>
      <c r="D492" s="48" t="n">
        <v>1460.7</v>
      </c>
      <c r="E492" s="49" t="n">
        <f aca="false">D492-cover</f>
        <v>1459.5</v>
      </c>
      <c r="F492" s="50" t="n">
        <f aca="false">'Z5 Ikana-Nkangamo'!S12-'Z5 Ikana-Nkangamo'!P12*C492/'Z5 Ikana-Nkangamo'!G12</f>
        <v>1658.45253278036</v>
      </c>
      <c r="G492" s="51" t="n">
        <f aca="false">'Z5 Ikana-Nkangamo'!$B$8-E492</f>
        <v>208.5</v>
      </c>
      <c r="H492" s="52" t="n">
        <f aca="false">F492-E492</f>
        <v>198.952532780355</v>
      </c>
      <c r="I492" s="52" t="n">
        <f aca="false">MAX(H492,G492)</f>
        <v>208.5</v>
      </c>
      <c r="J492" s="4" t="str">
        <f aca="false">IFERROR("PN"&amp;SMALL(PN_list,COUNTIF(PN_list,"&lt;"&amp;I492*bar_per_m)+1),"&gt; max PN")</f>
        <v>PN25</v>
      </c>
      <c r="K492" s="4" t="str">
        <f aca="false">IF(L492="no","end at tank",IF(H492&lt;0,"NEGATIVE",IF(H492&lt;p_min-0.005,"low","OK")))</f>
        <v>OK</v>
      </c>
      <c r="L492" s="4" t="s">
        <v>414</v>
      </c>
    </row>
    <row r="493" customFormat="false" ht="15" hidden="false" customHeight="false" outlineLevel="0" collapsed="false">
      <c r="A493" s="4" t="s">
        <v>42</v>
      </c>
      <c r="B493" s="4" t="s">
        <v>368</v>
      </c>
      <c r="C493" s="47" t="n">
        <v>3706.16</v>
      </c>
      <c r="D493" s="48" t="n">
        <v>1461.01</v>
      </c>
      <c r="E493" s="49" t="n">
        <f aca="false">D493-cover</f>
        <v>1459.81</v>
      </c>
      <c r="F493" s="50" t="n">
        <f aca="false">'Z5 Ikana-Nkangamo'!S12-'Z5 Ikana-Nkangamo'!P12*C493/'Z5 Ikana-Nkangamo'!G12</f>
        <v>1658.38624099855</v>
      </c>
      <c r="G493" s="51" t="n">
        <f aca="false">'Z5 Ikana-Nkangamo'!$B$8-E493</f>
        <v>208.19</v>
      </c>
      <c r="H493" s="52" t="n">
        <f aca="false">F493-E493</f>
        <v>198.576240998545</v>
      </c>
      <c r="I493" s="52" t="n">
        <f aca="false">MAX(H493,G493)</f>
        <v>208.19</v>
      </c>
      <c r="J493" s="4" t="str">
        <f aca="false">IFERROR("PN"&amp;SMALL(PN_list,COUNTIF(PN_list,"&lt;"&amp;I493*bar_per_m)+1),"&gt; max PN")</f>
        <v>PN25</v>
      </c>
      <c r="K493" s="4" t="str">
        <f aca="false">IF(L493="no","end at tank",IF(H493&lt;0,"NEGATIVE",IF(H493&lt;p_min-0.005,"low","OK")))</f>
        <v>OK</v>
      </c>
      <c r="L493" s="4" t="s">
        <v>414</v>
      </c>
    </row>
    <row r="494" customFormat="false" ht="15" hidden="false" customHeight="false" outlineLevel="0" collapsed="false">
      <c r="A494" s="4" t="s">
        <v>42</v>
      </c>
      <c r="B494" s="4" t="s">
        <v>368</v>
      </c>
      <c r="C494" s="47" t="n">
        <v>3756.17</v>
      </c>
      <c r="D494" s="48" t="n">
        <v>1461.4</v>
      </c>
      <c r="E494" s="49" t="n">
        <f aca="false">D494-cover</f>
        <v>1460.2</v>
      </c>
      <c r="F494" s="50" t="n">
        <f aca="false">'Z5 Ikana-Nkangamo'!S12-'Z5 Ikana-Nkangamo'!P12*C494/'Z5 Ikana-Nkangamo'!G12</f>
        <v>1658.31993595838</v>
      </c>
      <c r="G494" s="51" t="n">
        <f aca="false">'Z5 Ikana-Nkangamo'!$B$8-E494</f>
        <v>207.8</v>
      </c>
      <c r="H494" s="52" t="n">
        <f aca="false">F494-E494</f>
        <v>198.119935958379</v>
      </c>
      <c r="I494" s="52" t="n">
        <f aca="false">MAX(H494,G494)</f>
        <v>207.8</v>
      </c>
      <c r="J494" s="4" t="str">
        <f aca="false">IFERROR("PN"&amp;SMALL(PN_list,COUNTIF(PN_list,"&lt;"&amp;I494*bar_per_m)+1),"&gt; max PN")</f>
        <v>PN25</v>
      </c>
      <c r="K494" s="4" t="str">
        <f aca="false">IF(L494="no","end at tank",IF(H494&lt;0,"NEGATIVE",IF(H494&lt;p_min-0.005,"low","OK")))</f>
        <v>OK</v>
      </c>
      <c r="L494" s="4" t="s">
        <v>414</v>
      </c>
    </row>
    <row r="495" customFormat="false" ht="15" hidden="false" customHeight="false" outlineLevel="0" collapsed="false">
      <c r="A495" s="4" t="s">
        <v>42</v>
      </c>
      <c r="B495" s="4" t="s">
        <v>368</v>
      </c>
      <c r="C495" s="47" t="n">
        <v>3806.17</v>
      </c>
      <c r="D495" s="48" t="n">
        <v>1461.45</v>
      </c>
      <c r="E495" s="49" t="n">
        <f aca="false">D495-cover</f>
        <v>1460.25</v>
      </c>
      <c r="F495" s="50" t="n">
        <f aca="false">'Z5 Ikana-Nkangamo'!S12-'Z5 Ikana-Nkangamo'!P12*C495/'Z5 Ikana-Nkangamo'!G12</f>
        <v>1658.25364417657</v>
      </c>
      <c r="G495" s="51" t="n">
        <f aca="false">'Z5 Ikana-Nkangamo'!$B$8-E495</f>
        <v>207.75</v>
      </c>
      <c r="H495" s="52" t="n">
        <f aca="false">F495-E495</f>
        <v>198.003644176569</v>
      </c>
      <c r="I495" s="52" t="n">
        <f aca="false">MAX(H495,G495)</f>
        <v>207.75</v>
      </c>
      <c r="J495" s="4" t="str">
        <f aca="false">IFERROR("PN"&amp;SMALL(PN_list,COUNTIF(PN_list,"&lt;"&amp;I495*bar_per_m)+1),"&gt; max PN")</f>
        <v>PN25</v>
      </c>
      <c r="K495" s="4" t="str">
        <f aca="false">IF(L495="no","end at tank",IF(H495&lt;0,"NEGATIVE",IF(H495&lt;p_min-0.005,"low","OK")))</f>
        <v>OK</v>
      </c>
      <c r="L495" s="4" t="s">
        <v>414</v>
      </c>
    </row>
    <row r="496" customFormat="false" ht="15" hidden="false" customHeight="false" outlineLevel="0" collapsed="false">
      <c r="A496" s="4" t="s">
        <v>42</v>
      </c>
      <c r="B496" s="4" t="s">
        <v>368</v>
      </c>
      <c r="C496" s="47" t="n">
        <v>3856.17</v>
      </c>
      <c r="D496" s="48" t="n">
        <v>1462.07</v>
      </c>
      <c r="E496" s="49" t="n">
        <f aca="false">D496-cover</f>
        <v>1460.87</v>
      </c>
      <c r="F496" s="50" t="n">
        <f aca="false">'Z5 Ikana-Nkangamo'!S12-'Z5 Ikana-Nkangamo'!P12*C496/'Z5 Ikana-Nkangamo'!G12</f>
        <v>1658.18735239476</v>
      </c>
      <c r="G496" s="51" t="n">
        <f aca="false">'Z5 Ikana-Nkangamo'!$B$8-E496</f>
        <v>207.13</v>
      </c>
      <c r="H496" s="52" t="n">
        <f aca="false">F496-E496</f>
        <v>197.317352394759</v>
      </c>
      <c r="I496" s="52" t="n">
        <f aca="false">MAX(H496,G496)</f>
        <v>207.13</v>
      </c>
      <c r="J496" s="4" t="str">
        <f aca="false">IFERROR("PN"&amp;SMALL(PN_list,COUNTIF(PN_list,"&lt;"&amp;I496*bar_per_m)+1),"&gt; max PN")</f>
        <v>PN25</v>
      </c>
      <c r="K496" s="4" t="str">
        <f aca="false">IF(L496="no","end at tank",IF(H496&lt;0,"NEGATIVE",IF(H496&lt;p_min-0.005,"low","OK")))</f>
        <v>OK</v>
      </c>
      <c r="L496" s="4" t="s">
        <v>414</v>
      </c>
    </row>
    <row r="497" customFormat="false" ht="15" hidden="false" customHeight="false" outlineLevel="0" collapsed="false">
      <c r="A497" s="4" t="s">
        <v>42</v>
      </c>
      <c r="B497" s="4" t="s">
        <v>368</v>
      </c>
      <c r="C497" s="47" t="n">
        <v>3906.17</v>
      </c>
      <c r="D497" s="48" t="n">
        <v>1462.46</v>
      </c>
      <c r="E497" s="49" t="n">
        <f aca="false">D497-cover</f>
        <v>1461.26</v>
      </c>
      <c r="F497" s="50" t="n">
        <f aca="false">'Z5 Ikana-Nkangamo'!S12-'Z5 Ikana-Nkangamo'!P12*C497/'Z5 Ikana-Nkangamo'!G12</f>
        <v>1658.12106061295</v>
      </c>
      <c r="G497" s="51" t="n">
        <f aca="false">'Z5 Ikana-Nkangamo'!$B$8-E497</f>
        <v>206.74</v>
      </c>
      <c r="H497" s="52" t="n">
        <f aca="false">F497-E497</f>
        <v>196.861060612949</v>
      </c>
      <c r="I497" s="52" t="n">
        <f aca="false">MAX(H497,G497)</f>
        <v>206.74</v>
      </c>
      <c r="J497" s="4" t="str">
        <f aca="false">IFERROR("PN"&amp;SMALL(PN_list,COUNTIF(PN_list,"&lt;"&amp;I497*bar_per_m)+1),"&gt; max PN")</f>
        <v>PN25</v>
      </c>
      <c r="K497" s="4" t="str">
        <f aca="false">IF(L497="no","end at tank",IF(H497&lt;0,"NEGATIVE",IF(H497&lt;p_min-0.005,"low","OK")))</f>
        <v>OK</v>
      </c>
      <c r="L497" s="4" t="s">
        <v>414</v>
      </c>
    </row>
    <row r="498" customFormat="false" ht="15" hidden="false" customHeight="false" outlineLevel="0" collapsed="false">
      <c r="A498" s="4" t="s">
        <v>42</v>
      </c>
      <c r="B498" s="4" t="s">
        <v>368</v>
      </c>
      <c r="C498" s="47" t="n">
        <v>3956.17</v>
      </c>
      <c r="D498" s="48" t="n">
        <v>1462.99</v>
      </c>
      <c r="E498" s="49" t="n">
        <f aca="false">D498-cover</f>
        <v>1461.79</v>
      </c>
      <c r="F498" s="50" t="n">
        <f aca="false">'Z5 Ikana-Nkangamo'!S12-'Z5 Ikana-Nkangamo'!P12*C498/'Z5 Ikana-Nkangamo'!G12</f>
        <v>1658.05476883114</v>
      </c>
      <c r="G498" s="51" t="n">
        <f aca="false">'Z5 Ikana-Nkangamo'!$B$8-E498</f>
        <v>206.21</v>
      </c>
      <c r="H498" s="52" t="n">
        <f aca="false">F498-E498</f>
        <v>196.264768831139</v>
      </c>
      <c r="I498" s="52" t="n">
        <f aca="false">MAX(H498,G498)</f>
        <v>206.21</v>
      </c>
      <c r="J498" s="4" t="str">
        <f aca="false">IFERROR("PN"&amp;SMALL(PN_list,COUNTIF(PN_list,"&lt;"&amp;I498*bar_per_m)+1),"&gt; max PN")</f>
        <v>PN25</v>
      </c>
      <c r="K498" s="4" t="str">
        <f aca="false">IF(L498="no","end at tank",IF(H498&lt;0,"NEGATIVE",IF(H498&lt;p_min-0.005,"low","OK")))</f>
        <v>OK</v>
      </c>
      <c r="L498" s="4" t="s">
        <v>414</v>
      </c>
    </row>
    <row r="499" customFormat="false" ht="15" hidden="false" customHeight="false" outlineLevel="0" collapsed="false">
      <c r="A499" s="4" t="s">
        <v>42</v>
      </c>
      <c r="B499" s="4" t="s">
        <v>368</v>
      </c>
      <c r="C499" s="47" t="n">
        <v>4006.18</v>
      </c>
      <c r="D499" s="48" t="n">
        <v>1463.64</v>
      </c>
      <c r="E499" s="49" t="n">
        <f aca="false">D499-cover</f>
        <v>1462.44</v>
      </c>
      <c r="F499" s="50" t="n">
        <f aca="false">'Z5 Ikana-Nkangamo'!S12-'Z5 Ikana-Nkangamo'!P12*C499/'Z5 Ikana-Nkangamo'!G12</f>
        <v>1657.98846379097</v>
      </c>
      <c r="G499" s="51" t="n">
        <f aca="false">'Z5 Ikana-Nkangamo'!$B$8-E499</f>
        <v>205.56</v>
      </c>
      <c r="H499" s="52" t="n">
        <f aca="false">F499-E499</f>
        <v>195.548463790973</v>
      </c>
      <c r="I499" s="52" t="n">
        <f aca="false">MAX(H499,G499)</f>
        <v>205.56</v>
      </c>
      <c r="J499" s="4" t="str">
        <f aca="false">IFERROR("PN"&amp;SMALL(PN_list,COUNTIF(PN_list,"&lt;"&amp;I499*bar_per_m)+1),"&gt; max PN")</f>
        <v>PN25</v>
      </c>
      <c r="K499" s="4" t="str">
        <f aca="false">IF(L499="no","end at tank",IF(H499&lt;0,"NEGATIVE",IF(H499&lt;p_min-0.005,"low","OK")))</f>
        <v>OK</v>
      </c>
      <c r="L499" s="4" t="s">
        <v>414</v>
      </c>
    </row>
    <row r="500" customFormat="false" ht="15" hidden="false" customHeight="false" outlineLevel="0" collapsed="false">
      <c r="A500" s="4" t="s">
        <v>42</v>
      </c>
      <c r="B500" s="4" t="s">
        <v>368</v>
      </c>
      <c r="C500" s="47" t="n">
        <v>4056.19</v>
      </c>
      <c r="D500" s="48" t="n">
        <v>1464.46</v>
      </c>
      <c r="E500" s="49" t="n">
        <f aca="false">D500-cover</f>
        <v>1463.26</v>
      </c>
      <c r="F500" s="50" t="n">
        <f aca="false">'Z5 Ikana-Nkangamo'!S12-'Z5 Ikana-Nkangamo'!P12*C500/'Z5 Ikana-Nkangamo'!G12</f>
        <v>1657.92215875081</v>
      </c>
      <c r="G500" s="51" t="n">
        <f aca="false">'Z5 Ikana-Nkangamo'!$B$8-E500</f>
        <v>204.74</v>
      </c>
      <c r="H500" s="52" t="n">
        <f aca="false">F500-E500</f>
        <v>194.662158750806</v>
      </c>
      <c r="I500" s="52" t="n">
        <f aca="false">MAX(H500,G500)</f>
        <v>204.74</v>
      </c>
      <c r="J500" s="4" t="str">
        <f aca="false">IFERROR("PN"&amp;SMALL(PN_list,COUNTIF(PN_list,"&lt;"&amp;I500*bar_per_m)+1),"&gt; max PN")</f>
        <v>PN25</v>
      </c>
      <c r="K500" s="4" t="str">
        <f aca="false">IF(L500="no","end at tank",IF(H500&lt;0,"NEGATIVE",IF(H500&lt;p_min-0.005,"low","OK")))</f>
        <v>OK</v>
      </c>
      <c r="L500" s="4" t="s">
        <v>414</v>
      </c>
    </row>
    <row r="501" customFormat="false" ht="15" hidden="false" customHeight="false" outlineLevel="0" collapsed="false">
      <c r="A501" s="4" t="s">
        <v>42</v>
      </c>
      <c r="B501" s="4" t="s">
        <v>368</v>
      </c>
      <c r="C501" s="47" t="n">
        <v>4106.19</v>
      </c>
      <c r="D501" s="48" t="n">
        <v>1464.83</v>
      </c>
      <c r="E501" s="49" t="n">
        <f aca="false">D501-cover</f>
        <v>1463.63</v>
      </c>
      <c r="F501" s="50" t="n">
        <f aca="false">'Z5 Ikana-Nkangamo'!S12-'Z5 Ikana-Nkangamo'!P12*C501/'Z5 Ikana-Nkangamo'!G12</f>
        <v>1657.855866969</v>
      </c>
      <c r="G501" s="51" t="n">
        <f aca="false">'Z5 Ikana-Nkangamo'!$B$8-E501</f>
        <v>204.37</v>
      </c>
      <c r="H501" s="52" t="n">
        <f aca="false">F501-E501</f>
        <v>194.225866968997</v>
      </c>
      <c r="I501" s="52" t="n">
        <f aca="false">MAX(H501,G501)</f>
        <v>204.37</v>
      </c>
      <c r="J501" s="4" t="str">
        <f aca="false">IFERROR("PN"&amp;SMALL(PN_list,COUNTIF(PN_list,"&lt;"&amp;I501*bar_per_m)+1),"&gt; max PN")</f>
        <v>PN25</v>
      </c>
      <c r="K501" s="4" t="str">
        <f aca="false">IF(L501="no","end at tank",IF(H501&lt;0,"NEGATIVE",IF(H501&lt;p_min-0.005,"low","OK")))</f>
        <v>OK</v>
      </c>
      <c r="L501" s="4" t="s">
        <v>414</v>
      </c>
    </row>
    <row r="502" customFormat="false" ht="15" hidden="false" customHeight="false" outlineLevel="0" collapsed="false">
      <c r="A502" s="4" t="s">
        <v>42</v>
      </c>
      <c r="B502" s="4" t="s">
        <v>368</v>
      </c>
      <c r="C502" s="47" t="n">
        <v>4156.19</v>
      </c>
      <c r="D502" s="48" t="n">
        <v>1465.58</v>
      </c>
      <c r="E502" s="49" t="n">
        <f aca="false">D502-cover</f>
        <v>1464.38</v>
      </c>
      <c r="F502" s="50" t="n">
        <f aca="false">'Z5 Ikana-Nkangamo'!S12-'Z5 Ikana-Nkangamo'!P12*C502/'Z5 Ikana-Nkangamo'!G12</f>
        <v>1657.78957518719</v>
      </c>
      <c r="G502" s="51" t="n">
        <f aca="false">'Z5 Ikana-Nkangamo'!$B$8-E502</f>
        <v>203.62</v>
      </c>
      <c r="H502" s="52" t="n">
        <f aca="false">F502-E502</f>
        <v>193.409575187187</v>
      </c>
      <c r="I502" s="52" t="n">
        <f aca="false">MAX(H502,G502)</f>
        <v>203.62</v>
      </c>
      <c r="J502" s="4" t="str">
        <f aca="false">IFERROR("PN"&amp;SMALL(PN_list,COUNTIF(PN_list,"&lt;"&amp;I502*bar_per_m)+1),"&gt; max PN")</f>
        <v>PN25</v>
      </c>
      <c r="K502" s="4" t="str">
        <f aca="false">IF(L502="no","end at tank",IF(H502&lt;0,"NEGATIVE",IF(H502&lt;p_min-0.005,"low","OK")))</f>
        <v>OK</v>
      </c>
      <c r="L502" s="4" t="s">
        <v>414</v>
      </c>
    </row>
    <row r="503" customFormat="false" ht="15" hidden="false" customHeight="false" outlineLevel="0" collapsed="false">
      <c r="A503" s="4" t="s">
        <v>42</v>
      </c>
      <c r="B503" s="4" t="s">
        <v>368</v>
      </c>
      <c r="C503" s="47" t="n">
        <v>4206.2</v>
      </c>
      <c r="D503" s="48" t="n">
        <v>1466.45</v>
      </c>
      <c r="E503" s="49" t="n">
        <f aca="false">D503-cover</f>
        <v>1465.25</v>
      </c>
      <c r="F503" s="50" t="n">
        <f aca="false">'Z5 Ikana-Nkangamo'!S12-'Z5 Ikana-Nkangamo'!P12*C503/'Z5 Ikana-Nkangamo'!G12</f>
        <v>1657.72327014702</v>
      </c>
      <c r="G503" s="51" t="n">
        <f aca="false">'Z5 Ikana-Nkangamo'!$B$8-E503</f>
        <v>202.75</v>
      </c>
      <c r="H503" s="52" t="n">
        <f aca="false">F503-E503</f>
        <v>192.47327014702</v>
      </c>
      <c r="I503" s="52" t="n">
        <f aca="false">MAX(H503,G503)</f>
        <v>202.75</v>
      </c>
      <c r="J503" s="4" t="str">
        <f aca="false">IFERROR("PN"&amp;SMALL(PN_list,COUNTIF(PN_list,"&lt;"&amp;I503*bar_per_m)+1),"&gt; max PN")</f>
        <v>PN25</v>
      </c>
      <c r="K503" s="4" t="str">
        <f aca="false">IF(L503="no","end at tank",IF(H503&lt;0,"NEGATIVE",IF(H503&lt;p_min-0.005,"low","OK")))</f>
        <v>OK</v>
      </c>
      <c r="L503" s="4" t="s">
        <v>414</v>
      </c>
    </row>
    <row r="504" customFormat="false" ht="15" hidden="false" customHeight="false" outlineLevel="0" collapsed="false">
      <c r="A504" s="4" t="s">
        <v>42</v>
      </c>
      <c r="B504" s="4" t="s">
        <v>368</v>
      </c>
      <c r="C504" s="47" t="n">
        <v>4256.2</v>
      </c>
      <c r="D504" s="48" t="n">
        <v>1466.97</v>
      </c>
      <c r="E504" s="49" t="n">
        <f aca="false">D504-cover</f>
        <v>1465.77</v>
      </c>
      <c r="F504" s="50" t="n">
        <f aca="false">'Z5 Ikana-Nkangamo'!S12-'Z5 Ikana-Nkangamo'!P12*C504/'Z5 Ikana-Nkangamo'!G12</f>
        <v>1657.65697836521</v>
      </c>
      <c r="G504" s="51" t="n">
        <f aca="false">'Z5 Ikana-Nkangamo'!$B$8-E504</f>
        <v>202.23</v>
      </c>
      <c r="H504" s="52" t="n">
        <f aca="false">F504-E504</f>
        <v>191.88697836521</v>
      </c>
      <c r="I504" s="52" t="n">
        <f aca="false">MAX(H504,G504)</f>
        <v>202.23</v>
      </c>
      <c r="J504" s="4" t="str">
        <f aca="false">IFERROR("PN"&amp;SMALL(PN_list,COUNTIF(PN_list,"&lt;"&amp;I504*bar_per_m)+1),"&gt; max PN")</f>
        <v>PN25</v>
      </c>
      <c r="K504" s="4" t="str">
        <f aca="false">IF(L504="no","end at tank",IF(H504&lt;0,"NEGATIVE",IF(H504&lt;p_min-0.005,"low","OK")))</f>
        <v>OK</v>
      </c>
      <c r="L504" s="4" t="s">
        <v>414</v>
      </c>
    </row>
    <row r="505" customFormat="false" ht="15" hidden="false" customHeight="false" outlineLevel="0" collapsed="false">
      <c r="A505" s="4" t="s">
        <v>42</v>
      </c>
      <c r="B505" s="4" t="s">
        <v>368</v>
      </c>
      <c r="C505" s="47" t="n">
        <v>4306.2</v>
      </c>
      <c r="D505" s="48" t="n">
        <v>1467.05</v>
      </c>
      <c r="E505" s="49" t="n">
        <f aca="false">D505-cover</f>
        <v>1465.85</v>
      </c>
      <c r="F505" s="50" t="n">
        <f aca="false">'Z5 Ikana-Nkangamo'!S12-'Z5 Ikana-Nkangamo'!P12*C505/'Z5 Ikana-Nkangamo'!G12</f>
        <v>1657.5906865834</v>
      </c>
      <c r="G505" s="51" t="n">
        <f aca="false">'Z5 Ikana-Nkangamo'!$B$8-E505</f>
        <v>202.15</v>
      </c>
      <c r="H505" s="52" t="n">
        <f aca="false">F505-E505</f>
        <v>191.7406865834</v>
      </c>
      <c r="I505" s="52" t="n">
        <f aca="false">MAX(H505,G505)</f>
        <v>202.15</v>
      </c>
      <c r="J505" s="4" t="str">
        <f aca="false">IFERROR("PN"&amp;SMALL(PN_list,COUNTIF(PN_list,"&lt;"&amp;I505*bar_per_m)+1),"&gt; max PN")</f>
        <v>PN25</v>
      </c>
      <c r="K505" s="4" t="str">
        <f aca="false">IF(L505="no","end at tank",IF(H505&lt;0,"NEGATIVE",IF(H505&lt;p_min-0.005,"low","OK")))</f>
        <v>OK</v>
      </c>
      <c r="L505" s="4" t="s">
        <v>414</v>
      </c>
    </row>
    <row r="506" customFormat="false" ht="15" hidden="false" customHeight="false" outlineLevel="0" collapsed="false">
      <c r="A506" s="4" t="s">
        <v>42</v>
      </c>
      <c r="B506" s="4" t="s">
        <v>368</v>
      </c>
      <c r="C506" s="47" t="n">
        <v>4356.2</v>
      </c>
      <c r="D506" s="48" t="n">
        <v>1467.42</v>
      </c>
      <c r="E506" s="49" t="n">
        <f aca="false">D506-cover</f>
        <v>1466.22</v>
      </c>
      <c r="F506" s="50" t="n">
        <f aca="false">'Z5 Ikana-Nkangamo'!S12-'Z5 Ikana-Nkangamo'!P12*C506/'Z5 Ikana-Nkangamo'!G12</f>
        <v>1657.52439480159</v>
      </c>
      <c r="G506" s="51" t="n">
        <f aca="false">'Z5 Ikana-Nkangamo'!$B$8-E506</f>
        <v>201.78</v>
      </c>
      <c r="H506" s="52" t="n">
        <f aca="false">F506-E506</f>
        <v>191.30439480159</v>
      </c>
      <c r="I506" s="52" t="n">
        <f aca="false">MAX(H506,G506)</f>
        <v>201.78</v>
      </c>
      <c r="J506" s="4" t="str">
        <f aca="false">IFERROR("PN"&amp;SMALL(PN_list,COUNTIF(PN_list,"&lt;"&amp;I506*bar_per_m)+1),"&gt; max PN")</f>
        <v>PN25</v>
      </c>
      <c r="K506" s="4" t="str">
        <f aca="false">IF(L506="no","end at tank",IF(H506&lt;0,"NEGATIVE",IF(H506&lt;p_min-0.005,"low","OK")))</f>
        <v>OK</v>
      </c>
      <c r="L506" s="4" t="s">
        <v>414</v>
      </c>
    </row>
    <row r="507" customFormat="false" ht="15" hidden="false" customHeight="false" outlineLevel="0" collapsed="false">
      <c r="A507" s="4" t="s">
        <v>42</v>
      </c>
      <c r="B507" s="4" t="s">
        <v>368</v>
      </c>
      <c r="C507" s="47" t="n">
        <v>4406.24</v>
      </c>
      <c r="D507" s="48" t="n">
        <v>1469.29</v>
      </c>
      <c r="E507" s="49" t="n">
        <f aca="false">D507-cover</f>
        <v>1468.09</v>
      </c>
      <c r="F507" s="50" t="n">
        <f aca="false">'Z5 Ikana-Nkangamo'!S12-'Z5 Ikana-Nkangamo'!P12*C507/'Z5 Ikana-Nkangamo'!G12</f>
        <v>1657.45804998636</v>
      </c>
      <c r="G507" s="51" t="n">
        <f aca="false">'Z5 Ikana-Nkangamo'!$B$8-E507</f>
        <v>199.91</v>
      </c>
      <c r="H507" s="52" t="n">
        <f aca="false">F507-E507</f>
        <v>189.368049986355</v>
      </c>
      <c r="I507" s="52" t="n">
        <f aca="false">MAX(H507,G507)</f>
        <v>199.91</v>
      </c>
      <c r="J507" s="4" t="str">
        <f aca="false">IFERROR("PN"&amp;SMALL(PN_list,COUNTIF(PN_list,"&lt;"&amp;I507*bar_per_m)+1),"&gt; max PN")</f>
        <v>PN25</v>
      </c>
      <c r="K507" s="4" t="str">
        <f aca="false">IF(L507="no","end at tank",IF(H507&lt;0,"NEGATIVE",IF(H507&lt;p_min-0.005,"low","OK")))</f>
        <v>OK</v>
      </c>
      <c r="L507" s="4" t="s">
        <v>414</v>
      </c>
    </row>
    <row r="508" customFormat="false" ht="15" hidden="false" customHeight="false" outlineLevel="0" collapsed="false">
      <c r="A508" s="4" t="s">
        <v>42</v>
      </c>
      <c r="B508" s="4" t="s">
        <v>368</v>
      </c>
      <c r="C508" s="47" t="n">
        <v>4456.25</v>
      </c>
      <c r="D508" s="48" t="n">
        <v>1468.42</v>
      </c>
      <c r="E508" s="49" t="n">
        <f aca="false">D508-cover</f>
        <v>1467.22</v>
      </c>
      <c r="F508" s="50" t="n">
        <f aca="false">'Z5 Ikana-Nkangamo'!S12-'Z5 Ikana-Nkangamo'!P12*C508/'Z5 Ikana-Nkangamo'!G12</f>
        <v>1657.39174494619</v>
      </c>
      <c r="G508" s="51" t="n">
        <f aca="false">'Z5 Ikana-Nkangamo'!$B$8-E508</f>
        <v>200.78</v>
      </c>
      <c r="H508" s="52" t="n">
        <f aca="false">F508-E508</f>
        <v>190.171744946189</v>
      </c>
      <c r="I508" s="52" t="n">
        <f aca="false">MAX(H508,G508)</f>
        <v>200.78</v>
      </c>
      <c r="J508" s="4" t="str">
        <f aca="false">IFERROR("PN"&amp;SMALL(PN_list,COUNTIF(PN_list,"&lt;"&amp;I508*bar_per_m)+1),"&gt; max PN")</f>
        <v>PN25</v>
      </c>
      <c r="K508" s="4" t="str">
        <f aca="false">IF(L508="no","end at tank",IF(H508&lt;0,"NEGATIVE",IF(H508&lt;p_min-0.005,"low","OK")))</f>
        <v>OK</v>
      </c>
      <c r="L508" s="4" t="s">
        <v>414</v>
      </c>
    </row>
    <row r="509" customFormat="false" ht="15" hidden="false" customHeight="false" outlineLevel="0" collapsed="false">
      <c r="A509" s="4" t="s">
        <v>42</v>
      </c>
      <c r="B509" s="4" t="s">
        <v>368</v>
      </c>
      <c r="C509" s="47" t="n">
        <v>4506.25</v>
      </c>
      <c r="D509" s="48" t="n">
        <v>1468.97</v>
      </c>
      <c r="E509" s="49" t="n">
        <f aca="false">D509-cover</f>
        <v>1467.77</v>
      </c>
      <c r="F509" s="50" t="n">
        <f aca="false">'Z5 Ikana-Nkangamo'!S12-'Z5 Ikana-Nkangamo'!P12*C509/'Z5 Ikana-Nkangamo'!G12</f>
        <v>1657.32545316438</v>
      </c>
      <c r="G509" s="51" t="n">
        <f aca="false">'Z5 Ikana-Nkangamo'!$B$8-E509</f>
        <v>200.23</v>
      </c>
      <c r="H509" s="52" t="n">
        <f aca="false">F509-E509</f>
        <v>189.555453164379</v>
      </c>
      <c r="I509" s="52" t="n">
        <f aca="false">MAX(H509,G509)</f>
        <v>200.23</v>
      </c>
      <c r="J509" s="4" t="str">
        <f aca="false">IFERROR("PN"&amp;SMALL(PN_list,COUNTIF(PN_list,"&lt;"&amp;I509*bar_per_m)+1),"&gt; max PN")</f>
        <v>PN25</v>
      </c>
      <c r="K509" s="4" t="str">
        <f aca="false">IF(L509="no","end at tank",IF(H509&lt;0,"NEGATIVE",IF(H509&lt;p_min-0.005,"low","OK")))</f>
        <v>OK</v>
      </c>
      <c r="L509" s="4" t="s">
        <v>414</v>
      </c>
    </row>
    <row r="510" customFormat="false" ht="15" hidden="false" customHeight="false" outlineLevel="0" collapsed="false">
      <c r="A510" s="4" t="s">
        <v>42</v>
      </c>
      <c r="B510" s="4" t="s">
        <v>368</v>
      </c>
      <c r="C510" s="47" t="n">
        <v>4556.25</v>
      </c>
      <c r="D510" s="48" t="n">
        <v>1469.46</v>
      </c>
      <c r="E510" s="49" t="n">
        <f aca="false">D510-cover</f>
        <v>1468.26</v>
      </c>
      <c r="F510" s="50" t="n">
        <f aca="false">'Z5 Ikana-Nkangamo'!S12-'Z5 Ikana-Nkangamo'!P12*C510/'Z5 Ikana-Nkangamo'!G12</f>
        <v>1657.25916138257</v>
      </c>
      <c r="G510" s="51" t="n">
        <f aca="false">'Z5 Ikana-Nkangamo'!$B$8-E510</f>
        <v>199.74</v>
      </c>
      <c r="H510" s="52" t="n">
        <f aca="false">F510-E510</f>
        <v>188.999161382569</v>
      </c>
      <c r="I510" s="52" t="n">
        <f aca="false">MAX(H510,G510)</f>
        <v>199.74</v>
      </c>
      <c r="J510" s="4" t="str">
        <f aca="false">IFERROR("PN"&amp;SMALL(PN_list,COUNTIF(PN_list,"&lt;"&amp;I510*bar_per_m)+1),"&gt; max PN")</f>
        <v>PN25</v>
      </c>
      <c r="K510" s="4" t="str">
        <f aca="false">IF(L510="no","end at tank",IF(H510&lt;0,"NEGATIVE",IF(H510&lt;p_min-0.005,"low","OK")))</f>
        <v>OK</v>
      </c>
      <c r="L510" s="4" t="s">
        <v>414</v>
      </c>
    </row>
    <row r="511" customFormat="false" ht="15" hidden="false" customHeight="false" outlineLevel="0" collapsed="false">
      <c r="A511" s="4" t="s">
        <v>42</v>
      </c>
      <c r="B511" s="4" t="s">
        <v>368</v>
      </c>
      <c r="C511" s="47" t="n">
        <v>4606.26</v>
      </c>
      <c r="D511" s="48" t="n">
        <v>1470.29</v>
      </c>
      <c r="E511" s="49" t="n">
        <f aca="false">D511-cover</f>
        <v>1469.09</v>
      </c>
      <c r="F511" s="50" t="n">
        <f aca="false">'Z5 Ikana-Nkangamo'!S12-'Z5 Ikana-Nkangamo'!P12*C511/'Z5 Ikana-Nkangamo'!G12</f>
        <v>1657.1928563424</v>
      </c>
      <c r="G511" s="51" t="n">
        <f aca="false">'Z5 Ikana-Nkangamo'!$B$8-E511</f>
        <v>198.91</v>
      </c>
      <c r="H511" s="52" t="n">
        <f aca="false">F511-E511</f>
        <v>188.102856342403</v>
      </c>
      <c r="I511" s="52" t="n">
        <f aca="false">MAX(H511,G511)</f>
        <v>198.91</v>
      </c>
      <c r="J511" s="4" t="str">
        <f aca="false">IFERROR("PN"&amp;SMALL(PN_list,COUNTIF(PN_list,"&lt;"&amp;I511*bar_per_m)+1),"&gt; max PN")</f>
        <v>PN25</v>
      </c>
      <c r="K511" s="4" t="str">
        <f aca="false">IF(L511="no","end at tank",IF(H511&lt;0,"NEGATIVE",IF(H511&lt;p_min-0.005,"low","OK")))</f>
        <v>OK</v>
      </c>
      <c r="L511" s="4" t="s">
        <v>414</v>
      </c>
    </row>
    <row r="512" customFormat="false" ht="15" hidden="false" customHeight="false" outlineLevel="0" collapsed="false">
      <c r="A512" s="4" t="s">
        <v>42</v>
      </c>
      <c r="B512" s="4" t="s">
        <v>368</v>
      </c>
      <c r="C512" s="47" t="n">
        <v>4656.27</v>
      </c>
      <c r="D512" s="48" t="n">
        <v>1471.41</v>
      </c>
      <c r="E512" s="49" t="n">
        <f aca="false">D512-cover</f>
        <v>1470.21</v>
      </c>
      <c r="F512" s="50" t="n">
        <f aca="false">'Z5 Ikana-Nkangamo'!S12-'Z5 Ikana-Nkangamo'!P12*C512/'Z5 Ikana-Nkangamo'!G12</f>
        <v>1657.12655130224</v>
      </c>
      <c r="G512" s="51" t="n">
        <f aca="false">'Z5 Ikana-Nkangamo'!$B$8-E512</f>
        <v>197.79</v>
      </c>
      <c r="H512" s="52" t="n">
        <f aca="false">F512-E512</f>
        <v>186.916551302236</v>
      </c>
      <c r="I512" s="52" t="n">
        <f aca="false">MAX(H512,G512)</f>
        <v>197.79</v>
      </c>
      <c r="J512" s="4" t="str">
        <f aca="false">IFERROR("PN"&amp;SMALL(PN_list,COUNTIF(PN_list,"&lt;"&amp;I512*bar_per_m)+1),"&gt; max PN")</f>
        <v>PN25</v>
      </c>
      <c r="K512" s="4" t="str">
        <f aca="false">IF(L512="no","end at tank",IF(H512&lt;0,"NEGATIVE",IF(H512&lt;p_min-0.005,"low","OK")))</f>
        <v>OK</v>
      </c>
      <c r="L512" s="4" t="s">
        <v>414</v>
      </c>
    </row>
    <row r="513" customFormat="false" ht="15" hidden="false" customHeight="false" outlineLevel="0" collapsed="false">
      <c r="A513" s="4" t="s">
        <v>42</v>
      </c>
      <c r="B513" s="4" t="s">
        <v>368</v>
      </c>
      <c r="C513" s="47" t="n">
        <v>4706.28</v>
      </c>
      <c r="D513" s="48" t="n">
        <v>1472.39</v>
      </c>
      <c r="E513" s="49" t="n">
        <f aca="false">D513-cover</f>
        <v>1471.19</v>
      </c>
      <c r="F513" s="50" t="n">
        <f aca="false">'Z5 Ikana-Nkangamo'!S12-'Z5 Ikana-Nkangamo'!P12*C513/'Z5 Ikana-Nkangamo'!G12</f>
        <v>1657.06024626207</v>
      </c>
      <c r="G513" s="51" t="n">
        <f aca="false">'Z5 Ikana-Nkangamo'!$B$8-E513</f>
        <v>196.81</v>
      </c>
      <c r="H513" s="52" t="n">
        <f aca="false">F513-E513</f>
        <v>185.87024626207</v>
      </c>
      <c r="I513" s="52" t="n">
        <f aca="false">MAX(H513,G513)</f>
        <v>196.81</v>
      </c>
      <c r="J513" s="4" t="str">
        <f aca="false">IFERROR("PN"&amp;SMALL(PN_list,COUNTIF(PN_list,"&lt;"&amp;I513*bar_per_m)+1),"&gt; max PN")</f>
        <v>PN25</v>
      </c>
      <c r="K513" s="4" t="str">
        <f aca="false">IF(L513="no","end at tank",IF(H513&lt;0,"NEGATIVE",IF(H513&lt;p_min-0.005,"low","OK")))</f>
        <v>OK</v>
      </c>
      <c r="L513" s="4" t="s">
        <v>414</v>
      </c>
    </row>
    <row r="514" customFormat="false" ht="15" hidden="false" customHeight="false" outlineLevel="0" collapsed="false">
      <c r="A514" s="4" t="s">
        <v>42</v>
      </c>
      <c r="B514" s="4" t="s">
        <v>368</v>
      </c>
      <c r="C514" s="47" t="n">
        <v>4756.29</v>
      </c>
      <c r="D514" s="48" t="n">
        <v>1473.49</v>
      </c>
      <c r="E514" s="49" t="n">
        <f aca="false">D514-cover</f>
        <v>1472.29</v>
      </c>
      <c r="F514" s="50" t="n">
        <f aca="false">'Z5 Ikana-Nkangamo'!S12-'Z5 Ikana-Nkangamo'!P12*C514/'Z5 Ikana-Nkangamo'!G12</f>
        <v>1656.9939412219</v>
      </c>
      <c r="G514" s="51" t="n">
        <f aca="false">'Z5 Ikana-Nkangamo'!$B$8-E514</f>
        <v>195.71</v>
      </c>
      <c r="H514" s="52" t="n">
        <f aca="false">F514-E514</f>
        <v>184.703941221904</v>
      </c>
      <c r="I514" s="52" t="n">
        <f aca="false">MAX(H514,G514)</f>
        <v>195.71</v>
      </c>
      <c r="J514" s="4" t="str">
        <f aca="false">IFERROR("PN"&amp;SMALL(PN_list,COUNTIF(PN_list,"&lt;"&amp;I514*bar_per_m)+1),"&gt; max PN")</f>
        <v>PN25</v>
      </c>
      <c r="K514" s="4" t="str">
        <f aca="false">IF(L514="no","end at tank",IF(H514&lt;0,"NEGATIVE",IF(H514&lt;p_min-0.005,"low","OK")))</f>
        <v>OK</v>
      </c>
      <c r="L514" s="4" t="s">
        <v>414</v>
      </c>
    </row>
    <row r="515" customFormat="false" ht="15" hidden="false" customHeight="false" outlineLevel="0" collapsed="false">
      <c r="A515" s="4" t="s">
        <v>42</v>
      </c>
      <c r="B515" s="4" t="s">
        <v>368</v>
      </c>
      <c r="C515" s="47" t="n">
        <v>4806.3</v>
      </c>
      <c r="D515" s="48" t="n">
        <v>1474.44</v>
      </c>
      <c r="E515" s="49" t="n">
        <f aca="false">D515-cover</f>
        <v>1473.24</v>
      </c>
      <c r="F515" s="50" t="n">
        <f aca="false">'Z5 Ikana-Nkangamo'!S12-'Z5 Ikana-Nkangamo'!P12*C515/'Z5 Ikana-Nkangamo'!G12</f>
        <v>1656.92763618174</v>
      </c>
      <c r="G515" s="51" t="n">
        <f aca="false">'Z5 Ikana-Nkangamo'!$B$8-E515</f>
        <v>194.76</v>
      </c>
      <c r="H515" s="52" t="n">
        <f aca="false">F515-E515</f>
        <v>183.687636181737</v>
      </c>
      <c r="I515" s="52" t="n">
        <f aca="false">MAX(H515,G515)</f>
        <v>194.76</v>
      </c>
      <c r="J515" s="4" t="str">
        <f aca="false">IFERROR("PN"&amp;SMALL(PN_list,COUNTIF(PN_list,"&lt;"&amp;I515*bar_per_m)+1),"&gt; max PN")</f>
        <v>PN25</v>
      </c>
      <c r="K515" s="4" t="str">
        <f aca="false">IF(L515="no","end at tank",IF(H515&lt;0,"NEGATIVE",IF(H515&lt;p_min-0.005,"low","OK")))</f>
        <v>OK</v>
      </c>
      <c r="L515" s="4" t="s">
        <v>414</v>
      </c>
    </row>
    <row r="516" customFormat="false" ht="15" hidden="false" customHeight="false" outlineLevel="0" collapsed="false">
      <c r="A516" s="4" t="s">
        <v>42</v>
      </c>
      <c r="B516" s="4" t="s">
        <v>368</v>
      </c>
      <c r="C516" s="47" t="n">
        <v>4856.32</v>
      </c>
      <c r="D516" s="48" t="n">
        <v>1475.64</v>
      </c>
      <c r="E516" s="49" t="n">
        <f aca="false">D516-cover</f>
        <v>1474.44</v>
      </c>
      <c r="F516" s="50" t="n">
        <f aca="false">'Z5 Ikana-Nkangamo'!S12-'Z5 Ikana-Nkangamo'!P12*C516/'Z5 Ikana-Nkangamo'!G12</f>
        <v>1656.86131788321</v>
      </c>
      <c r="G516" s="51" t="n">
        <f aca="false">'Z5 Ikana-Nkangamo'!$B$8-E516</f>
        <v>193.56</v>
      </c>
      <c r="H516" s="52" t="n">
        <f aca="false">F516-E516</f>
        <v>182.421317883215</v>
      </c>
      <c r="I516" s="52" t="n">
        <f aca="false">MAX(H516,G516)</f>
        <v>193.56</v>
      </c>
      <c r="J516" s="4" t="str">
        <f aca="false">IFERROR("PN"&amp;SMALL(PN_list,COUNTIF(PN_list,"&lt;"&amp;I516*bar_per_m)+1),"&gt; max PN")</f>
        <v>PN25</v>
      </c>
      <c r="K516" s="4" t="str">
        <f aca="false">IF(L516="no","end at tank",IF(H516&lt;0,"NEGATIVE",IF(H516&lt;p_min-0.005,"low","OK")))</f>
        <v>OK</v>
      </c>
      <c r="L516" s="4" t="s">
        <v>414</v>
      </c>
    </row>
    <row r="517" customFormat="false" ht="15" hidden="false" customHeight="false" outlineLevel="0" collapsed="false">
      <c r="A517" s="4" t="s">
        <v>42</v>
      </c>
      <c r="B517" s="4" t="s">
        <v>368</v>
      </c>
      <c r="C517" s="47" t="n">
        <v>4906.34</v>
      </c>
      <c r="D517" s="48" t="n">
        <v>1477.18</v>
      </c>
      <c r="E517" s="49" t="n">
        <f aca="false">D517-cover</f>
        <v>1475.98</v>
      </c>
      <c r="F517" s="50" t="n">
        <f aca="false">'Z5 Ikana-Nkangamo'!S12-'Z5 Ikana-Nkangamo'!P12*C517/'Z5 Ikana-Nkangamo'!G12</f>
        <v>1656.79499958469</v>
      </c>
      <c r="G517" s="51" t="n">
        <f aca="false">'Z5 Ikana-Nkangamo'!$B$8-E517</f>
        <v>192.02</v>
      </c>
      <c r="H517" s="52" t="n">
        <f aca="false">F517-E517</f>
        <v>180.814999584692</v>
      </c>
      <c r="I517" s="52" t="n">
        <f aca="false">MAX(H517,G517)</f>
        <v>192.02</v>
      </c>
      <c r="J517" s="4" t="str">
        <f aca="false">IFERROR("PN"&amp;SMALL(PN_list,COUNTIF(PN_list,"&lt;"&amp;I517*bar_per_m)+1),"&gt; max PN")</f>
        <v>PN25</v>
      </c>
      <c r="K517" s="4" t="str">
        <f aca="false">IF(L517="no","end at tank",IF(H517&lt;0,"NEGATIVE",IF(H517&lt;p_min-0.005,"low","OK")))</f>
        <v>OK</v>
      </c>
      <c r="L517" s="4" t="s">
        <v>414</v>
      </c>
    </row>
    <row r="518" customFormat="false" ht="15" hidden="false" customHeight="false" outlineLevel="0" collapsed="false">
      <c r="A518" s="4" t="s">
        <v>42</v>
      </c>
      <c r="B518" s="4" t="s">
        <v>368</v>
      </c>
      <c r="C518" s="47" t="n">
        <v>4956.36</v>
      </c>
      <c r="D518" s="48" t="n">
        <v>1478.7</v>
      </c>
      <c r="E518" s="49" t="n">
        <f aca="false">D518-cover</f>
        <v>1477.5</v>
      </c>
      <c r="F518" s="50" t="n">
        <f aca="false">'Z5 Ikana-Nkangamo'!S12-'Z5 Ikana-Nkangamo'!P12*C518/'Z5 Ikana-Nkangamo'!G12</f>
        <v>1656.72868128617</v>
      </c>
      <c r="G518" s="51" t="n">
        <f aca="false">'Z5 Ikana-Nkangamo'!$B$8-E518</f>
        <v>190.5</v>
      </c>
      <c r="H518" s="52" t="n">
        <f aca="false">F518-E518</f>
        <v>179.228681286169</v>
      </c>
      <c r="I518" s="52" t="n">
        <f aca="false">MAX(H518,G518)</f>
        <v>190.5</v>
      </c>
      <c r="J518" s="4" t="str">
        <f aca="false">IFERROR("PN"&amp;SMALL(PN_list,COUNTIF(PN_list,"&lt;"&amp;I518*bar_per_m)+1),"&gt; max PN")</f>
        <v>PN25</v>
      </c>
      <c r="K518" s="4" t="str">
        <f aca="false">IF(L518="no","end at tank",IF(H518&lt;0,"NEGATIVE",IF(H518&lt;p_min-0.005,"low","OK")))</f>
        <v>OK</v>
      </c>
      <c r="L518" s="4" t="s">
        <v>414</v>
      </c>
    </row>
    <row r="519" customFormat="false" ht="15" hidden="false" customHeight="false" outlineLevel="0" collapsed="false">
      <c r="A519" s="4" t="s">
        <v>42</v>
      </c>
      <c r="B519" s="4" t="s">
        <v>368</v>
      </c>
      <c r="C519" s="47" t="n">
        <v>5006.4</v>
      </c>
      <c r="D519" s="48" t="n">
        <v>1480.49</v>
      </c>
      <c r="E519" s="49" t="n">
        <f aca="false">D519-cover</f>
        <v>1479.29</v>
      </c>
      <c r="F519" s="50" t="n">
        <f aca="false">'Z5 Ikana-Nkangamo'!S12-'Z5 Ikana-Nkangamo'!P12*C519/'Z5 Ikana-Nkangamo'!G12</f>
        <v>1656.66233647093</v>
      </c>
      <c r="G519" s="51" t="n">
        <f aca="false">'Z5 Ikana-Nkangamo'!$B$8-E519</f>
        <v>188.71</v>
      </c>
      <c r="H519" s="52" t="n">
        <f aca="false">F519-E519</f>
        <v>177.372336470934</v>
      </c>
      <c r="I519" s="52" t="n">
        <f aca="false">MAX(H519,G519)</f>
        <v>188.71</v>
      </c>
      <c r="J519" s="4" t="str">
        <f aca="false">IFERROR("PN"&amp;SMALL(PN_list,COUNTIF(PN_list,"&lt;"&amp;I519*bar_per_m)+1),"&gt; max PN")</f>
        <v>PN25</v>
      </c>
      <c r="K519" s="4" t="str">
        <f aca="false">IF(L519="no","end at tank",IF(H519&lt;0,"NEGATIVE",IF(H519&lt;p_min-0.005,"low","OK")))</f>
        <v>OK</v>
      </c>
      <c r="L519" s="4" t="s">
        <v>414</v>
      </c>
    </row>
    <row r="520" customFormat="false" ht="15" hidden="false" customHeight="false" outlineLevel="0" collapsed="false">
      <c r="A520" s="4" t="s">
        <v>42</v>
      </c>
      <c r="B520" s="4" t="s">
        <v>368</v>
      </c>
      <c r="C520" s="47" t="n">
        <v>5056.41</v>
      </c>
      <c r="D520" s="48" t="n">
        <v>1481.55</v>
      </c>
      <c r="E520" s="49" t="n">
        <f aca="false">D520-cover</f>
        <v>1480.35</v>
      </c>
      <c r="F520" s="50" t="n">
        <f aca="false">'Z5 Ikana-Nkangamo'!S12-'Z5 Ikana-Nkangamo'!P12*C520/'Z5 Ikana-Nkangamo'!G12</f>
        <v>1656.59603143077</v>
      </c>
      <c r="G520" s="51" t="n">
        <f aca="false">'Z5 Ikana-Nkangamo'!$B$8-E520</f>
        <v>187.65</v>
      </c>
      <c r="H520" s="52" t="n">
        <f aca="false">F520-E520</f>
        <v>176.246031430768</v>
      </c>
      <c r="I520" s="52" t="n">
        <f aca="false">MAX(H520,G520)</f>
        <v>187.65</v>
      </c>
      <c r="J520" s="4" t="str">
        <f aca="false">IFERROR("PN"&amp;SMALL(PN_list,COUNTIF(PN_list,"&lt;"&amp;I520*bar_per_m)+1),"&gt; max PN")</f>
        <v>PN25</v>
      </c>
      <c r="K520" s="4" t="str">
        <f aca="false">IF(L520="no","end at tank",IF(H520&lt;0,"NEGATIVE",IF(H520&lt;p_min-0.005,"low","OK")))</f>
        <v>OK</v>
      </c>
      <c r="L520" s="4" t="s">
        <v>414</v>
      </c>
    </row>
    <row r="521" customFormat="false" ht="15" hidden="false" customHeight="false" outlineLevel="0" collapsed="false">
      <c r="A521" s="4" t="s">
        <v>42</v>
      </c>
      <c r="B521" s="4" t="s">
        <v>368</v>
      </c>
      <c r="C521" s="47" t="n">
        <v>5106.44</v>
      </c>
      <c r="D521" s="48" t="n">
        <v>1483.24</v>
      </c>
      <c r="E521" s="49" t="n">
        <f aca="false">D521-cover</f>
        <v>1482.04</v>
      </c>
      <c r="F521" s="50" t="n">
        <f aca="false">'Z5 Ikana-Nkangamo'!S12-'Z5 Ikana-Nkangamo'!P12*C521/'Z5 Ikana-Nkangamo'!G12</f>
        <v>1656.52969987389</v>
      </c>
      <c r="G521" s="51" t="n">
        <f aca="false">'Z5 Ikana-Nkangamo'!$B$8-E521</f>
        <v>185.96</v>
      </c>
      <c r="H521" s="52" t="n">
        <f aca="false">F521-E521</f>
        <v>174.489699873889</v>
      </c>
      <c r="I521" s="52" t="n">
        <f aca="false">MAX(H521,G521)</f>
        <v>185.96</v>
      </c>
      <c r="J521" s="4" t="str">
        <f aca="false">IFERROR("PN"&amp;SMALL(PN_list,COUNTIF(PN_list,"&lt;"&amp;I521*bar_per_m)+1),"&gt; max PN")</f>
        <v>PN25</v>
      </c>
      <c r="K521" s="4" t="str">
        <f aca="false">IF(L521="no","end at tank",IF(H521&lt;0,"NEGATIVE",IF(H521&lt;p_min-0.005,"low","OK")))</f>
        <v>OK</v>
      </c>
      <c r="L521" s="4" t="s">
        <v>414</v>
      </c>
    </row>
    <row r="522" customFormat="false" ht="15" hidden="false" customHeight="false" outlineLevel="0" collapsed="false">
      <c r="A522" s="4" t="s">
        <v>42</v>
      </c>
      <c r="B522" s="4" t="s">
        <v>368</v>
      </c>
      <c r="C522" s="47" t="n">
        <v>5156.45</v>
      </c>
      <c r="D522" s="48" t="n">
        <v>1484.43</v>
      </c>
      <c r="E522" s="49" t="n">
        <f aca="false">D522-cover</f>
        <v>1483.23</v>
      </c>
      <c r="F522" s="50" t="n">
        <f aca="false">'Z5 Ikana-Nkangamo'!S12-'Z5 Ikana-Nkangamo'!P12*C522/'Z5 Ikana-Nkangamo'!G12</f>
        <v>1656.46339483372</v>
      </c>
      <c r="G522" s="51" t="n">
        <f aca="false">'Z5 Ikana-Nkangamo'!$B$8-E522</f>
        <v>184.77</v>
      </c>
      <c r="H522" s="52" t="n">
        <f aca="false">F522-E522</f>
        <v>173.233394833722</v>
      </c>
      <c r="I522" s="52" t="n">
        <f aca="false">MAX(H522,G522)</f>
        <v>184.77</v>
      </c>
      <c r="J522" s="4" t="str">
        <f aca="false">IFERROR("PN"&amp;SMALL(PN_list,COUNTIF(PN_list,"&lt;"&amp;I522*bar_per_m)+1),"&gt; max PN")</f>
        <v>PN25</v>
      </c>
      <c r="K522" s="4" t="str">
        <f aca="false">IF(L522="no","end at tank",IF(H522&lt;0,"NEGATIVE",IF(H522&lt;p_min-0.005,"low","OK")))</f>
        <v>OK</v>
      </c>
      <c r="L522" s="4" t="s">
        <v>414</v>
      </c>
    </row>
    <row r="523" customFormat="false" ht="15" hidden="false" customHeight="false" outlineLevel="0" collapsed="false">
      <c r="A523" s="4" t="s">
        <v>42</v>
      </c>
      <c r="B523" s="4" t="s">
        <v>368</v>
      </c>
      <c r="C523" s="47" t="n">
        <v>5206.46</v>
      </c>
      <c r="D523" s="48" t="n">
        <v>1485.66</v>
      </c>
      <c r="E523" s="49" t="n">
        <f aca="false">D523-cover</f>
        <v>1484.46</v>
      </c>
      <c r="F523" s="50" t="n">
        <f aca="false">'Z5 Ikana-Nkangamo'!S12-'Z5 Ikana-Nkangamo'!P12*C523/'Z5 Ikana-Nkangamo'!G12</f>
        <v>1656.39708979356</v>
      </c>
      <c r="G523" s="51" t="n">
        <f aca="false">'Z5 Ikana-Nkangamo'!$B$8-E523</f>
        <v>183.54</v>
      </c>
      <c r="H523" s="52" t="n">
        <f aca="false">F523-E523</f>
        <v>171.937089793556</v>
      </c>
      <c r="I523" s="52" t="n">
        <f aca="false">MAX(H523,G523)</f>
        <v>183.54</v>
      </c>
      <c r="J523" s="4" t="str">
        <f aca="false">IFERROR("PN"&amp;SMALL(PN_list,COUNTIF(PN_list,"&lt;"&amp;I523*bar_per_m)+1),"&gt; max PN")</f>
        <v>PN25</v>
      </c>
      <c r="K523" s="4" t="str">
        <f aca="false">IF(L523="no","end at tank",IF(H523&lt;0,"NEGATIVE",IF(H523&lt;p_min-0.005,"low","OK")))</f>
        <v>OK</v>
      </c>
      <c r="L523" s="4" t="s">
        <v>414</v>
      </c>
    </row>
    <row r="524" customFormat="false" ht="15" hidden="false" customHeight="false" outlineLevel="0" collapsed="false">
      <c r="A524" s="4" t="s">
        <v>42</v>
      </c>
      <c r="B524" s="4" t="s">
        <v>368</v>
      </c>
      <c r="C524" s="47" t="n">
        <v>5256.46</v>
      </c>
      <c r="D524" s="48" t="n">
        <v>1485.65</v>
      </c>
      <c r="E524" s="49" t="n">
        <f aca="false">D524-cover</f>
        <v>1484.45</v>
      </c>
      <c r="F524" s="50" t="n">
        <f aca="false">'Z5 Ikana-Nkangamo'!S12-'Z5 Ikana-Nkangamo'!P12*C524/'Z5 Ikana-Nkangamo'!G12</f>
        <v>1656.33079801175</v>
      </c>
      <c r="G524" s="51" t="n">
        <f aca="false">'Z5 Ikana-Nkangamo'!$B$8-E524</f>
        <v>183.55</v>
      </c>
      <c r="H524" s="52" t="n">
        <f aca="false">F524-E524</f>
        <v>171.880798011746</v>
      </c>
      <c r="I524" s="52" t="n">
        <f aca="false">MAX(H524,G524)</f>
        <v>183.55</v>
      </c>
      <c r="J524" s="4" t="str">
        <f aca="false">IFERROR("PN"&amp;SMALL(PN_list,COUNTIF(PN_list,"&lt;"&amp;I524*bar_per_m)+1),"&gt; max PN")</f>
        <v>PN25</v>
      </c>
      <c r="K524" s="4" t="str">
        <f aca="false">IF(L524="no","end at tank",IF(H524&lt;0,"NEGATIVE",IF(H524&lt;p_min-0.005,"low","OK")))</f>
        <v>OK</v>
      </c>
      <c r="L524" s="4" t="s">
        <v>414</v>
      </c>
    </row>
    <row r="525" customFormat="false" ht="15" hidden="false" customHeight="false" outlineLevel="0" collapsed="false">
      <c r="A525" s="4" t="s">
        <v>42</v>
      </c>
      <c r="B525" s="4" t="s">
        <v>368</v>
      </c>
      <c r="C525" s="47" t="n">
        <v>5306.47</v>
      </c>
      <c r="D525" s="48" t="n">
        <v>1484.99</v>
      </c>
      <c r="E525" s="49" t="n">
        <f aca="false">D525-cover</f>
        <v>1483.79</v>
      </c>
      <c r="F525" s="50" t="n">
        <f aca="false">'Z5 Ikana-Nkangamo'!S12-'Z5 Ikana-Nkangamo'!P12*C525/'Z5 Ikana-Nkangamo'!G12</f>
        <v>1656.26449297158</v>
      </c>
      <c r="G525" s="51" t="n">
        <f aca="false">'Z5 Ikana-Nkangamo'!$B$8-E525</f>
        <v>184.21</v>
      </c>
      <c r="H525" s="52" t="n">
        <f aca="false">F525-E525</f>
        <v>172.47449297158</v>
      </c>
      <c r="I525" s="52" t="n">
        <f aca="false">MAX(H525,G525)</f>
        <v>184.21</v>
      </c>
      <c r="J525" s="4" t="str">
        <f aca="false">IFERROR("PN"&amp;SMALL(PN_list,COUNTIF(PN_list,"&lt;"&amp;I525*bar_per_m)+1),"&gt; max PN")</f>
        <v>PN25</v>
      </c>
      <c r="K525" s="4" t="str">
        <f aca="false">IF(L525="no","end at tank",IF(H525&lt;0,"NEGATIVE",IF(H525&lt;p_min-0.005,"low","OK")))</f>
        <v>OK</v>
      </c>
      <c r="L525" s="4" t="s">
        <v>414</v>
      </c>
    </row>
    <row r="526" customFormat="false" ht="15" hidden="false" customHeight="false" outlineLevel="0" collapsed="false">
      <c r="A526" s="4" t="s">
        <v>42</v>
      </c>
      <c r="B526" s="4" t="s">
        <v>368</v>
      </c>
      <c r="C526" s="47" t="n">
        <v>5356.47</v>
      </c>
      <c r="D526" s="48" t="n">
        <v>1484.65</v>
      </c>
      <c r="E526" s="49" t="n">
        <f aca="false">D526-cover</f>
        <v>1483.45</v>
      </c>
      <c r="F526" s="50" t="n">
        <f aca="false">'Z5 Ikana-Nkangamo'!S12-'Z5 Ikana-Nkangamo'!P12*C526/'Z5 Ikana-Nkangamo'!G12</f>
        <v>1656.19820118977</v>
      </c>
      <c r="G526" s="51" t="n">
        <f aca="false">'Z5 Ikana-Nkangamo'!$B$8-E526</f>
        <v>184.55</v>
      </c>
      <c r="H526" s="52" t="n">
        <f aca="false">F526-E526</f>
        <v>172.74820118977</v>
      </c>
      <c r="I526" s="52" t="n">
        <f aca="false">MAX(H526,G526)</f>
        <v>184.55</v>
      </c>
      <c r="J526" s="4" t="str">
        <f aca="false">IFERROR("PN"&amp;SMALL(PN_list,COUNTIF(PN_list,"&lt;"&amp;I526*bar_per_m)+1),"&gt; max PN")</f>
        <v>PN25</v>
      </c>
      <c r="K526" s="4" t="str">
        <f aca="false">IF(L526="no","end at tank",IF(H526&lt;0,"NEGATIVE",IF(H526&lt;p_min-0.005,"low","OK")))</f>
        <v>OK</v>
      </c>
      <c r="L526" s="4" t="s">
        <v>414</v>
      </c>
    </row>
    <row r="527" customFormat="false" ht="15" hidden="false" customHeight="false" outlineLevel="0" collapsed="false">
      <c r="A527" s="4" t="s">
        <v>42</v>
      </c>
      <c r="B527" s="4" t="s">
        <v>368</v>
      </c>
      <c r="C527" s="47" t="n">
        <v>5406.48</v>
      </c>
      <c r="D527" s="48" t="n">
        <v>1483.5</v>
      </c>
      <c r="E527" s="49" t="n">
        <f aca="false">D527-cover</f>
        <v>1482.3</v>
      </c>
      <c r="F527" s="50" t="n">
        <f aca="false">'Z5 Ikana-Nkangamo'!S12-'Z5 Ikana-Nkangamo'!P12*C527/'Z5 Ikana-Nkangamo'!G12</f>
        <v>1656.1318961496</v>
      </c>
      <c r="G527" s="51" t="n">
        <f aca="false">'Z5 Ikana-Nkangamo'!$B$8-E527</f>
        <v>185.7</v>
      </c>
      <c r="H527" s="52" t="n">
        <f aca="false">F527-E527</f>
        <v>173.831896149604</v>
      </c>
      <c r="I527" s="52" t="n">
        <f aca="false">MAX(H527,G527)</f>
        <v>185.7</v>
      </c>
      <c r="J527" s="4" t="str">
        <f aca="false">IFERROR("PN"&amp;SMALL(PN_list,COUNTIF(PN_list,"&lt;"&amp;I527*bar_per_m)+1),"&gt; max PN")</f>
        <v>PN25</v>
      </c>
      <c r="K527" s="4" t="str">
        <f aca="false">IF(L527="no","end at tank",IF(H527&lt;0,"NEGATIVE",IF(H527&lt;p_min-0.005,"low","OK")))</f>
        <v>OK</v>
      </c>
      <c r="L527" s="4" t="s">
        <v>414</v>
      </c>
    </row>
    <row r="528" customFormat="false" ht="15" hidden="false" customHeight="false" outlineLevel="0" collapsed="false">
      <c r="A528" s="4" t="s">
        <v>42</v>
      </c>
      <c r="B528" s="4" t="s">
        <v>368</v>
      </c>
      <c r="C528" s="47" t="n">
        <v>5456.51</v>
      </c>
      <c r="D528" s="48" t="n">
        <v>1481.82</v>
      </c>
      <c r="E528" s="49" t="n">
        <f aca="false">D528-cover</f>
        <v>1480.62</v>
      </c>
      <c r="F528" s="50" t="n">
        <f aca="false">'Z5 Ikana-Nkangamo'!S12-'Z5 Ikana-Nkangamo'!P12*C528/'Z5 Ikana-Nkangamo'!G12</f>
        <v>1656.06556459272</v>
      </c>
      <c r="G528" s="51" t="n">
        <f aca="false">'Z5 Ikana-Nkangamo'!$B$8-E528</f>
        <v>187.38</v>
      </c>
      <c r="H528" s="52" t="n">
        <f aca="false">F528-E528</f>
        <v>175.445564592725</v>
      </c>
      <c r="I528" s="52" t="n">
        <f aca="false">MAX(H528,G528)</f>
        <v>187.38</v>
      </c>
      <c r="J528" s="4" t="str">
        <f aca="false">IFERROR("PN"&amp;SMALL(PN_list,COUNTIF(PN_list,"&lt;"&amp;I528*bar_per_m)+1),"&gt; max PN")</f>
        <v>PN25</v>
      </c>
      <c r="K528" s="4" t="str">
        <f aca="false">IF(L528="no","end at tank",IF(H528&lt;0,"NEGATIVE",IF(H528&lt;p_min-0.005,"low","OK")))</f>
        <v>OK</v>
      </c>
      <c r="L528" s="4" t="s">
        <v>414</v>
      </c>
    </row>
    <row r="529" customFormat="false" ht="15" hidden="false" customHeight="false" outlineLevel="0" collapsed="false">
      <c r="A529" s="4" t="s">
        <v>42</v>
      </c>
      <c r="B529" s="4" t="s">
        <v>368</v>
      </c>
      <c r="C529" s="47" t="n">
        <v>5506.51</v>
      </c>
      <c r="D529" s="48" t="n">
        <v>1482.1</v>
      </c>
      <c r="E529" s="49" t="n">
        <f aca="false">D529-cover</f>
        <v>1480.9</v>
      </c>
      <c r="F529" s="50" t="n">
        <f aca="false">'Z5 Ikana-Nkangamo'!S12-'Z5 Ikana-Nkangamo'!P12*C529/'Z5 Ikana-Nkangamo'!G12</f>
        <v>1655.99927281091</v>
      </c>
      <c r="G529" s="51" t="n">
        <f aca="false">'Z5 Ikana-Nkangamo'!$B$8-E529</f>
        <v>187.1</v>
      </c>
      <c r="H529" s="52" t="n">
        <f aca="false">F529-E529</f>
        <v>175.099272810915</v>
      </c>
      <c r="I529" s="52" t="n">
        <f aca="false">MAX(H529,G529)</f>
        <v>187.1</v>
      </c>
      <c r="J529" s="4" t="str">
        <f aca="false">IFERROR("PN"&amp;SMALL(PN_list,COUNTIF(PN_list,"&lt;"&amp;I529*bar_per_m)+1),"&gt; max PN")</f>
        <v>PN25</v>
      </c>
      <c r="K529" s="4" t="str">
        <f aca="false">IF(L529="no","end at tank",IF(H529&lt;0,"NEGATIVE",IF(H529&lt;p_min-0.005,"low","OK")))</f>
        <v>OK</v>
      </c>
      <c r="L529" s="4" t="s">
        <v>414</v>
      </c>
    </row>
    <row r="530" customFormat="false" ht="15" hidden="false" customHeight="false" outlineLevel="0" collapsed="false">
      <c r="A530" s="4" t="s">
        <v>42</v>
      </c>
      <c r="B530" s="4" t="s">
        <v>368</v>
      </c>
      <c r="C530" s="47" t="n">
        <v>5556.52</v>
      </c>
      <c r="D530" s="48" t="n">
        <v>1481.05</v>
      </c>
      <c r="E530" s="49" t="n">
        <f aca="false">D530-cover</f>
        <v>1479.85</v>
      </c>
      <c r="F530" s="50" t="n">
        <f aca="false">'Z5 Ikana-Nkangamo'!S12-'Z5 Ikana-Nkangamo'!P12*C530/'Z5 Ikana-Nkangamo'!G12</f>
        <v>1655.93296777075</v>
      </c>
      <c r="G530" s="51" t="n">
        <f aca="false">'Z5 Ikana-Nkangamo'!$B$8-E530</f>
        <v>188.15</v>
      </c>
      <c r="H530" s="52" t="n">
        <f aca="false">F530-E530</f>
        <v>176.082967770748</v>
      </c>
      <c r="I530" s="52" t="n">
        <f aca="false">MAX(H530,G530)</f>
        <v>188.15</v>
      </c>
      <c r="J530" s="4" t="str">
        <f aca="false">IFERROR("PN"&amp;SMALL(PN_list,COUNTIF(PN_list,"&lt;"&amp;I530*bar_per_m)+1),"&gt; max PN")</f>
        <v>PN25</v>
      </c>
      <c r="K530" s="4" t="str">
        <f aca="false">IF(L530="no","end at tank",IF(H530&lt;0,"NEGATIVE",IF(H530&lt;p_min-0.005,"low","OK")))</f>
        <v>OK</v>
      </c>
      <c r="L530" s="4" t="s">
        <v>414</v>
      </c>
    </row>
    <row r="531" customFormat="false" ht="15" hidden="false" customHeight="false" outlineLevel="0" collapsed="false">
      <c r="A531" s="4" t="s">
        <v>42</v>
      </c>
      <c r="B531" s="4" t="s">
        <v>368</v>
      </c>
      <c r="C531" s="47" t="n">
        <v>5606.52</v>
      </c>
      <c r="D531" s="48" t="n">
        <v>1480.83</v>
      </c>
      <c r="E531" s="49" t="n">
        <f aca="false">D531-cover</f>
        <v>1479.63</v>
      </c>
      <c r="F531" s="50" t="n">
        <f aca="false">'Z5 Ikana-Nkangamo'!S12-'Z5 Ikana-Nkangamo'!P12*C531/'Z5 Ikana-Nkangamo'!G12</f>
        <v>1655.86667598894</v>
      </c>
      <c r="G531" s="51" t="n">
        <f aca="false">'Z5 Ikana-Nkangamo'!$B$8-E531</f>
        <v>188.37</v>
      </c>
      <c r="H531" s="52" t="n">
        <f aca="false">F531-E531</f>
        <v>176.236675988939</v>
      </c>
      <c r="I531" s="52" t="n">
        <f aca="false">MAX(H531,G531)</f>
        <v>188.37</v>
      </c>
      <c r="J531" s="4" t="str">
        <f aca="false">IFERROR("PN"&amp;SMALL(PN_list,COUNTIF(PN_list,"&lt;"&amp;I531*bar_per_m)+1),"&gt; max PN")</f>
        <v>PN25</v>
      </c>
      <c r="K531" s="4" t="str">
        <f aca="false">IF(L531="no","end at tank",IF(H531&lt;0,"NEGATIVE",IF(H531&lt;p_min-0.005,"low","OK")))</f>
        <v>OK</v>
      </c>
      <c r="L531" s="4" t="s">
        <v>414</v>
      </c>
    </row>
    <row r="532" customFormat="false" ht="15" hidden="false" customHeight="false" outlineLevel="0" collapsed="false">
      <c r="A532" s="4" t="s">
        <v>42</v>
      </c>
      <c r="B532" s="4" t="s">
        <v>368</v>
      </c>
      <c r="C532" s="47" t="n">
        <v>5656.52</v>
      </c>
      <c r="D532" s="48" t="n">
        <v>1480.85</v>
      </c>
      <c r="E532" s="49" t="n">
        <f aca="false">D532-cover</f>
        <v>1479.65</v>
      </c>
      <c r="F532" s="50" t="n">
        <f aca="false">'Z5 Ikana-Nkangamo'!S12-'Z5 Ikana-Nkangamo'!P12*C532/'Z5 Ikana-Nkangamo'!G12</f>
        <v>1655.80038420713</v>
      </c>
      <c r="G532" s="51" t="n">
        <f aca="false">'Z5 Ikana-Nkangamo'!$B$8-E532</f>
        <v>188.35</v>
      </c>
      <c r="H532" s="52" t="n">
        <f aca="false">F532-E532</f>
        <v>176.150384207129</v>
      </c>
      <c r="I532" s="52" t="n">
        <f aca="false">MAX(H532,G532)</f>
        <v>188.35</v>
      </c>
      <c r="J532" s="4" t="str">
        <f aca="false">IFERROR("PN"&amp;SMALL(PN_list,COUNTIF(PN_list,"&lt;"&amp;I532*bar_per_m)+1),"&gt; max PN")</f>
        <v>PN25</v>
      </c>
      <c r="K532" s="4" t="str">
        <f aca="false">IF(L532="no","end at tank",IF(H532&lt;0,"NEGATIVE",IF(H532&lt;p_min-0.005,"low","OK")))</f>
        <v>OK</v>
      </c>
      <c r="L532" s="4" t="s">
        <v>414</v>
      </c>
    </row>
    <row r="533" customFormat="false" ht="15" hidden="false" customHeight="false" outlineLevel="0" collapsed="false">
      <c r="A533" s="4" t="s">
        <v>42</v>
      </c>
      <c r="B533" s="4" t="s">
        <v>368</v>
      </c>
      <c r="C533" s="47" t="n">
        <v>5706.52</v>
      </c>
      <c r="D533" s="48" t="n">
        <v>1480.72</v>
      </c>
      <c r="E533" s="49" t="n">
        <f aca="false">D533-cover</f>
        <v>1479.52</v>
      </c>
      <c r="F533" s="50" t="n">
        <f aca="false">'Z5 Ikana-Nkangamo'!S12-'Z5 Ikana-Nkangamo'!P12*C533/'Z5 Ikana-Nkangamo'!G12</f>
        <v>1655.73409242532</v>
      </c>
      <c r="G533" s="51" t="n">
        <f aca="false">'Z5 Ikana-Nkangamo'!$B$8-E533</f>
        <v>188.48</v>
      </c>
      <c r="H533" s="52" t="n">
        <f aca="false">F533-E533</f>
        <v>176.214092425318</v>
      </c>
      <c r="I533" s="52" t="n">
        <f aca="false">MAX(H533,G533)</f>
        <v>188.48</v>
      </c>
      <c r="J533" s="4" t="str">
        <f aca="false">IFERROR("PN"&amp;SMALL(PN_list,COUNTIF(PN_list,"&lt;"&amp;I533*bar_per_m)+1),"&gt; max PN")</f>
        <v>PN25</v>
      </c>
      <c r="K533" s="4" t="str">
        <f aca="false">IF(L533="no","end at tank",IF(H533&lt;0,"NEGATIVE",IF(H533&lt;p_min-0.005,"low","OK")))</f>
        <v>OK</v>
      </c>
      <c r="L533" s="4" t="s">
        <v>414</v>
      </c>
    </row>
    <row r="534" customFormat="false" ht="15" hidden="false" customHeight="false" outlineLevel="0" collapsed="false">
      <c r="A534" s="4" t="s">
        <v>42</v>
      </c>
      <c r="B534" s="4" t="s">
        <v>368</v>
      </c>
      <c r="C534" s="47" t="n">
        <v>5756.53</v>
      </c>
      <c r="D534" s="48" t="n">
        <v>1481.29</v>
      </c>
      <c r="E534" s="49" t="n">
        <f aca="false">D534-cover</f>
        <v>1480.09</v>
      </c>
      <c r="F534" s="50" t="n">
        <f aca="false">'Z5 Ikana-Nkangamo'!S12-'Z5 Ikana-Nkangamo'!P12*C534/'Z5 Ikana-Nkangamo'!G12</f>
        <v>1655.66778738515</v>
      </c>
      <c r="G534" s="51" t="n">
        <f aca="false">'Z5 Ikana-Nkangamo'!$B$8-E534</f>
        <v>187.91</v>
      </c>
      <c r="H534" s="52" t="n">
        <f aca="false">F534-E534</f>
        <v>175.577787385152</v>
      </c>
      <c r="I534" s="52" t="n">
        <f aca="false">MAX(H534,G534)</f>
        <v>187.91</v>
      </c>
      <c r="J534" s="4" t="str">
        <f aca="false">IFERROR("PN"&amp;SMALL(PN_list,COUNTIF(PN_list,"&lt;"&amp;I534*bar_per_m)+1),"&gt; max PN")</f>
        <v>PN25</v>
      </c>
      <c r="K534" s="4" t="str">
        <f aca="false">IF(L534="no","end at tank",IF(H534&lt;0,"NEGATIVE",IF(H534&lt;p_min-0.005,"low","OK")))</f>
        <v>OK</v>
      </c>
      <c r="L534" s="4" t="s">
        <v>414</v>
      </c>
    </row>
    <row r="535" customFormat="false" ht="15" hidden="false" customHeight="false" outlineLevel="0" collapsed="false">
      <c r="A535" s="4" t="s">
        <v>42</v>
      </c>
      <c r="B535" s="4" t="s">
        <v>368</v>
      </c>
      <c r="C535" s="47" t="n">
        <v>5806.53</v>
      </c>
      <c r="D535" s="48" t="n">
        <v>1481.56</v>
      </c>
      <c r="E535" s="49" t="n">
        <f aca="false">D535-cover</f>
        <v>1480.36</v>
      </c>
      <c r="F535" s="50" t="n">
        <f aca="false">'Z5 Ikana-Nkangamo'!S12-'Z5 Ikana-Nkangamo'!P12*C535/'Z5 Ikana-Nkangamo'!G12</f>
        <v>1655.60149560334</v>
      </c>
      <c r="G535" s="51" t="n">
        <f aca="false">'Z5 Ikana-Nkangamo'!$B$8-E535</f>
        <v>187.64</v>
      </c>
      <c r="H535" s="52" t="n">
        <f aca="false">F535-E535</f>
        <v>175.241495603342</v>
      </c>
      <c r="I535" s="52" t="n">
        <f aca="false">MAX(H535,G535)</f>
        <v>187.64</v>
      </c>
      <c r="J535" s="4" t="str">
        <f aca="false">IFERROR("PN"&amp;SMALL(PN_list,COUNTIF(PN_list,"&lt;"&amp;I535*bar_per_m)+1),"&gt; max PN")</f>
        <v>PN25</v>
      </c>
      <c r="K535" s="4" t="str">
        <f aca="false">IF(L535="no","end at tank",IF(H535&lt;0,"NEGATIVE",IF(H535&lt;p_min-0.005,"low","OK")))</f>
        <v>OK</v>
      </c>
      <c r="L535" s="4" t="s">
        <v>414</v>
      </c>
    </row>
    <row r="536" customFormat="false" ht="15" hidden="false" customHeight="false" outlineLevel="0" collapsed="false">
      <c r="A536" s="4" t="s">
        <v>42</v>
      </c>
      <c r="B536" s="4" t="s">
        <v>368</v>
      </c>
      <c r="C536" s="47" t="n">
        <v>5856.53</v>
      </c>
      <c r="D536" s="48" t="n">
        <v>1481.89</v>
      </c>
      <c r="E536" s="49" t="n">
        <f aca="false">D536-cover</f>
        <v>1480.69</v>
      </c>
      <c r="F536" s="50" t="n">
        <f aca="false">'Z5 Ikana-Nkangamo'!S12-'Z5 Ikana-Nkangamo'!P12*C536/'Z5 Ikana-Nkangamo'!G12</f>
        <v>1655.53520382153</v>
      </c>
      <c r="G536" s="51" t="n">
        <f aca="false">'Z5 Ikana-Nkangamo'!$B$8-E536</f>
        <v>187.31</v>
      </c>
      <c r="H536" s="52" t="n">
        <f aca="false">F536-E536</f>
        <v>174.845203821532</v>
      </c>
      <c r="I536" s="52" t="n">
        <f aca="false">MAX(H536,G536)</f>
        <v>187.31</v>
      </c>
      <c r="J536" s="4" t="str">
        <f aca="false">IFERROR("PN"&amp;SMALL(PN_list,COUNTIF(PN_list,"&lt;"&amp;I536*bar_per_m)+1),"&gt; max PN")</f>
        <v>PN25</v>
      </c>
      <c r="K536" s="4" t="str">
        <f aca="false">IF(L536="no","end at tank",IF(H536&lt;0,"NEGATIVE",IF(H536&lt;p_min-0.005,"low","OK")))</f>
        <v>OK</v>
      </c>
      <c r="L536" s="4" t="s">
        <v>414</v>
      </c>
    </row>
    <row r="537" customFormat="false" ht="15" hidden="false" customHeight="false" outlineLevel="0" collapsed="false">
      <c r="A537" s="4" t="s">
        <v>42</v>
      </c>
      <c r="B537" s="4" t="s">
        <v>368</v>
      </c>
      <c r="C537" s="47" t="n">
        <v>5906.56</v>
      </c>
      <c r="D537" s="48" t="n">
        <v>1483.52</v>
      </c>
      <c r="E537" s="49" t="n">
        <f aca="false">D537-cover</f>
        <v>1482.32</v>
      </c>
      <c r="F537" s="50" t="n">
        <f aca="false">'Z5 Ikana-Nkangamo'!S12-'Z5 Ikana-Nkangamo'!P12*C537/'Z5 Ikana-Nkangamo'!G12</f>
        <v>1655.46887226465</v>
      </c>
      <c r="G537" s="51" t="n">
        <f aca="false">'Z5 Ikana-Nkangamo'!$B$8-E537</f>
        <v>185.68</v>
      </c>
      <c r="H537" s="52" t="n">
        <f aca="false">F537-E537</f>
        <v>173.148872264653</v>
      </c>
      <c r="I537" s="52" t="n">
        <f aca="false">MAX(H537,G537)</f>
        <v>185.68</v>
      </c>
      <c r="J537" s="4" t="str">
        <f aca="false">IFERROR("PN"&amp;SMALL(PN_list,COUNTIF(PN_list,"&lt;"&amp;I537*bar_per_m)+1),"&gt; max PN")</f>
        <v>PN25</v>
      </c>
      <c r="K537" s="4" t="str">
        <f aca="false">IF(L537="no","end at tank",IF(H537&lt;0,"NEGATIVE",IF(H537&lt;p_min-0.005,"low","OK")))</f>
        <v>OK</v>
      </c>
      <c r="L537" s="4" t="s">
        <v>414</v>
      </c>
    </row>
    <row r="538" customFormat="false" ht="15" hidden="false" customHeight="false" outlineLevel="0" collapsed="false">
      <c r="A538" s="4" t="s">
        <v>42</v>
      </c>
      <c r="B538" s="4" t="s">
        <v>368</v>
      </c>
      <c r="C538" s="47" t="n">
        <v>5956.56</v>
      </c>
      <c r="D538" s="48" t="n">
        <v>1483.38</v>
      </c>
      <c r="E538" s="49" t="n">
        <f aca="false">D538-cover</f>
        <v>1482.18</v>
      </c>
      <c r="F538" s="50" t="n">
        <f aca="false">'Z5 Ikana-Nkangamo'!S12-'Z5 Ikana-Nkangamo'!P12*C538/'Z5 Ikana-Nkangamo'!G12</f>
        <v>1655.40258048284</v>
      </c>
      <c r="G538" s="51" t="n">
        <f aca="false">'Z5 Ikana-Nkangamo'!$B$8-E538</f>
        <v>185.82</v>
      </c>
      <c r="H538" s="52" t="n">
        <f aca="false">F538-E538</f>
        <v>173.222580482843</v>
      </c>
      <c r="I538" s="52" t="n">
        <f aca="false">MAX(H538,G538)</f>
        <v>185.82</v>
      </c>
      <c r="J538" s="4" t="str">
        <f aca="false">IFERROR("PN"&amp;SMALL(PN_list,COUNTIF(PN_list,"&lt;"&amp;I538*bar_per_m)+1),"&gt; max PN")</f>
        <v>PN25</v>
      </c>
      <c r="K538" s="4" t="str">
        <f aca="false">IF(L538="no","end at tank",IF(H538&lt;0,"NEGATIVE",IF(H538&lt;p_min-0.005,"low","OK")))</f>
        <v>OK</v>
      </c>
      <c r="L538" s="4" t="s">
        <v>414</v>
      </c>
    </row>
    <row r="539" customFormat="false" ht="15" hidden="false" customHeight="false" outlineLevel="0" collapsed="false">
      <c r="A539" s="4" t="s">
        <v>42</v>
      </c>
      <c r="B539" s="4" t="s">
        <v>368</v>
      </c>
      <c r="C539" s="47" t="n">
        <v>6006.56</v>
      </c>
      <c r="D539" s="48" t="n">
        <v>1483.63</v>
      </c>
      <c r="E539" s="49" t="n">
        <f aca="false">D539-cover</f>
        <v>1482.43</v>
      </c>
      <c r="F539" s="50" t="n">
        <f aca="false">'Z5 Ikana-Nkangamo'!S12-'Z5 Ikana-Nkangamo'!P12*C539/'Z5 Ikana-Nkangamo'!G12</f>
        <v>1655.33628870103</v>
      </c>
      <c r="G539" s="51" t="n">
        <f aca="false">'Z5 Ikana-Nkangamo'!$B$8-E539</f>
        <v>185.57</v>
      </c>
      <c r="H539" s="52" t="n">
        <f aca="false">F539-E539</f>
        <v>172.906288701033</v>
      </c>
      <c r="I539" s="52" t="n">
        <f aca="false">MAX(H539,G539)</f>
        <v>185.57</v>
      </c>
      <c r="J539" s="4" t="str">
        <f aca="false">IFERROR("PN"&amp;SMALL(PN_list,COUNTIF(PN_list,"&lt;"&amp;I539*bar_per_m)+1),"&gt; max PN")</f>
        <v>PN25</v>
      </c>
      <c r="K539" s="4" t="str">
        <f aca="false">IF(L539="no","end at tank",IF(H539&lt;0,"NEGATIVE",IF(H539&lt;p_min-0.005,"low","OK")))</f>
        <v>OK</v>
      </c>
      <c r="L539" s="4" t="s">
        <v>414</v>
      </c>
    </row>
    <row r="540" customFormat="false" ht="15" hidden="false" customHeight="false" outlineLevel="0" collapsed="false">
      <c r="A540" s="4" t="s">
        <v>42</v>
      </c>
      <c r="B540" s="4" t="s">
        <v>368</v>
      </c>
      <c r="C540" s="47" t="n">
        <v>6056.57</v>
      </c>
      <c r="D540" s="48" t="n">
        <v>1484.61</v>
      </c>
      <c r="E540" s="49" t="n">
        <f aca="false">D540-cover</f>
        <v>1483.41</v>
      </c>
      <c r="F540" s="50" t="n">
        <f aca="false">'Z5 Ikana-Nkangamo'!S12-'Z5 Ikana-Nkangamo'!P12*C540/'Z5 Ikana-Nkangamo'!G12</f>
        <v>1655.26998366087</v>
      </c>
      <c r="G540" s="51" t="n">
        <f aca="false">'Z5 Ikana-Nkangamo'!$B$8-E540</f>
        <v>184.59</v>
      </c>
      <c r="H540" s="52" t="n">
        <f aca="false">F540-E540</f>
        <v>171.859983660867</v>
      </c>
      <c r="I540" s="52" t="n">
        <f aca="false">MAX(H540,G540)</f>
        <v>184.59</v>
      </c>
      <c r="J540" s="4" t="str">
        <f aca="false">IFERROR("PN"&amp;SMALL(PN_list,COUNTIF(PN_list,"&lt;"&amp;I540*bar_per_m)+1),"&gt; max PN")</f>
        <v>PN25</v>
      </c>
      <c r="K540" s="4" t="str">
        <f aca="false">IF(L540="no","end at tank",IF(H540&lt;0,"NEGATIVE",IF(H540&lt;p_min-0.005,"low","OK")))</f>
        <v>OK</v>
      </c>
      <c r="L540" s="4" t="s">
        <v>414</v>
      </c>
    </row>
    <row r="541" customFormat="false" ht="15" hidden="false" customHeight="false" outlineLevel="0" collapsed="false">
      <c r="A541" s="4" t="s">
        <v>42</v>
      </c>
      <c r="B541" s="4" t="s">
        <v>368</v>
      </c>
      <c r="C541" s="47" t="n">
        <v>6106.58</v>
      </c>
      <c r="D541" s="48" t="n">
        <v>1485.91</v>
      </c>
      <c r="E541" s="49" t="n">
        <f aca="false">D541-cover</f>
        <v>1484.71</v>
      </c>
      <c r="F541" s="50" t="n">
        <f aca="false">'Z5 Ikana-Nkangamo'!S12-'Z5 Ikana-Nkangamo'!P12*C541/'Z5 Ikana-Nkangamo'!G12</f>
        <v>1655.2036786207</v>
      </c>
      <c r="G541" s="51" t="n">
        <f aca="false">'Z5 Ikana-Nkangamo'!$B$8-E541</f>
        <v>183.29</v>
      </c>
      <c r="H541" s="52" t="n">
        <f aca="false">F541-E541</f>
        <v>170.493678620701</v>
      </c>
      <c r="I541" s="52" t="n">
        <f aca="false">MAX(H541,G541)</f>
        <v>183.29</v>
      </c>
      <c r="J541" s="4" t="str">
        <f aca="false">IFERROR("PN"&amp;SMALL(PN_list,COUNTIF(PN_list,"&lt;"&amp;I541*bar_per_m)+1),"&gt; max PN")</f>
        <v>PN25</v>
      </c>
      <c r="K541" s="4" t="str">
        <f aca="false">IF(L541="no","end at tank",IF(H541&lt;0,"NEGATIVE",IF(H541&lt;p_min-0.005,"low","OK")))</f>
        <v>OK</v>
      </c>
      <c r="L541" s="4" t="s">
        <v>414</v>
      </c>
    </row>
    <row r="542" customFormat="false" ht="15" hidden="false" customHeight="false" outlineLevel="0" collapsed="false">
      <c r="A542" s="4" t="s">
        <v>42</v>
      </c>
      <c r="B542" s="4" t="s">
        <v>368</v>
      </c>
      <c r="C542" s="47" t="n">
        <v>6156.58</v>
      </c>
      <c r="D542" s="48" t="n">
        <v>1485.57</v>
      </c>
      <c r="E542" s="49" t="n">
        <f aca="false">D542-cover</f>
        <v>1484.37</v>
      </c>
      <c r="F542" s="50" t="n">
        <f aca="false">'Z5 Ikana-Nkangamo'!S12-'Z5 Ikana-Nkangamo'!P12*C542/'Z5 Ikana-Nkangamo'!G12</f>
        <v>1655.13738683889</v>
      </c>
      <c r="G542" s="51" t="n">
        <f aca="false">'Z5 Ikana-Nkangamo'!$B$8-E542</f>
        <v>183.63</v>
      </c>
      <c r="H542" s="52" t="n">
        <f aca="false">F542-E542</f>
        <v>170.767386838891</v>
      </c>
      <c r="I542" s="52" t="n">
        <f aca="false">MAX(H542,G542)</f>
        <v>183.63</v>
      </c>
      <c r="J542" s="4" t="str">
        <f aca="false">IFERROR("PN"&amp;SMALL(PN_list,COUNTIF(PN_list,"&lt;"&amp;I542*bar_per_m)+1),"&gt; max PN")</f>
        <v>PN25</v>
      </c>
      <c r="K542" s="4" t="str">
        <f aca="false">IF(L542="no","end at tank",IF(H542&lt;0,"NEGATIVE",IF(H542&lt;p_min-0.005,"low","OK")))</f>
        <v>OK</v>
      </c>
      <c r="L542" s="4" t="s">
        <v>414</v>
      </c>
    </row>
    <row r="543" customFormat="false" ht="15" hidden="false" customHeight="false" outlineLevel="0" collapsed="false">
      <c r="A543" s="4" t="s">
        <v>42</v>
      </c>
      <c r="B543" s="4" t="s">
        <v>368</v>
      </c>
      <c r="C543" s="47" t="n">
        <v>6206.6</v>
      </c>
      <c r="D543" s="48" t="n">
        <v>1486.66</v>
      </c>
      <c r="E543" s="49" t="n">
        <f aca="false">D543-cover</f>
        <v>1485.46</v>
      </c>
      <c r="F543" s="50" t="n">
        <f aca="false">'Z5 Ikana-Nkangamo'!S12-'Z5 Ikana-Nkangamo'!P12*C543/'Z5 Ikana-Nkangamo'!G12</f>
        <v>1655.07106854037</v>
      </c>
      <c r="G543" s="51" t="n">
        <f aca="false">'Z5 Ikana-Nkangamo'!$B$8-E543</f>
        <v>182.54</v>
      </c>
      <c r="H543" s="52" t="n">
        <f aca="false">F543-E543</f>
        <v>169.611068540368</v>
      </c>
      <c r="I543" s="52" t="n">
        <f aca="false">MAX(H543,G543)</f>
        <v>182.54</v>
      </c>
      <c r="J543" s="4" t="str">
        <f aca="false">IFERROR("PN"&amp;SMALL(PN_list,COUNTIF(PN_list,"&lt;"&amp;I543*bar_per_m)+1),"&gt; max PN")</f>
        <v>PN25</v>
      </c>
      <c r="K543" s="4" t="str">
        <f aca="false">IF(L543="no","end at tank",IF(H543&lt;0,"NEGATIVE",IF(H543&lt;p_min-0.005,"low","OK")))</f>
        <v>OK</v>
      </c>
      <c r="L543" s="4" t="s">
        <v>414</v>
      </c>
    </row>
    <row r="544" customFormat="false" ht="15" hidden="false" customHeight="false" outlineLevel="0" collapsed="false">
      <c r="A544" s="4" t="s">
        <v>42</v>
      </c>
      <c r="B544" s="4" t="s">
        <v>368</v>
      </c>
      <c r="C544" s="47" t="n">
        <v>6256.6</v>
      </c>
      <c r="D544" s="48" t="n">
        <v>1487.43</v>
      </c>
      <c r="E544" s="49" t="n">
        <f aca="false">D544-cover</f>
        <v>1486.23</v>
      </c>
      <c r="F544" s="50" t="n">
        <f aca="false">'Z5 Ikana-Nkangamo'!S12-'Z5 Ikana-Nkangamo'!P12*C544/'Z5 Ikana-Nkangamo'!G12</f>
        <v>1655.00477675856</v>
      </c>
      <c r="G544" s="51" t="n">
        <f aca="false">'Z5 Ikana-Nkangamo'!$B$8-E544</f>
        <v>181.77</v>
      </c>
      <c r="H544" s="52" t="n">
        <f aca="false">F544-E544</f>
        <v>168.774776758558</v>
      </c>
      <c r="I544" s="52" t="n">
        <f aca="false">MAX(H544,G544)</f>
        <v>181.77</v>
      </c>
      <c r="J544" s="4" t="str">
        <f aca="false">IFERROR("PN"&amp;SMALL(PN_list,COUNTIF(PN_list,"&lt;"&amp;I544*bar_per_m)+1),"&gt; max PN")</f>
        <v>PN25</v>
      </c>
      <c r="K544" s="4" t="str">
        <f aca="false">IF(L544="no","end at tank",IF(H544&lt;0,"NEGATIVE",IF(H544&lt;p_min-0.005,"low","OK")))</f>
        <v>OK</v>
      </c>
      <c r="L544" s="4" t="s">
        <v>414</v>
      </c>
    </row>
    <row r="545" customFormat="false" ht="15" hidden="false" customHeight="false" outlineLevel="0" collapsed="false">
      <c r="A545" s="4" t="s">
        <v>42</v>
      </c>
      <c r="B545" s="4" t="s">
        <v>368</v>
      </c>
      <c r="C545" s="47" t="n">
        <v>6306.63</v>
      </c>
      <c r="D545" s="48" t="n">
        <v>1489.02</v>
      </c>
      <c r="E545" s="49" t="n">
        <f aca="false">D545-cover</f>
        <v>1487.82</v>
      </c>
      <c r="F545" s="50" t="n">
        <f aca="false">'Z5 Ikana-Nkangamo'!S12-'Z5 Ikana-Nkangamo'!P12*C545/'Z5 Ikana-Nkangamo'!G12</f>
        <v>1654.93844520168</v>
      </c>
      <c r="G545" s="51" t="n">
        <f aca="false">'Z5 Ikana-Nkangamo'!$B$8-E545</f>
        <v>180.18</v>
      </c>
      <c r="H545" s="52" t="n">
        <f aca="false">F545-E545</f>
        <v>167.118445201679</v>
      </c>
      <c r="I545" s="52" t="n">
        <f aca="false">MAX(H545,G545)</f>
        <v>180.18</v>
      </c>
      <c r="J545" s="4" t="str">
        <f aca="false">IFERROR("PN"&amp;SMALL(PN_list,COUNTIF(PN_list,"&lt;"&amp;I545*bar_per_m)+1),"&gt; max PN")</f>
        <v>PN25</v>
      </c>
      <c r="K545" s="4" t="str">
        <f aca="false">IF(L545="no","end at tank",IF(H545&lt;0,"NEGATIVE",IF(H545&lt;p_min-0.005,"low","OK")))</f>
        <v>OK</v>
      </c>
      <c r="L545" s="4" t="s">
        <v>414</v>
      </c>
    </row>
    <row r="546" customFormat="false" ht="15" hidden="false" customHeight="false" outlineLevel="0" collapsed="false">
      <c r="A546" s="4" t="s">
        <v>42</v>
      </c>
      <c r="B546" s="4" t="s">
        <v>368</v>
      </c>
      <c r="C546" s="47" t="n">
        <v>6356.64</v>
      </c>
      <c r="D546" s="48" t="n">
        <v>1490.06</v>
      </c>
      <c r="E546" s="49" t="n">
        <f aca="false">D546-cover</f>
        <v>1488.86</v>
      </c>
      <c r="F546" s="50" t="n">
        <f aca="false">'Z5 Ikana-Nkangamo'!S12-'Z5 Ikana-Nkangamo'!P12*C546/'Z5 Ikana-Nkangamo'!G12</f>
        <v>1654.87214016151</v>
      </c>
      <c r="G546" s="51" t="n">
        <f aca="false">'Z5 Ikana-Nkangamo'!$B$8-E546</f>
        <v>179.14</v>
      </c>
      <c r="H546" s="52" t="n">
        <f aca="false">F546-E546</f>
        <v>166.012140161513</v>
      </c>
      <c r="I546" s="52" t="n">
        <f aca="false">MAX(H546,G546)</f>
        <v>179.14</v>
      </c>
      <c r="J546" s="4" t="str">
        <f aca="false">IFERROR("PN"&amp;SMALL(PN_list,COUNTIF(PN_list,"&lt;"&amp;I546*bar_per_m)+1),"&gt; max PN")</f>
        <v>PN25</v>
      </c>
      <c r="K546" s="4" t="str">
        <f aca="false">IF(L546="no","end at tank",IF(H546&lt;0,"NEGATIVE",IF(H546&lt;p_min-0.005,"low","OK")))</f>
        <v>OK</v>
      </c>
      <c r="L546" s="4" t="s">
        <v>414</v>
      </c>
    </row>
    <row r="547" customFormat="false" ht="15" hidden="false" customHeight="false" outlineLevel="0" collapsed="false">
      <c r="A547" s="4" t="s">
        <v>42</v>
      </c>
      <c r="B547" s="4" t="s">
        <v>368</v>
      </c>
      <c r="C547" s="47" t="n">
        <v>6406.64</v>
      </c>
      <c r="D547" s="48" t="n">
        <v>1490.86</v>
      </c>
      <c r="E547" s="49" t="n">
        <f aca="false">D547-cover</f>
        <v>1489.66</v>
      </c>
      <c r="F547" s="50" t="n">
        <f aca="false">'Z5 Ikana-Nkangamo'!S12-'Z5 Ikana-Nkangamo'!P12*C547/'Z5 Ikana-Nkangamo'!G12</f>
        <v>1654.8058483797</v>
      </c>
      <c r="G547" s="51" t="n">
        <f aca="false">'Z5 Ikana-Nkangamo'!$B$8-E547</f>
        <v>178.34</v>
      </c>
      <c r="H547" s="52" t="n">
        <f aca="false">F547-E547</f>
        <v>165.145848379703</v>
      </c>
      <c r="I547" s="52" t="n">
        <f aca="false">MAX(H547,G547)</f>
        <v>178.34</v>
      </c>
      <c r="J547" s="4" t="str">
        <f aca="false">IFERROR("PN"&amp;SMALL(PN_list,COUNTIF(PN_list,"&lt;"&amp;I547*bar_per_m)+1),"&gt; max PN")</f>
        <v>PN25</v>
      </c>
      <c r="K547" s="4" t="str">
        <f aca="false">IF(L547="no","end at tank",IF(H547&lt;0,"NEGATIVE",IF(H547&lt;p_min-0.005,"low","OK")))</f>
        <v>OK</v>
      </c>
      <c r="L547" s="4" t="s">
        <v>414</v>
      </c>
    </row>
    <row r="548" customFormat="false" ht="15" hidden="false" customHeight="false" outlineLevel="0" collapsed="false">
      <c r="A548" s="4" t="s">
        <v>42</v>
      </c>
      <c r="B548" s="4" t="s">
        <v>368</v>
      </c>
      <c r="C548" s="47" t="n">
        <v>6456.66</v>
      </c>
      <c r="D548" s="48" t="n">
        <v>1492.22</v>
      </c>
      <c r="E548" s="49" t="n">
        <f aca="false">D548-cover</f>
        <v>1491.02</v>
      </c>
      <c r="F548" s="50" t="n">
        <f aca="false">'Z5 Ikana-Nkangamo'!S12-'Z5 Ikana-Nkangamo'!P12*C548/'Z5 Ikana-Nkangamo'!G12</f>
        <v>1654.73953008118</v>
      </c>
      <c r="G548" s="51" t="n">
        <f aca="false">'Z5 Ikana-Nkangamo'!$B$8-E548</f>
        <v>176.98</v>
      </c>
      <c r="H548" s="52" t="n">
        <f aca="false">F548-E548</f>
        <v>163.71953008118</v>
      </c>
      <c r="I548" s="52" t="n">
        <f aca="false">MAX(H548,G548)</f>
        <v>176.98</v>
      </c>
      <c r="J548" s="4" t="str">
        <f aca="false">IFERROR("PN"&amp;SMALL(PN_list,COUNTIF(PN_list,"&lt;"&amp;I548*bar_per_m)+1),"&gt; max PN")</f>
        <v>PN25</v>
      </c>
      <c r="K548" s="4" t="str">
        <f aca="false">IF(L548="no","end at tank",IF(H548&lt;0,"NEGATIVE",IF(H548&lt;p_min-0.005,"low","OK")))</f>
        <v>OK</v>
      </c>
      <c r="L548" s="4" t="s">
        <v>414</v>
      </c>
    </row>
    <row r="549" customFormat="false" ht="15" hidden="false" customHeight="false" outlineLevel="0" collapsed="false">
      <c r="A549" s="4" t="s">
        <v>42</v>
      </c>
      <c r="B549" s="4" t="s">
        <v>368</v>
      </c>
      <c r="C549" s="47" t="n">
        <v>6506.72</v>
      </c>
      <c r="D549" s="48" t="n">
        <v>1494.65</v>
      </c>
      <c r="E549" s="49" t="n">
        <f aca="false">D549-cover</f>
        <v>1493.45</v>
      </c>
      <c r="F549" s="50" t="n">
        <f aca="false">'Z5 Ikana-Nkangamo'!S12-'Z5 Ikana-Nkangamo'!P12*C549/'Z5 Ikana-Nkangamo'!G12</f>
        <v>1654.67315874923</v>
      </c>
      <c r="G549" s="51" t="n">
        <f aca="false">'Z5 Ikana-Nkangamo'!$B$8-E549</f>
        <v>174.55</v>
      </c>
      <c r="H549" s="52" t="n">
        <f aca="false">F549-E549</f>
        <v>161.223158749232</v>
      </c>
      <c r="I549" s="52" t="n">
        <f aca="false">MAX(H549,G549)</f>
        <v>174.55</v>
      </c>
      <c r="J549" s="4" t="str">
        <f aca="false">IFERROR("PN"&amp;SMALL(PN_list,COUNTIF(PN_list,"&lt;"&amp;I549*bar_per_m)+1),"&gt; max PN")</f>
        <v>PN25</v>
      </c>
      <c r="K549" s="4" t="str">
        <f aca="false">IF(L549="no","end at tank",IF(H549&lt;0,"NEGATIVE",IF(H549&lt;p_min-0.005,"low","OK")))</f>
        <v>OK</v>
      </c>
      <c r="L549" s="4" t="s">
        <v>414</v>
      </c>
    </row>
    <row r="550" customFormat="false" ht="15" hidden="false" customHeight="false" outlineLevel="0" collapsed="false">
      <c r="A550" s="4" t="s">
        <v>42</v>
      </c>
      <c r="B550" s="4" t="s">
        <v>368</v>
      </c>
      <c r="C550" s="47" t="n">
        <v>6556.72</v>
      </c>
      <c r="D550" s="48" t="n">
        <v>1494.47</v>
      </c>
      <c r="E550" s="49" t="n">
        <f aca="false">D550-cover</f>
        <v>1493.27</v>
      </c>
      <c r="F550" s="50" t="n">
        <f aca="false">'Z5 Ikana-Nkangamo'!S12-'Z5 Ikana-Nkangamo'!P12*C550/'Z5 Ikana-Nkangamo'!G12</f>
        <v>1654.60686696742</v>
      </c>
      <c r="G550" s="51" t="n">
        <f aca="false">'Z5 Ikana-Nkangamo'!$B$8-E550</f>
        <v>174.73</v>
      </c>
      <c r="H550" s="52" t="n">
        <f aca="false">F550-E550</f>
        <v>161.336866967422</v>
      </c>
      <c r="I550" s="52" t="n">
        <f aca="false">MAX(H550,G550)</f>
        <v>174.73</v>
      </c>
      <c r="J550" s="4" t="str">
        <f aca="false">IFERROR("PN"&amp;SMALL(PN_list,COUNTIF(PN_list,"&lt;"&amp;I550*bar_per_m)+1),"&gt; max PN")</f>
        <v>PN25</v>
      </c>
      <c r="K550" s="4" t="str">
        <f aca="false">IF(L550="no","end at tank",IF(H550&lt;0,"NEGATIVE",IF(H550&lt;p_min-0.005,"low","OK")))</f>
        <v>OK</v>
      </c>
      <c r="L550" s="4" t="s">
        <v>414</v>
      </c>
    </row>
    <row r="551" customFormat="false" ht="15" hidden="false" customHeight="false" outlineLevel="0" collapsed="false">
      <c r="A551" s="4" t="s">
        <v>42</v>
      </c>
      <c r="B551" s="4" t="s">
        <v>368</v>
      </c>
      <c r="C551" s="47" t="n">
        <v>6606.76</v>
      </c>
      <c r="D551" s="48" t="n">
        <v>1496.36</v>
      </c>
      <c r="E551" s="49" t="n">
        <f aca="false">D551-cover</f>
        <v>1495.16</v>
      </c>
      <c r="F551" s="50" t="n">
        <f aca="false">'Z5 Ikana-Nkangamo'!S12-'Z5 Ikana-Nkangamo'!P12*C551/'Z5 Ikana-Nkangamo'!G12</f>
        <v>1654.54052215219</v>
      </c>
      <c r="G551" s="51" t="n">
        <f aca="false">'Z5 Ikana-Nkangamo'!$B$8-E551</f>
        <v>172.84</v>
      </c>
      <c r="H551" s="52" t="n">
        <f aca="false">F551-E551</f>
        <v>159.380522152187</v>
      </c>
      <c r="I551" s="52" t="n">
        <f aca="false">MAX(H551,G551)</f>
        <v>172.84</v>
      </c>
      <c r="J551" s="4" t="str">
        <f aca="false">IFERROR("PN"&amp;SMALL(PN_list,COUNTIF(PN_list,"&lt;"&amp;I551*bar_per_m)+1),"&gt; max PN")</f>
        <v>PN25</v>
      </c>
      <c r="K551" s="4" t="str">
        <f aca="false">IF(L551="no","end at tank",IF(H551&lt;0,"NEGATIVE",IF(H551&lt;p_min-0.005,"low","OK")))</f>
        <v>OK</v>
      </c>
      <c r="L551" s="4" t="s">
        <v>414</v>
      </c>
    </row>
    <row r="552" customFormat="false" ht="15" hidden="false" customHeight="false" outlineLevel="0" collapsed="false">
      <c r="A552" s="4" t="s">
        <v>42</v>
      </c>
      <c r="B552" s="4" t="s">
        <v>368</v>
      </c>
      <c r="C552" s="47" t="n">
        <v>6656.78</v>
      </c>
      <c r="D552" s="48" t="n">
        <v>1497.9</v>
      </c>
      <c r="E552" s="49" t="n">
        <f aca="false">D552-cover</f>
        <v>1496.7</v>
      </c>
      <c r="F552" s="50" t="n">
        <f aca="false">'Z5 Ikana-Nkangamo'!S12-'Z5 Ikana-Nkangamo'!P12*C552/'Z5 Ikana-Nkangamo'!G12</f>
        <v>1654.47420385366</v>
      </c>
      <c r="G552" s="51" t="n">
        <f aca="false">'Z5 Ikana-Nkangamo'!$B$8-E552</f>
        <v>171.3</v>
      </c>
      <c r="H552" s="52" t="n">
        <f aca="false">F552-E552</f>
        <v>157.774203853664</v>
      </c>
      <c r="I552" s="52" t="n">
        <f aca="false">MAX(H552,G552)</f>
        <v>171.3</v>
      </c>
      <c r="J552" s="4" t="str">
        <f aca="false">IFERROR("PN"&amp;SMALL(PN_list,COUNTIF(PN_list,"&lt;"&amp;I552*bar_per_m)+1),"&gt; max PN")</f>
        <v>PN25</v>
      </c>
      <c r="K552" s="4" t="str">
        <f aca="false">IF(L552="no","end at tank",IF(H552&lt;0,"NEGATIVE",IF(H552&lt;p_min-0.005,"low","OK")))</f>
        <v>OK</v>
      </c>
      <c r="L552" s="4" t="s">
        <v>414</v>
      </c>
    </row>
    <row r="553" customFormat="false" ht="15" hidden="false" customHeight="false" outlineLevel="0" collapsed="false">
      <c r="A553" s="4" t="s">
        <v>42</v>
      </c>
      <c r="B553" s="4" t="s">
        <v>368</v>
      </c>
      <c r="C553" s="47" t="n">
        <v>6706.97</v>
      </c>
      <c r="D553" s="48" t="n">
        <v>1498.72</v>
      </c>
      <c r="E553" s="49" t="n">
        <f aca="false">D553-cover</f>
        <v>1497.52</v>
      </c>
      <c r="F553" s="50" t="n">
        <f aca="false">'Z5 Ikana-Nkangamo'!S12-'Z5 Ikana-Nkangamo'!P12*C553/'Z5 Ikana-Nkangamo'!G12</f>
        <v>1654.40766016308</v>
      </c>
      <c r="G553" s="51" t="n">
        <f aca="false">'Z5 Ikana-Nkangamo'!$B$8-E553</f>
        <v>170.48</v>
      </c>
      <c r="H553" s="52" t="n">
        <f aca="false">F553-E553</f>
        <v>156.887660163083</v>
      </c>
      <c r="I553" s="52" t="n">
        <f aca="false">MAX(H553,G553)</f>
        <v>170.48</v>
      </c>
      <c r="J553" s="4" t="str">
        <f aca="false">IFERROR("PN"&amp;SMALL(PN_list,COUNTIF(PN_list,"&lt;"&amp;I553*bar_per_m)+1),"&gt; max PN")</f>
        <v>PN25</v>
      </c>
      <c r="K553" s="4" t="str">
        <f aca="false">IF(L553="no","end at tank",IF(H553&lt;0,"NEGATIVE",IF(H553&lt;p_min-0.005,"low","OK")))</f>
        <v>OK</v>
      </c>
      <c r="L553" s="4" t="s">
        <v>414</v>
      </c>
    </row>
    <row r="554" customFormat="false" ht="15" hidden="false" customHeight="false" outlineLevel="0" collapsed="false">
      <c r="A554" s="4" t="s">
        <v>42</v>
      </c>
      <c r="B554" s="4" t="s">
        <v>368</v>
      </c>
      <c r="C554" s="47" t="n">
        <v>6757.06</v>
      </c>
      <c r="D554" s="48" t="n">
        <v>1501.7</v>
      </c>
      <c r="E554" s="49" t="n">
        <f aca="false">D554-cover</f>
        <v>1500.5</v>
      </c>
      <c r="F554" s="50" t="n">
        <f aca="false">'Z5 Ikana-Nkangamo'!S12-'Z5 Ikana-Nkangamo'!P12*C554/'Z5 Ikana-Nkangamo'!G12</f>
        <v>1654.34124905607</v>
      </c>
      <c r="G554" s="51" t="n">
        <f aca="false">'Z5 Ikana-Nkangamo'!$B$8-E554</f>
        <v>167.5</v>
      </c>
      <c r="H554" s="52" t="n">
        <f aca="false">F554-E554</f>
        <v>153.841249056066</v>
      </c>
      <c r="I554" s="52" t="n">
        <f aca="false">MAX(H554,G554)</f>
        <v>167.5</v>
      </c>
      <c r="J554" s="4" t="str">
        <f aca="false">IFERROR("PN"&amp;SMALL(PN_list,COUNTIF(PN_list,"&lt;"&amp;I554*bar_per_m)+1),"&gt; max PN")</f>
        <v>PN25</v>
      </c>
      <c r="K554" s="4" t="str">
        <f aca="false">IF(L554="no","end at tank",IF(H554&lt;0,"NEGATIVE",IF(H554&lt;p_min-0.005,"low","OK")))</f>
        <v>OK</v>
      </c>
      <c r="L554" s="4" t="s">
        <v>414</v>
      </c>
    </row>
    <row r="555" customFormat="false" ht="15" hidden="false" customHeight="false" outlineLevel="0" collapsed="false">
      <c r="A555" s="4" t="s">
        <v>42</v>
      </c>
      <c r="B555" s="4" t="s">
        <v>368</v>
      </c>
      <c r="C555" s="47" t="n">
        <v>6807.09</v>
      </c>
      <c r="D555" s="48" t="n">
        <v>1499.98</v>
      </c>
      <c r="E555" s="49" t="n">
        <f aca="false">D555-cover</f>
        <v>1498.78</v>
      </c>
      <c r="F555" s="50" t="n">
        <f aca="false">'Z5 Ikana-Nkangamo'!S12-'Z5 Ikana-Nkangamo'!P12*C555/'Z5 Ikana-Nkangamo'!G12</f>
        <v>1654.27491749919</v>
      </c>
      <c r="G555" s="51" t="n">
        <f aca="false">'Z5 Ikana-Nkangamo'!$B$8-E555</f>
        <v>169.22</v>
      </c>
      <c r="H555" s="52" t="n">
        <f aca="false">F555-E555</f>
        <v>155.494917499187</v>
      </c>
      <c r="I555" s="52" t="n">
        <f aca="false">MAX(H555,G555)</f>
        <v>169.22</v>
      </c>
      <c r="J555" s="4" t="str">
        <f aca="false">IFERROR("PN"&amp;SMALL(PN_list,COUNTIF(PN_list,"&lt;"&amp;I555*bar_per_m)+1),"&gt; max PN")</f>
        <v>PN25</v>
      </c>
      <c r="K555" s="4" t="str">
        <f aca="false">IF(L555="no","end at tank",IF(H555&lt;0,"NEGATIVE",IF(H555&lt;p_min-0.005,"low","OK")))</f>
        <v>OK</v>
      </c>
      <c r="L555" s="4" t="s">
        <v>414</v>
      </c>
    </row>
    <row r="556" customFormat="false" ht="15" hidden="false" customHeight="false" outlineLevel="0" collapsed="false">
      <c r="A556" s="4" t="s">
        <v>42</v>
      </c>
      <c r="B556" s="4" t="s">
        <v>368</v>
      </c>
      <c r="C556" s="47" t="n">
        <v>6857.1</v>
      </c>
      <c r="D556" s="48" t="n">
        <v>1501.05</v>
      </c>
      <c r="E556" s="49" t="n">
        <f aca="false">D556-cover</f>
        <v>1499.85</v>
      </c>
      <c r="F556" s="50" t="n">
        <f aca="false">'Z5 Ikana-Nkangamo'!S12-'Z5 Ikana-Nkangamo'!P12*C556/'Z5 Ikana-Nkangamo'!G12</f>
        <v>1654.20861245902</v>
      </c>
      <c r="G556" s="51" t="n">
        <f aca="false">'Z5 Ikana-Nkangamo'!$B$8-E556</f>
        <v>168.15</v>
      </c>
      <c r="H556" s="52" t="n">
        <f aca="false">F556-E556</f>
        <v>154.358612459021</v>
      </c>
      <c r="I556" s="52" t="n">
        <f aca="false">MAX(H556,G556)</f>
        <v>168.15</v>
      </c>
      <c r="J556" s="4" t="str">
        <f aca="false">IFERROR("PN"&amp;SMALL(PN_list,COUNTIF(PN_list,"&lt;"&amp;I556*bar_per_m)+1),"&gt; max PN")</f>
        <v>PN25</v>
      </c>
      <c r="K556" s="4" t="str">
        <f aca="false">IF(L556="no","end at tank",IF(H556&lt;0,"NEGATIVE",IF(H556&lt;p_min-0.005,"low","OK")))</f>
        <v>OK</v>
      </c>
      <c r="L556" s="4" t="s">
        <v>414</v>
      </c>
    </row>
    <row r="557" customFormat="false" ht="15" hidden="false" customHeight="false" outlineLevel="0" collapsed="false">
      <c r="A557" s="4" t="s">
        <v>42</v>
      </c>
      <c r="B557" s="4" t="s">
        <v>368</v>
      </c>
      <c r="C557" s="47" t="n">
        <v>6907.1</v>
      </c>
      <c r="D557" s="48" t="n">
        <v>1501.49</v>
      </c>
      <c r="E557" s="49" t="n">
        <f aca="false">D557-cover</f>
        <v>1500.29</v>
      </c>
      <c r="F557" s="50" t="n">
        <f aca="false">'Z5 Ikana-Nkangamo'!S12-'Z5 Ikana-Nkangamo'!P12*C557/'Z5 Ikana-Nkangamo'!G12</f>
        <v>1654.14232067721</v>
      </c>
      <c r="G557" s="51" t="n">
        <f aca="false">'Z5 Ikana-Nkangamo'!$B$8-E557</f>
        <v>167.71</v>
      </c>
      <c r="H557" s="52" t="n">
        <f aca="false">F557-E557</f>
        <v>153.852320677211</v>
      </c>
      <c r="I557" s="52" t="n">
        <f aca="false">MAX(H557,G557)</f>
        <v>167.71</v>
      </c>
      <c r="J557" s="4" t="str">
        <f aca="false">IFERROR("PN"&amp;SMALL(PN_list,COUNTIF(PN_list,"&lt;"&amp;I557*bar_per_m)+1),"&gt; max PN")</f>
        <v>PN25</v>
      </c>
      <c r="K557" s="4" t="str">
        <f aca="false">IF(L557="no","end at tank",IF(H557&lt;0,"NEGATIVE",IF(H557&lt;p_min-0.005,"low","OK")))</f>
        <v>OK</v>
      </c>
      <c r="L557" s="4" t="s">
        <v>414</v>
      </c>
    </row>
    <row r="558" customFormat="false" ht="15" hidden="false" customHeight="false" outlineLevel="0" collapsed="false">
      <c r="A558" s="4" t="s">
        <v>42</v>
      </c>
      <c r="B558" s="4" t="s">
        <v>368</v>
      </c>
      <c r="C558" s="47" t="n">
        <v>6957.11</v>
      </c>
      <c r="D558" s="48" t="n">
        <v>1502.22</v>
      </c>
      <c r="E558" s="49" t="n">
        <f aca="false">D558-cover</f>
        <v>1501.02</v>
      </c>
      <c r="F558" s="50" t="n">
        <f aca="false">'Z5 Ikana-Nkangamo'!S12-'Z5 Ikana-Nkangamo'!P12*C558/'Z5 Ikana-Nkangamo'!G12</f>
        <v>1654.07601563704</v>
      </c>
      <c r="G558" s="51" t="n">
        <f aca="false">'Z5 Ikana-Nkangamo'!$B$8-E558</f>
        <v>166.98</v>
      </c>
      <c r="H558" s="52" t="n">
        <f aca="false">F558-E558</f>
        <v>153.056015637045</v>
      </c>
      <c r="I558" s="52" t="n">
        <f aca="false">MAX(H558,G558)</f>
        <v>166.98</v>
      </c>
      <c r="J558" s="4" t="str">
        <f aca="false">IFERROR("PN"&amp;SMALL(PN_list,COUNTIF(PN_list,"&lt;"&amp;I558*bar_per_m)+1),"&gt; max PN")</f>
        <v>PN25</v>
      </c>
      <c r="K558" s="4" t="str">
        <f aca="false">IF(L558="no","end at tank",IF(H558&lt;0,"NEGATIVE",IF(H558&lt;p_min-0.005,"low","OK")))</f>
        <v>OK</v>
      </c>
      <c r="L558" s="4" t="s">
        <v>414</v>
      </c>
    </row>
    <row r="559" customFormat="false" ht="15" hidden="false" customHeight="false" outlineLevel="0" collapsed="false">
      <c r="A559" s="4" t="s">
        <v>42</v>
      </c>
      <c r="B559" s="4" t="s">
        <v>368</v>
      </c>
      <c r="C559" s="47" t="n">
        <v>7007.12</v>
      </c>
      <c r="D559" s="48" t="n">
        <v>1503.31</v>
      </c>
      <c r="E559" s="49" t="n">
        <f aca="false">D559-cover</f>
        <v>1502.11</v>
      </c>
      <c r="F559" s="50" t="n">
        <f aca="false">'Z5 Ikana-Nkangamo'!S12-'Z5 Ikana-Nkangamo'!P12*C559/'Z5 Ikana-Nkangamo'!G12</f>
        <v>1654.00971059688</v>
      </c>
      <c r="G559" s="51" t="n">
        <f aca="false">'Z5 Ikana-Nkangamo'!$B$8-E559</f>
        <v>165.89</v>
      </c>
      <c r="H559" s="52" t="n">
        <f aca="false">F559-E559</f>
        <v>151.899710596878</v>
      </c>
      <c r="I559" s="52" t="n">
        <f aca="false">MAX(H559,G559)</f>
        <v>165.89</v>
      </c>
      <c r="J559" s="4" t="str">
        <f aca="false">IFERROR("PN"&amp;SMALL(PN_list,COUNTIF(PN_list,"&lt;"&amp;I559*bar_per_m)+1),"&gt; max PN")</f>
        <v>PN25</v>
      </c>
      <c r="K559" s="4" t="str">
        <f aca="false">IF(L559="no","end at tank",IF(H559&lt;0,"NEGATIVE",IF(H559&lt;p_min-0.005,"low","OK")))</f>
        <v>OK</v>
      </c>
      <c r="L559" s="4" t="s">
        <v>414</v>
      </c>
    </row>
    <row r="560" customFormat="false" ht="15" hidden="false" customHeight="false" outlineLevel="0" collapsed="false">
      <c r="A560" s="4" t="s">
        <v>42</v>
      </c>
      <c r="B560" s="4" t="s">
        <v>368</v>
      </c>
      <c r="C560" s="47" t="n">
        <v>7057.12</v>
      </c>
      <c r="D560" s="48" t="n">
        <v>1503.27</v>
      </c>
      <c r="E560" s="49" t="n">
        <f aca="false">D560-cover</f>
        <v>1502.07</v>
      </c>
      <c r="F560" s="50" t="n">
        <f aca="false">'Z5 Ikana-Nkangamo'!S12-'Z5 Ikana-Nkangamo'!P12*C560/'Z5 Ikana-Nkangamo'!G12</f>
        <v>1653.94341881507</v>
      </c>
      <c r="G560" s="51" t="n">
        <f aca="false">'Z5 Ikana-Nkangamo'!$B$8-E560</f>
        <v>165.93</v>
      </c>
      <c r="H560" s="52" t="n">
        <f aca="false">F560-E560</f>
        <v>151.873418815068</v>
      </c>
      <c r="I560" s="52" t="n">
        <f aca="false">MAX(H560,G560)</f>
        <v>165.93</v>
      </c>
      <c r="J560" s="4" t="str">
        <f aca="false">IFERROR("PN"&amp;SMALL(PN_list,COUNTIF(PN_list,"&lt;"&amp;I560*bar_per_m)+1),"&gt; max PN")</f>
        <v>PN25</v>
      </c>
      <c r="K560" s="4" t="str">
        <f aca="false">IF(L560="no","end at tank",IF(H560&lt;0,"NEGATIVE",IF(H560&lt;p_min-0.005,"low","OK")))</f>
        <v>OK</v>
      </c>
      <c r="L560" s="4" t="s">
        <v>414</v>
      </c>
    </row>
    <row r="561" customFormat="false" ht="15" hidden="false" customHeight="false" outlineLevel="0" collapsed="false">
      <c r="A561" s="4" t="s">
        <v>42</v>
      </c>
      <c r="B561" s="4" t="s">
        <v>368</v>
      </c>
      <c r="C561" s="47" t="n">
        <v>7107.13</v>
      </c>
      <c r="D561" s="48" t="n">
        <v>1504.21</v>
      </c>
      <c r="E561" s="49" t="n">
        <f aca="false">D561-cover</f>
        <v>1503.01</v>
      </c>
      <c r="F561" s="50" t="n">
        <f aca="false">'Z5 Ikana-Nkangamo'!S12-'Z5 Ikana-Nkangamo'!P12*C561/'Z5 Ikana-Nkangamo'!G12</f>
        <v>1653.8771137749</v>
      </c>
      <c r="G561" s="51" t="n">
        <f aca="false">'Z5 Ikana-Nkangamo'!$B$8-E561</f>
        <v>164.99</v>
      </c>
      <c r="H561" s="52" t="n">
        <f aca="false">F561-E561</f>
        <v>150.867113774902</v>
      </c>
      <c r="I561" s="52" t="n">
        <f aca="false">MAX(H561,G561)</f>
        <v>164.99</v>
      </c>
      <c r="J561" s="4" t="str">
        <f aca="false">IFERROR("PN"&amp;SMALL(PN_list,COUNTIF(PN_list,"&lt;"&amp;I561*bar_per_m)+1),"&gt; max PN")</f>
        <v>PN25</v>
      </c>
      <c r="K561" s="4" t="str">
        <f aca="false">IF(L561="no","end at tank",IF(H561&lt;0,"NEGATIVE",IF(H561&lt;p_min-0.005,"low","OK")))</f>
        <v>OK</v>
      </c>
      <c r="L561" s="4" t="s">
        <v>414</v>
      </c>
    </row>
    <row r="562" customFormat="false" ht="15" hidden="false" customHeight="false" outlineLevel="0" collapsed="false">
      <c r="A562" s="4" t="s">
        <v>42</v>
      </c>
      <c r="B562" s="4" t="s">
        <v>368</v>
      </c>
      <c r="C562" s="47" t="n">
        <v>7157.15</v>
      </c>
      <c r="D562" s="48" t="n">
        <v>1505.7</v>
      </c>
      <c r="E562" s="49" t="n">
        <f aca="false">D562-cover</f>
        <v>1504.5</v>
      </c>
      <c r="F562" s="50" t="n">
        <f aca="false">'Z5 Ikana-Nkangamo'!S12-'Z5 Ikana-Nkangamo'!P12*C562/'Z5 Ikana-Nkangamo'!G12</f>
        <v>1653.81079547638</v>
      </c>
      <c r="G562" s="51" t="n">
        <f aca="false">'Z5 Ikana-Nkangamo'!$B$8-E562</f>
        <v>163.5</v>
      </c>
      <c r="H562" s="52" t="n">
        <f aca="false">F562-E562</f>
        <v>149.310795476379</v>
      </c>
      <c r="I562" s="52" t="n">
        <f aca="false">MAX(H562,G562)</f>
        <v>163.5</v>
      </c>
      <c r="J562" s="4" t="str">
        <f aca="false">IFERROR("PN"&amp;SMALL(PN_list,COUNTIF(PN_list,"&lt;"&amp;I562*bar_per_m)+1),"&gt; max PN")</f>
        <v>PN25</v>
      </c>
      <c r="K562" s="4" t="str">
        <f aca="false">IF(L562="no","end at tank",IF(H562&lt;0,"NEGATIVE",IF(H562&lt;p_min-0.005,"low","OK")))</f>
        <v>OK</v>
      </c>
      <c r="L562" s="4" t="s">
        <v>414</v>
      </c>
    </row>
    <row r="563" customFormat="false" ht="15" hidden="false" customHeight="false" outlineLevel="0" collapsed="false">
      <c r="A563" s="4" t="s">
        <v>42</v>
      </c>
      <c r="B563" s="4" t="s">
        <v>368</v>
      </c>
      <c r="C563" s="47" t="n">
        <v>7207.15</v>
      </c>
      <c r="D563" s="48" t="n">
        <v>1506</v>
      </c>
      <c r="E563" s="49" t="n">
        <f aca="false">D563-cover</f>
        <v>1504.8</v>
      </c>
      <c r="F563" s="50" t="n">
        <f aca="false">'Z5 Ikana-Nkangamo'!S12-'Z5 Ikana-Nkangamo'!P12*C563/'Z5 Ikana-Nkangamo'!G12</f>
        <v>1653.74450369457</v>
      </c>
      <c r="G563" s="51" t="n">
        <f aca="false">'Z5 Ikana-Nkangamo'!$B$8-E563</f>
        <v>163.2</v>
      </c>
      <c r="H563" s="52" t="n">
        <f aca="false">F563-E563</f>
        <v>148.944503694569</v>
      </c>
      <c r="I563" s="52" t="n">
        <f aca="false">MAX(H563,G563)</f>
        <v>163.2</v>
      </c>
      <c r="J563" s="4" t="str">
        <f aca="false">IFERROR("PN"&amp;SMALL(PN_list,COUNTIF(PN_list,"&lt;"&amp;I563*bar_per_m)+1),"&gt; max PN")</f>
        <v>PN25</v>
      </c>
      <c r="K563" s="4" t="str">
        <f aca="false">IF(L563="no","end at tank",IF(H563&lt;0,"NEGATIVE",IF(H563&lt;p_min-0.005,"low","OK")))</f>
        <v>OK</v>
      </c>
      <c r="L563" s="4" t="s">
        <v>414</v>
      </c>
    </row>
    <row r="564" customFormat="false" ht="15" hidden="false" customHeight="false" outlineLevel="0" collapsed="false">
      <c r="A564" s="4" t="s">
        <v>42</v>
      </c>
      <c r="B564" s="4" t="s">
        <v>368</v>
      </c>
      <c r="C564" s="47" t="n">
        <v>7257.16</v>
      </c>
      <c r="D564" s="48" t="n">
        <v>1507.06</v>
      </c>
      <c r="E564" s="49" t="n">
        <f aca="false">D564-cover</f>
        <v>1505.86</v>
      </c>
      <c r="F564" s="50" t="n">
        <f aca="false">'Z5 Ikana-Nkangamo'!S12-'Z5 Ikana-Nkangamo'!P12*C564/'Z5 Ikana-Nkangamo'!G12</f>
        <v>1653.6781986544</v>
      </c>
      <c r="G564" s="51" t="n">
        <f aca="false">'Z5 Ikana-Nkangamo'!$B$8-E564</f>
        <v>162.14</v>
      </c>
      <c r="H564" s="52" t="n">
        <f aca="false">F564-E564</f>
        <v>147.818198654403</v>
      </c>
      <c r="I564" s="52" t="n">
        <f aca="false">MAX(H564,G564)</f>
        <v>162.14</v>
      </c>
      <c r="J564" s="4" t="str">
        <f aca="false">IFERROR("PN"&amp;SMALL(PN_list,COUNTIF(PN_list,"&lt;"&amp;I564*bar_per_m)+1),"&gt; max PN")</f>
        <v>PN16</v>
      </c>
      <c r="K564" s="4" t="str">
        <f aca="false">IF(L564="no","end at tank",IF(H564&lt;0,"NEGATIVE",IF(H564&lt;p_min-0.005,"low","OK")))</f>
        <v>OK</v>
      </c>
      <c r="L564" s="4" t="s">
        <v>414</v>
      </c>
    </row>
    <row r="565" customFormat="false" ht="15" hidden="false" customHeight="false" outlineLevel="0" collapsed="false">
      <c r="A565" s="4" t="s">
        <v>42</v>
      </c>
      <c r="B565" s="4" t="s">
        <v>368</v>
      </c>
      <c r="C565" s="47" t="n">
        <v>7307.16</v>
      </c>
      <c r="D565" s="48" t="n">
        <v>1506.71</v>
      </c>
      <c r="E565" s="49" t="n">
        <f aca="false">D565-cover</f>
        <v>1505.51</v>
      </c>
      <c r="F565" s="50" t="n">
        <f aca="false">'Z5 Ikana-Nkangamo'!S12-'Z5 Ikana-Nkangamo'!P12*C565/'Z5 Ikana-Nkangamo'!G12</f>
        <v>1653.61190687259</v>
      </c>
      <c r="G565" s="51" t="n">
        <f aca="false">'Z5 Ikana-Nkangamo'!$B$8-E565</f>
        <v>162.49</v>
      </c>
      <c r="H565" s="52" t="n">
        <f aca="false">F565-E565</f>
        <v>148.101906872593</v>
      </c>
      <c r="I565" s="52" t="n">
        <f aca="false">MAX(H565,G565)</f>
        <v>162.49</v>
      </c>
      <c r="J565" s="4" t="str">
        <f aca="false">IFERROR("PN"&amp;SMALL(PN_list,COUNTIF(PN_list,"&lt;"&amp;I565*bar_per_m)+1),"&gt; max PN")</f>
        <v>PN16</v>
      </c>
      <c r="K565" s="4" t="str">
        <f aca="false">IF(L565="no","end at tank",IF(H565&lt;0,"NEGATIVE",IF(H565&lt;p_min-0.005,"low","OK")))</f>
        <v>OK</v>
      </c>
      <c r="L565" s="4" t="s">
        <v>414</v>
      </c>
    </row>
    <row r="566" customFormat="false" ht="15" hidden="false" customHeight="false" outlineLevel="0" collapsed="false">
      <c r="A566" s="4" t="s">
        <v>42</v>
      </c>
      <c r="B566" s="4" t="s">
        <v>368</v>
      </c>
      <c r="C566" s="47" t="n">
        <v>7357.17</v>
      </c>
      <c r="D566" s="48" t="n">
        <v>1507.4</v>
      </c>
      <c r="E566" s="49" t="n">
        <f aca="false">D566-cover</f>
        <v>1506.2</v>
      </c>
      <c r="F566" s="50" t="n">
        <f aca="false">'Z5 Ikana-Nkangamo'!S12-'Z5 Ikana-Nkangamo'!P12*C566/'Z5 Ikana-Nkangamo'!G12</f>
        <v>1653.54560183243</v>
      </c>
      <c r="G566" s="51" t="n">
        <f aca="false">'Z5 Ikana-Nkangamo'!$B$8-E566</f>
        <v>161.8</v>
      </c>
      <c r="H566" s="52" t="n">
        <f aca="false">F566-E566</f>
        <v>147.345601832427</v>
      </c>
      <c r="I566" s="52" t="n">
        <f aca="false">MAX(H566,G566)</f>
        <v>161.8</v>
      </c>
      <c r="J566" s="4" t="str">
        <f aca="false">IFERROR("PN"&amp;SMALL(PN_list,COUNTIF(PN_list,"&lt;"&amp;I566*bar_per_m)+1),"&gt; max PN")</f>
        <v>PN16</v>
      </c>
      <c r="K566" s="4" t="str">
        <f aca="false">IF(L566="no","end at tank",IF(H566&lt;0,"NEGATIVE",IF(H566&lt;p_min-0.005,"low","OK")))</f>
        <v>OK</v>
      </c>
      <c r="L566" s="4" t="s">
        <v>414</v>
      </c>
    </row>
    <row r="567" customFormat="false" ht="15" hidden="false" customHeight="false" outlineLevel="0" collapsed="false">
      <c r="A567" s="4" t="s">
        <v>42</v>
      </c>
      <c r="B567" s="4" t="s">
        <v>368</v>
      </c>
      <c r="C567" s="47" t="n">
        <v>7407.17</v>
      </c>
      <c r="D567" s="48" t="n">
        <v>1507.29</v>
      </c>
      <c r="E567" s="49" t="n">
        <f aca="false">D567-cover</f>
        <v>1506.09</v>
      </c>
      <c r="F567" s="50" t="n">
        <f aca="false">'Z5 Ikana-Nkangamo'!S12-'Z5 Ikana-Nkangamo'!P12*C567/'Z5 Ikana-Nkangamo'!G12</f>
        <v>1653.47931005062</v>
      </c>
      <c r="G567" s="51" t="n">
        <f aca="false">'Z5 Ikana-Nkangamo'!$B$8-E567</f>
        <v>161.91</v>
      </c>
      <c r="H567" s="52" t="n">
        <f aca="false">F567-E567</f>
        <v>147.389310050617</v>
      </c>
      <c r="I567" s="52" t="n">
        <f aca="false">MAX(H567,G567)</f>
        <v>161.91</v>
      </c>
      <c r="J567" s="4" t="str">
        <f aca="false">IFERROR("PN"&amp;SMALL(PN_list,COUNTIF(PN_list,"&lt;"&amp;I567*bar_per_m)+1),"&gt; max PN")</f>
        <v>PN16</v>
      </c>
      <c r="K567" s="4" t="str">
        <f aca="false">IF(L567="no","end at tank",IF(H567&lt;0,"NEGATIVE",IF(H567&lt;p_min-0.005,"low","OK")))</f>
        <v>OK</v>
      </c>
      <c r="L567" s="4" t="s">
        <v>414</v>
      </c>
    </row>
    <row r="568" customFormat="false" ht="15" hidden="false" customHeight="false" outlineLevel="0" collapsed="false">
      <c r="A568" s="4" t="s">
        <v>42</v>
      </c>
      <c r="B568" s="4" t="s">
        <v>368</v>
      </c>
      <c r="C568" s="47" t="n">
        <v>7457.17</v>
      </c>
      <c r="D568" s="48" t="n">
        <v>1507.59</v>
      </c>
      <c r="E568" s="49" t="n">
        <f aca="false">D568-cover</f>
        <v>1506.39</v>
      </c>
      <c r="F568" s="50" t="n">
        <f aca="false">'Z5 Ikana-Nkangamo'!S12-'Z5 Ikana-Nkangamo'!P12*C568/'Z5 Ikana-Nkangamo'!G12</f>
        <v>1653.41301826881</v>
      </c>
      <c r="G568" s="51" t="n">
        <f aca="false">'Z5 Ikana-Nkangamo'!$B$8-E568</f>
        <v>161.61</v>
      </c>
      <c r="H568" s="52" t="n">
        <f aca="false">F568-E568</f>
        <v>147.023018268807</v>
      </c>
      <c r="I568" s="52" t="n">
        <f aca="false">MAX(H568,G568)</f>
        <v>161.61</v>
      </c>
      <c r="J568" s="4" t="str">
        <f aca="false">IFERROR("PN"&amp;SMALL(PN_list,COUNTIF(PN_list,"&lt;"&amp;I568*bar_per_m)+1),"&gt; max PN")</f>
        <v>PN16</v>
      </c>
      <c r="K568" s="4" t="str">
        <f aca="false">IF(L568="no","end at tank",IF(H568&lt;0,"NEGATIVE",IF(H568&lt;p_min-0.005,"low","OK")))</f>
        <v>OK</v>
      </c>
      <c r="L568" s="4" t="s">
        <v>414</v>
      </c>
    </row>
    <row r="569" customFormat="false" ht="15" hidden="false" customHeight="false" outlineLevel="0" collapsed="false">
      <c r="A569" s="4" t="s">
        <v>42</v>
      </c>
      <c r="B569" s="4" t="s">
        <v>368</v>
      </c>
      <c r="C569" s="47" t="n">
        <v>7507.17</v>
      </c>
      <c r="D569" s="48" t="n">
        <v>1508.12</v>
      </c>
      <c r="E569" s="49" t="n">
        <f aca="false">D569-cover</f>
        <v>1506.92</v>
      </c>
      <c r="F569" s="50" t="n">
        <f aca="false">'Z5 Ikana-Nkangamo'!S12-'Z5 Ikana-Nkangamo'!P12*C569/'Z5 Ikana-Nkangamo'!G12</f>
        <v>1653.346726487</v>
      </c>
      <c r="G569" s="51" t="n">
        <f aca="false">'Z5 Ikana-Nkangamo'!$B$8-E569</f>
        <v>161.08</v>
      </c>
      <c r="H569" s="52" t="n">
        <f aca="false">F569-E569</f>
        <v>146.426726486997</v>
      </c>
      <c r="I569" s="52" t="n">
        <f aca="false">MAX(H569,G569)</f>
        <v>161.08</v>
      </c>
      <c r="J569" s="4" t="str">
        <f aca="false">IFERROR("PN"&amp;SMALL(PN_list,COUNTIF(PN_list,"&lt;"&amp;I569*bar_per_m)+1),"&gt; max PN")</f>
        <v>PN16</v>
      </c>
      <c r="K569" s="4" t="str">
        <f aca="false">IF(L569="no","end at tank",IF(H569&lt;0,"NEGATIVE",IF(H569&lt;p_min-0.005,"low","OK")))</f>
        <v>OK</v>
      </c>
      <c r="L569" s="4" t="s">
        <v>414</v>
      </c>
    </row>
    <row r="570" customFormat="false" ht="15" hidden="false" customHeight="false" outlineLevel="0" collapsed="false">
      <c r="A570" s="4" t="s">
        <v>42</v>
      </c>
      <c r="B570" s="4" t="s">
        <v>368</v>
      </c>
      <c r="C570" s="47" t="n">
        <v>7557.17</v>
      </c>
      <c r="D570" s="48" t="n">
        <v>1508.77</v>
      </c>
      <c r="E570" s="49" t="n">
        <f aca="false">D570-cover</f>
        <v>1507.57</v>
      </c>
      <c r="F570" s="50" t="n">
        <f aca="false">'Z5 Ikana-Nkangamo'!S12-'Z5 Ikana-Nkangamo'!P12*C570/'Z5 Ikana-Nkangamo'!G12</f>
        <v>1653.28043470519</v>
      </c>
      <c r="G570" s="51" t="n">
        <f aca="false">'Z5 Ikana-Nkangamo'!$B$8-E570</f>
        <v>160.43</v>
      </c>
      <c r="H570" s="52" t="n">
        <f aca="false">F570-E570</f>
        <v>145.710434705187</v>
      </c>
      <c r="I570" s="52" t="n">
        <f aca="false">MAX(H570,G570)</f>
        <v>160.43</v>
      </c>
      <c r="J570" s="4" t="str">
        <f aca="false">IFERROR("PN"&amp;SMALL(PN_list,COUNTIF(PN_list,"&lt;"&amp;I570*bar_per_m)+1),"&gt; max PN")</f>
        <v>PN16</v>
      </c>
      <c r="K570" s="4" t="str">
        <f aca="false">IF(L570="no","end at tank",IF(H570&lt;0,"NEGATIVE",IF(H570&lt;p_min-0.005,"low","OK")))</f>
        <v>OK</v>
      </c>
      <c r="L570" s="4" t="s">
        <v>414</v>
      </c>
    </row>
    <row r="571" customFormat="false" ht="15" hidden="false" customHeight="false" outlineLevel="0" collapsed="false">
      <c r="A571" s="4" t="s">
        <v>42</v>
      </c>
      <c r="B571" s="4" t="s">
        <v>368</v>
      </c>
      <c r="C571" s="47" t="n">
        <v>7607.18</v>
      </c>
      <c r="D571" s="48" t="n">
        <v>1509.48</v>
      </c>
      <c r="E571" s="49" t="n">
        <f aca="false">D571-cover</f>
        <v>1508.28</v>
      </c>
      <c r="F571" s="50" t="n">
        <f aca="false">'Z5 Ikana-Nkangamo'!S12-'Z5 Ikana-Nkangamo'!P12*C571/'Z5 Ikana-Nkangamo'!G12</f>
        <v>1653.21412966502</v>
      </c>
      <c r="G571" s="51" t="n">
        <f aca="false">'Z5 Ikana-Nkangamo'!$B$8-E571</f>
        <v>159.72</v>
      </c>
      <c r="H571" s="52" t="n">
        <f aca="false">F571-E571</f>
        <v>144.934129665021</v>
      </c>
      <c r="I571" s="52" t="n">
        <f aca="false">MAX(H571,G571)</f>
        <v>159.72</v>
      </c>
      <c r="J571" s="4" t="str">
        <f aca="false">IFERROR("PN"&amp;SMALL(PN_list,COUNTIF(PN_list,"&lt;"&amp;I571*bar_per_m)+1),"&gt; max PN")</f>
        <v>PN16</v>
      </c>
      <c r="K571" s="4" t="str">
        <f aca="false">IF(L571="no","end at tank",IF(H571&lt;0,"NEGATIVE",IF(H571&lt;p_min-0.005,"low","OK")))</f>
        <v>OK</v>
      </c>
      <c r="L571" s="4" t="s">
        <v>414</v>
      </c>
    </row>
    <row r="572" customFormat="false" ht="15" hidden="false" customHeight="false" outlineLevel="0" collapsed="false">
      <c r="A572" s="4" t="s">
        <v>42</v>
      </c>
      <c r="B572" s="4" t="s">
        <v>368</v>
      </c>
      <c r="C572" s="47" t="n">
        <v>7657.18</v>
      </c>
      <c r="D572" s="48" t="n">
        <v>1509.61</v>
      </c>
      <c r="E572" s="49" t="n">
        <f aca="false">D572-cover</f>
        <v>1508.41</v>
      </c>
      <c r="F572" s="50" t="n">
        <f aca="false">'Z5 Ikana-Nkangamo'!S12-'Z5 Ikana-Nkangamo'!P12*C572/'Z5 Ikana-Nkangamo'!G12</f>
        <v>1653.14783788321</v>
      </c>
      <c r="G572" s="51" t="n">
        <f aca="false">'Z5 Ikana-Nkangamo'!$B$8-E572</f>
        <v>159.59</v>
      </c>
      <c r="H572" s="52" t="n">
        <f aca="false">F572-E572</f>
        <v>144.737837883211</v>
      </c>
      <c r="I572" s="52" t="n">
        <f aca="false">MAX(H572,G572)</f>
        <v>159.59</v>
      </c>
      <c r="J572" s="4" t="str">
        <f aca="false">IFERROR("PN"&amp;SMALL(PN_list,COUNTIF(PN_list,"&lt;"&amp;I572*bar_per_m)+1),"&gt; max PN")</f>
        <v>PN16</v>
      </c>
      <c r="K572" s="4" t="str">
        <f aca="false">IF(L572="no","end at tank",IF(H572&lt;0,"NEGATIVE",IF(H572&lt;p_min-0.005,"low","OK")))</f>
        <v>OK</v>
      </c>
      <c r="L572" s="4" t="s">
        <v>414</v>
      </c>
    </row>
    <row r="573" customFormat="false" ht="15" hidden="false" customHeight="false" outlineLevel="0" collapsed="false">
      <c r="A573" s="4" t="s">
        <v>42</v>
      </c>
      <c r="B573" s="4" t="s">
        <v>368</v>
      </c>
      <c r="C573" s="47" t="n">
        <v>7707.23</v>
      </c>
      <c r="D573" s="48" t="n">
        <v>1511.87</v>
      </c>
      <c r="E573" s="49" t="n">
        <f aca="false">D573-cover</f>
        <v>1510.67</v>
      </c>
      <c r="F573" s="50" t="n">
        <f aca="false">'Z5 Ikana-Nkangamo'!S12-'Z5 Ikana-Nkangamo'!P12*C573/'Z5 Ikana-Nkangamo'!G12</f>
        <v>1653.08147980962</v>
      </c>
      <c r="G573" s="51" t="n">
        <f aca="false">'Z5 Ikana-Nkangamo'!$B$8-E573</f>
        <v>157.33</v>
      </c>
      <c r="H573" s="52" t="n">
        <f aca="false">F573-E573</f>
        <v>142.411479809619</v>
      </c>
      <c r="I573" s="52" t="n">
        <f aca="false">MAX(H573,G573)</f>
        <v>157.33</v>
      </c>
      <c r="J573" s="4" t="str">
        <f aca="false">IFERROR("PN"&amp;SMALL(PN_list,COUNTIF(PN_list,"&lt;"&amp;I573*bar_per_m)+1),"&gt; max PN")</f>
        <v>PN16</v>
      </c>
      <c r="K573" s="4" t="str">
        <f aca="false">IF(L573="no","end at tank",IF(H573&lt;0,"NEGATIVE",IF(H573&lt;p_min-0.005,"low","OK")))</f>
        <v>OK</v>
      </c>
      <c r="L573" s="4" t="s">
        <v>414</v>
      </c>
    </row>
    <row r="574" customFormat="false" ht="15" hidden="false" customHeight="false" outlineLevel="0" collapsed="false">
      <c r="A574" s="4" t="s">
        <v>42</v>
      </c>
      <c r="B574" s="4" t="s">
        <v>368</v>
      </c>
      <c r="C574" s="47" t="n">
        <v>7757.03</v>
      </c>
      <c r="D574" s="48" t="n">
        <v>1514</v>
      </c>
      <c r="E574" s="49" t="n">
        <f aca="false">D574-cover</f>
        <v>1512.8</v>
      </c>
      <c r="F574" s="50" t="n">
        <f aca="false">'Z5 Ikana-Nkangamo'!S12-'Z5 Ikana-Nkangamo'!P12*C574/'Z5 Ikana-Nkangamo'!G12</f>
        <v>1653.01545319494</v>
      </c>
      <c r="G574" s="51" t="n">
        <f aca="false">'Z5 Ikana-Nkangamo'!$B$8-E574</f>
        <v>155.2</v>
      </c>
      <c r="H574" s="52" t="n">
        <f aca="false">F574-E574</f>
        <v>140.215453194936</v>
      </c>
      <c r="I574" s="52" t="n">
        <f aca="false">MAX(H574,G574)</f>
        <v>155.2</v>
      </c>
      <c r="J574" s="4" t="str">
        <f aca="false">IFERROR("PN"&amp;SMALL(PN_list,COUNTIF(PN_list,"&lt;"&amp;I574*bar_per_m)+1),"&gt; max PN")</f>
        <v>PN16</v>
      </c>
      <c r="K574" s="4" t="str">
        <f aca="false">IF(L574="no","end at tank",IF(H574&lt;0,"NEGATIVE",IF(H574&lt;p_min-0.005,"low","OK")))</f>
        <v>OK</v>
      </c>
      <c r="L574" s="4" t="s">
        <v>414</v>
      </c>
    </row>
    <row r="575" customFormat="false" ht="15" hidden="false" customHeight="false" outlineLevel="0" collapsed="false">
      <c r="A575" s="4" t="s">
        <v>42</v>
      </c>
      <c r="B575" s="4" t="s">
        <v>368</v>
      </c>
      <c r="C575" s="47" t="n">
        <v>7807.04</v>
      </c>
      <c r="D575" s="48" t="n">
        <v>1515.05</v>
      </c>
      <c r="E575" s="49" t="n">
        <f aca="false">D575-cover</f>
        <v>1513.85</v>
      </c>
      <c r="F575" s="50" t="n">
        <f aca="false">'Z5 Ikana-Nkangamo'!S12-'Z5 Ikana-Nkangamo'!P12*C575/'Z5 Ikana-Nkangamo'!G12</f>
        <v>1652.94914815477</v>
      </c>
      <c r="G575" s="51" t="n">
        <f aca="false">'Z5 Ikana-Nkangamo'!$B$8-E575</f>
        <v>154.15</v>
      </c>
      <c r="H575" s="52" t="n">
        <f aca="false">F575-E575</f>
        <v>139.09914815477</v>
      </c>
      <c r="I575" s="52" t="n">
        <f aca="false">MAX(H575,G575)</f>
        <v>154.15</v>
      </c>
      <c r="J575" s="4" t="str">
        <f aca="false">IFERROR("PN"&amp;SMALL(PN_list,COUNTIF(PN_list,"&lt;"&amp;I575*bar_per_m)+1),"&gt; max PN")</f>
        <v>PN16</v>
      </c>
      <c r="K575" s="4" t="str">
        <f aca="false">IF(L575="no","end at tank",IF(H575&lt;0,"NEGATIVE",IF(H575&lt;p_min-0.005,"low","OK")))</f>
        <v>OK</v>
      </c>
      <c r="L575" s="4" t="s">
        <v>414</v>
      </c>
    </row>
    <row r="576" customFormat="false" ht="15" hidden="false" customHeight="false" outlineLevel="0" collapsed="false">
      <c r="A576" s="4" t="s">
        <v>42</v>
      </c>
      <c r="B576" s="4" t="s">
        <v>368</v>
      </c>
      <c r="C576" s="47" t="n">
        <v>7855.04</v>
      </c>
      <c r="D576" s="48" t="n">
        <v>1517.52</v>
      </c>
      <c r="E576" s="49" t="n">
        <f aca="false">D576-cover</f>
        <v>1516.32</v>
      </c>
      <c r="F576" s="50" t="n">
        <f aca="false">'Z5 Ikana-Nkangamo'!S12-'Z5 Ikana-Nkangamo'!P12*C576/'Z5 Ikana-Nkangamo'!G12</f>
        <v>1652.88550804423</v>
      </c>
      <c r="G576" s="51" t="n">
        <f aca="false">'Z5 Ikana-Nkangamo'!$B$8-E576</f>
        <v>151.68</v>
      </c>
      <c r="H576" s="52" t="n">
        <f aca="false">F576-E576</f>
        <v>136.565508044233</v>
      </c>
      <c r="I576" s="52" t="n">
        <f aca="false">MAX(H576,G576)</f>
        <v>151.68</v>
      </c>
      <c r="J576" s="4" t="str">
        <f aca="false">IFERROR("PN"&amp;SMALL(PN_list,COUNTIF(PN_list,"&lt;"&amp;I576*bar_per_m)+1),"&gt; max PN")</f>
        <v>PN16</v>
      </c>
      <c r="K576" s="4" t="str">
        <f aca="false">IF(L576="no","end at tank",IF(H576&lt;0,"NEGATIVE",IF(H576&lt;p_min-0.005,"low","OK")))</f>
        <v>OK</v>
      </c>
      <c r="L576" s="4" t="s">
        <v>414</v>
      </c>
    </row>
    <row r="577" customFormat="false" ht="15" hidden="false" customHeight="false" outlineLevel="0" collapsed="false">
      <c r="A577" s="4" t="s">
        <v>42</v>
      </c>
      <c r="B577" s="4" t="s">
        <v>368</v>
      </c>
      <c r="C577" s="47" t="n">
        <v>7905.14</v>
      </c>
      <c r="D577" s="48" t="n">
        <v>1520.66</v>
      </c>
      <c r="E577" s="49" t="n">
        <f aca="false">D577-cover</f>
        <v>1519.46</v>
      </c>
      <c r="F577" s="50" t="n">
        <f aca="false">'Z5 Ikana-Nkangamo'!S12-'Z5 Ikana-Nkangamo'!P12*C577/'Z5 Ikana-Nkangamo'!G12</f>
        <v>1652.81908367886</v>
      </c>
      <c r="G577" s="51" t="n">
        <f aca="false">'Z5 Ikana-Nkangamo'!$B$8-E577</f>
        <v>148.54</v>
      </c>
      <c r="H577" s="52" t="n">
        <f aca="false">F577-E577</f>
        <v>133.359083678859</v>
      </c>
      <c r="I577" s="52" t="n">
        <f aca="false">MAX(H577,G577)</f>
        <v>148.54</v>
      </c>
      <c r="J577" s="4" t="str">
        <f aca="false">IFERROR("PN"&amp;SMALL(PN_list,COUNTIF(PN_list,"&lt;"&amp;I577*bar_per_m)+1),"&gt; max PN")</f>
        <v>PN16</v>
      </c>
      <c r="K577" s="4" t="str">
        <f aca="false">IF(L577="no","end at tank",IF(H577&lt;0,"NEGATIVE",IF(H577&lt;p_min-0.005,"low","OK")))</f>
        <v>OK</v>
      </c>
      <c r="L577" s="4" t="s">
        <v>414</v>
      </c>
    </row>
    <row r="578" customFormat="false" ht="15" hidden="false" customHeight="false" outlineLevel="0" collapsed="false">
      <c r="A578" s="4" t="s">
        <v>42</v>
      </c>
      <c r="B578" s="4" t="s">
        <v>368</v>
      </c>
      <c r="C578" s="47" t="n">
        <v>7955.14</v>
      </c>
      <c r="D578" s="48" t="n">
        <v>1520.87</v>
      </c>
      <c r="E578" s="49" t="n">
        <f aca="false">D578-cover</f>
        <v>1519.67</v>
      </c>
      <c r="F578" s="50" t="n">
        <f aca="false">'Z5 Ikana-Nkangamo'!S12-'Z5 Ikana-Nkangamo'!P12*C578/'Z5 Ikana-Nkangamo'!G12</f>
        <v>1652.75279189705</v>
      </c>
      <c r="G578" s="51" t="n">
        <f aca="false">'Z5 Ikana-Nkangamo'!$B$8-E578</f>
        <v>148.33</v>
      </c>
      <c r="H578" s="52" t="n">
        <f aca="false">F578-E578</f>
        <v>133.082791897049</v>
      </c>
      <c r="I578" s="52" t="n">
        <f aca="false">MAX(H578,G578)</f>
        <v>148.33</v>
      </c>
      <c r="J578" s="4" t="str">
        <f aca="false">IFERROR("PN"&amp;SMALL(PN_list,COUNTIF(PN_list,"&lt;"&amp;I578*bar_per_m)+1),"&gt; max PN")</f>
        <v>PN16</v>
      </c>
      <c r="K578" s="4" t="str">
        <f aca="false">IF(L578="no","end at tank",IF(H578&lt;0,"NEGATIVE",IF(H578&lt;p_min-0.005,"low","OK")))</f>
        <v>OK</v>
      </c>
      <c r="L578" s="4" t="s">
        <v>414</v>
      </c>
    </row>
    <row r="579" customFormat="false" ht="15" hidden="false" customHeight="false" outlineLevel="0" collapsed="false">
      <c r="A579" s="4" t="s">
        <v>42</v>
      </c>
      <c r="B579" s="4" t="s">
        <v>368</v>
      </c>
      <c r="C579" s="47" t="n">
        <v>8005.14</v>
      </c>
      <c r="D579" s="48" t="n">
        <v>1520.46</v>
      </c>
      <c r="E579" s="49" t="n">
        <f aca="false">D579-cover</f>
        <v>1519.26</v>
      </c>
      <c r="F579" s="50" t="n">
        <f aca="false">'Z5 Ikana-Nkangamo'!S12-'Z5 Ikana-Nkangamo'!P12*C579/'Z5 Ikana-Nkangamo'!G12</f>
        <v>1652.68650011524</v>
      </c>
      <c r="G579" s="51" t="n">
        <f aca="false">'Z5 Ikana-Nkangamo'!$B$8-E579</f>
        <v>148.74</v>
      </c>
      <c r="H579" s="52" t="n">
        <f aca="false">F579-E579</f>
        <v>133.426500115239</v>
      </c>
      <c r="I579" s="52" t="n">
        <f aca="false">MAX(H579,G579)</f>
        <v>148.74</v>
      </c>
      <c r="J579" s="4" t="str">
        <f aca="false">IFERROR("PN"&amp;SMALL(PN_list,COUNTIF(PN_list,"&lt;"&amp;I579*bar_per_m)+1),"&gt; max PN")</f>
        <v>PN16</v>
      </c>
      <c r="K579" s="4" t="str">
        <f aca="false">IF(L579="no","end at tank",IF(H579&lt;0,"NEGATIVE",IF(H579&lt;p_min-0.005,"low","OK")))</f>
        <v>OK</v>
      </c>
      <c r="L579" s="4" t="s">
        <v>414</v>
      </c>
    </row>
    <row r="580" customFormat="false" ht="15" hidden="false" customHeight="false" outlineLevel="0" collapsed="false">
      <c r="A580" s="4" t="s">
        <v>42</v>
      </c>
      <c r="B580" s="4" t="s">
        <v>368</v>
      </c>
      <c r="C580" s="47" t="n">
        <v>8055.14</v>
      </c>
      <c r="D580" s="48" t="n">
        <v>1520.42</v>
      </c>
      <c r="E580" s="49" t="n">
        <f aca="false">D580-cover</f>
        <v>1519.22</v>
      </c>
      <c r="F580" s="50" t="n">
        <f aca="false">'Z5 Ikana-Nkangamo'!S12-'Z5 Ikana-Nkangamo'!P12*C580/'Z5 Ikana-Nkangamo'!G12</f>
        <v>1652.62020833343</v>
      </c>
      <c r="G580" s="51" t="n">
        <f aca="false">'Z5 Ikana-Nkangamo'!$B$8-E580</f>
        <v>148.78</v>
      </c>
      <c r="H580" s="52" t="n">
        <f aca="false">F580-E580</f>
        <v>133.400208333429</v>
      </c>
      <c r="I580" s="52" t="n">
        <f aca="false">MAX(H580,G580)</f>
        <v>148.78</v>
      </c>
      <c r="J580" s="4" t="str">
        <f aca="false">IFERROR("PN"&amp;SMALL(PN_list,COUNTIF(PN_list,"&lt;"&amp;I580*bar_per_m)+1),"&gt; max PN")</f>
        <v>PN16</v>
      </c>
      <c r="K580" s="4" t="str">
        <f aca="false">IF(L580="no","end at tank",IF(H580&lt;0,"NEGATIVE",IF(H580&lt;p_min-0.005,"low","OK")))</f>
        <v>OK</v>
      </c>
      <c r="L580" s="4" t="s">
        <v>414</v>
      </c>
    </row>
    <row r="581" customFormat="false" ht="15" hidden="false" customHeight="false" outlineLevel="0" collapsed="false">
      <c r="A581" s="4" t="s">
        <v>42</v>
      </c>
      <c r="B581" s="4" t="s">
        <v>368</v>
      </c>
      <c r="C581" s="47" t="n">
        <v>8105.14</v>
      </c>
      <c r="D581" s="48" t="n">
        <v>1520.61</v>
      </c>
      <c r="E581" s="49" t="n">
        <f aca="false">D581-cover</f>
        <v>1519.41</v>
      </c>
      <c r="F581" s="50" t="n">
        <f aca="false">'Z5 Ikana-Nkangamo'!S12-'Z5 Ikana-Nkangamo'!P12*C581/'Z5 Ikana-Nkangamo'!G12</f>
        <v>1652.55391655162</v>
      </c>
      <c r="G581" s="51" t="n">
        <f aca="false">'Z5 Ikana-Nkangamo'!$B$8-E581</f>
        <v>148.59</v>
      </c>
      <c r="H581" s="52" t="n">
        <f aca="false">F581-E581</f>
        <v>133.143916551619</v>
      </c>
      <c r="I581" s="52" t="n">
        <f aca="false">MAX(H581,G581)</f>
        <v>148.59</v>
      </c>
      <c r="J581" s="4" t="str">
        <f aca="false">IFERROR("PN"&amp;SMALL(PN_list,COUNTIF(PN_list,"&lt;"&amp;I581*bar_per_m)+1),"&gt; max PN")</f>
        <v>PN16</v>
      </c>
      <c r="K581" s="4" t="str">
        <f aca="false">IF(L581="no","end at tank",IF(H581&lt;0,"NEGATIVE",IF(H581&lt;p_min-0.005,"low","OK")))</f>
        <v>OK</v>
      </c>
      <c r="L581" s="4" t="s">
        <v>414</v>
      </c>
    </row>
    <row r="582" customFormat="false" ht="15" hidden="false" customHeight="false" outlineLevel="0" collapsed="false">
      <c r="A582" s="4" t="s">
        <v>42</v>
      </c>
      <c r="B582" s="4" t="s">
        <v>368</v>
      </c>
      <c r="C582" s="47" t="n">
        <v>8155.25</v>
      </c>
      <c r="D582" s="48" t="n">
        <v>1519.72</v>
      </c>
      <c r="E582" s="49" t="n">
        <f aca="false">D582-cover</f>
        <v>1518.52</v>
      </c>
      <c r="F582" s="50" t="n">
        <f aca="false">'Z5 Ikana-Nkangamo'!S12-'Z5 Ikana-Nkangamo'!P12*C582/'Z5 Ikana-Nkangamo'!G12</f>
        <v>1652.48747892789</v>
      </c>
      <c r="G582" s="51" t="n">
        <f aca="false">'Z5 Ikana-Nkangamo'!$B$8-E582</f>
        <v>149.48</v>
      </c>
      <c r="H582" s="52" t="n">
        <f aca="false">F582-E582</f>
        <v>133.967478927889</v>
      </c>
      <c r="I582" s="52" t="n">
        <f aca="false">MAX(H582,G582)</f>
        <v>149.48</v>
      </c>
      <c r="J582" s="4" t="str">
        <f aca="false">IFERROR("PN"&amp;SMALL(PN_list,COUNTIF(PN_list,"&lt;"&amp;I582*bar_per_m)+1),"&gt; max PN")</f>
        <v>PN16</v>
      </c>
      <c r="K582" s="4" t="str">
        <f aca="false">IF(L582="no","end at tank",IF(H582&lt;0,"NEGATIVE",IF(H582&lt;p_min-0.005,"low","OK")))</f>
        <v>OK</v>
      </c>
      <c r="L582" s="4" t="s">
        <v>414</v>
      </c>
    </row>
    <row r="583" customFormat="false" ht="15" hidden="false" customHeight="false" outlineLevel="0" collapsed="false">
      <c r="A583" s="4" t="s">
        <v>42</v>
      </c>
      <c r="B583" s="4" t="s">
        <v>368</v>
      </c>
      <c r="C583" s="47" t="n">
        <v>8205.27</v>
      </c>
      <c r="D583" s="48" t="n">
        <v>1518.39</v>
      </c>
      <c r="E583" s="49" t="n">
        <f aca="false">D583-cover</f>
        <v>1517.19</v>
      </c>
      <c r="F583" s="50" t="n">
        <f aca="false">'Z5 Ikana-Nkangamo'!S12-'Z5 Ikana-Nkangamo'!P12*C583/'Z5 Ikana-Nkangamo'!G12</f>
        <v>1652.42116062937</v>
      </c>
      <c r="G583" s="51" t="n">
        <f aca="false">'Z5 Ikana-Nkangamo'!$B$8-E583</f>
        <v>150.81</v>
      </c>
      <c r="H583" s="52" t="n">
        <f aca="false">F583-E583</f>
        <v>135.231160629367</v>
      </c>
      <c r="I583" s="52" t="n">
        <f aca="false">MAX(H583,G583)</f>
        <v>150.81</v>
      </c>
      <c r="J583" s="4" t="str">
        <f aca="false">IFERROR("PN"&amp;SMALL(PN_list,COUNTIF(PN_list,"&lt;"&amp;I583*bar_per_m)+1),"&gt; max PN")</f>
        <v>PN16</v>
      </c>
      <c r="K583" s="4" t="str">
        <f aca="false">IF(L583="no","end at tank",IF(H583&lt;0,"NEGATIVE",IF(H583&lt;p_min-0.005,"low","OK")))</f>
        <v>OK</v>
      </c>
      <c r="L583" s="4" t="s">
        <v>414</v>
      </c>
    </row>
    <row r="584" customFormat="false" ht="15" hidden="false" customHeight="false" outlineLevel="0" collapsed="false">
      <c r="A584" s="4" t="s">
        <v>42</v>
      </c>
      <c r="B584" s="4" t="s">
        <v>368</v>
      </c>
      <c r="C584" s="47" t="n">
        <v>8255.28</v>
      </c>
      <c r="D584" s="48" t="n">
        <v>1517.52</v>
      </c>
      <c r="E584" s="49" t="n">
        <f aca="false">D584-cover</f>
        <v>1516.32</v>
      </c>
      <c r="F584" s="50" t="n">
        <f aca="false">'Z5 Ikana-Nkangamo'!S12-'Z5 Ikana-Nkangamo'!P12*C584/'Z5 Ikana-Nkangamo'!G12</f>
        <v>1652.3548555892</v>
      </c>
      <c r="G584" s="51" t="n">
        <f aca="false">'Z5 Ikana-Nkangamo'!$B$8-E584</f>
        <v>151.68</v>
      </c>
      <c r="H584" s="52" t="n">
        <f aca="false">F584-E584</f>
        <v>136.0348555892</v>
      </c>
      <c r="I584" s="52" t="n">
        <f aca="false">MAX(H584,G584)</f>
        <v>151.68</v>
      </c>
      <c r="J584" s="4" t="str">
        <f aca="false">IFERROR("PN"&amp;SMALL(PN_list,COUNTIF(PN_list,"&lt;"&amp;I584*bar_per_m)+1),"&gt; max PN")</f>
        <v>PN16</v>
      </c>
      <c r="K584" s="4" t="str">
        <f aca="false">IF(L584="no","end at tank",IF(H584&lt;0,"NEGATIVE",IF(H584&lt;p_min-0.005,"low","OK")))</f>
        <v>OK</v>
      </c>
      <c r="L584" s="4" t="s">
        <v>414</v>
      </c>
    </row>
    <row r="585" customFormat="false" ht="15" hidden="false" customHeight="false" outlineLevel="0" collapsed="false">
      <c r="A585" s="4" t="s">
        <v>42</v>
      </c>
      <c r="B585" s="4" t="s">
        <v>368</v>
      </c>
      <c r="C585" s="47" t="n">
        <v>8305.28</v>
      </c>
      <c r="D585" s="48" t="n">
        <v>1517.22</v>
      </c>
      <c r="E585" s="49" t="n">
        <f aca="false">D585-cover</f>
        <v>1516.02</v>
      </c>
      <c r="F585" s="50" t="n">
        <f aca="false">'Z5 Ikana-Nkangamo'!S12-'Z5 Ikana-Nkangamo'!P12*C585/'Z5 Ikana-Nkangamo'!G12</f>
        <v>1652.28856380739</v>
      </c>
      <c r="G585" s="51" t="n">
        <f aca="false">'Z5 Ikana-Nkangamo'!$B$8-E585</f>
        <v>151.98</v>
      </c>
      <c r="H585" s="52" t="n">
        <f aca="false">F585-E585</f>
        <v>136.26856380739</v>
      </c>
      <c r="I585" s="52" t="n">
        <f aca="false">MAX(H585,G585)</f>
        <v>151.98</v>
      </c>
      <c r="J585" s="4" t="str">
        <f aca="false">IFERROR("PN"&amp;SMALL(PN_list,COUNTIF(PN_list,"&lt;"&amp;I585*bar_per_m)+1),"&gt; max PN")</f>
        <v>PN16</v>
      </c>
      <c r="K585" s="4" t="str">
        <f aca="false">IF(L585="no","end at tank",IF(H585&lt;0,"NEGATIVE",IF(H585&lt;p_min-0.005,"low","OK")))</f>
        <v>OK</v>
      </c>
      <c r="L585" s="4" t="s">
        <v>414</v>
      </c>
    </row>
    <row r="586" customFormat="false" ht="15" hidden="false" customHeight="false" outlineLevel="0" collapsed="false">
      <c r="A586" s="4" t="s">
        <v>42</v>
      </c>
      <c r="B586" s="4" t="s">
        <v>368</v>
      </c>
      <c r="C586" s="47" t="n">
        <v>8355.28</v>
      </c>
      <c r="D586" s="48" t="n">
        <v>1517.15</v>
      </c>
      <c r="E586" s="49" t="n">
        <f aca="false">D586-cover</f>
        <v>1515.95</v>
      </c>
      <c r="F586" s="50" t="n">
        <f aca="false">'Z5 Ikana-Nkangamo'!S12-'Z5 Ikana-Nkangamo'!P12*C586/'Z5 Ikana-Nkangamo'!G12</f>
        <v>1652.22227202558</v>
      </c>
      <c r="G586" s="51" t="n">
        <f aca="false">'Z5 Ikana-Nkangamo'!$B$8-E586</f>
        <v>152.05</v>
      </c>
      <c r="H586" s="52" t="n">
        <f aca="false">F586-E586</f>
        <v>136.27227202558</v>
      </c>
      <c r="I586" s="52" t="n">
        <f aca="false">MAX(H586,G586)</f>
        <v>152.05</v>
      </c>
      <c r="J586" s="4" t="str">
        <f aca="false">IFERROR("PN"&amp;SMALL(PN_list,COUNTIF(PN_list,"&lt;"&amp;I586*bar_per_m)+1),"&gt; max PN")</f>
        <v>PN16</v>
      </c>
      <c r="K586" s="4" t="str">
        <f aca="false">IF(L586="no","end at tank",IF(H586&lt;0,"NEGATIVE",IF(H586&lt;p_min-0.005,"low","OK")))</f>
        <v>OK</v>
      </c>
      <c r="L586" s="4" t="s">
        <v>414</v>
      </c>
    </row>
    <row r="587" customFormat="false" ht="15" hidden="false" customHeight="false" outlineLevel="0" collapsed="false">
      <c r="A587" s="4" t="s">
        <v>42</v>
      </c>
      <c r="B587" s="4" t="s">
        <v>368</v>
      </c>
      <c r="C587" s="47" t="n">
        <v>8405.28</v>
      </c>
      <c r="D587" s="48" t="n">
        <v>1517.31</v>
      </c>
      <c r="E587" s="49" t="n">
        <f aca="false">D587-cover</f>
        <v>1516.11</v>
      </c>
      <c r="F587" s="50" t="n">
        <f aca="false">'Z5 Ikana-Nkangamo'!S12-'Z5 Ikana-Nkangamo'!P12*C587/'Z5 Ikana-Nkangamo'!G12</f>
        <v>1652.15598024377</v>
      </c>
      <c r="G587" s="51" t="n">
        <f aca="false">'Z5 Ikana-Nkangamo'!$B$8-E587</f>
        <v>151.89</v>
      </c>
      <c r="H587" s="52" t="n">
        <f aca="false">F587-E587</f>
        <v>136.04598024377</v>
      </c>
      <c r="I587" s="52" t="n">
        <f aca="false">MAX(H587,G587)</f>
        <v>151.89</v>
      </c>
      <c r="J587" s="4" t="str">
        <f aca="false">IFERROR("PN"&amp;SMALL(PN_list,COUNTIF(PN_list,"&lt;"&amp;I587*bar_per_m)+1),"&gt; max PN")</f>
        <v>PN16</v>
      </c>
      <c r="K587" s="4" t="str">
        <f aca="false">IF(L587="no","end at tank",IF(H587&lt;0,"NEGATIVE",IF(H587&lt;p_min-0.005,"low","OK")))</f>
        <v>OK</v>
      </c>
      <c r="L587" s="4" t="s">
        <v>414</v>
      </c>
    </row>
    <row r="588" customFormat="false" ht="15" hidden="false" customHeight="false" outlineLevel="0" collapsed="false">
      <c r="A588" s="4" t="s">
        <v>42</v>
      </c>
      <c r="B588" s="4" t="s">
        <v>368</v>
      </c>
      <c r="C588" s="47" t="n">
        <v>8455.28</v>
      </c>
      <c r="D588" s="48" t="n">
        <v>1517.41</v>
      </c>
      <c r="E588" s="49" t="n">
        <f aca="false">D588-cover</f>
        <v>1516.21</v>
      </c>
      <c r="F588" s="50" t="n">
        <f aca="false">'Z5 Ikana-Nkangamo'!S12-'Z5 Ikana-Nkangamo'!P12*C588/'Z5 Ikana-Nkangamo'!G12</f>
        <v>1652.08968846196</v>
      </c>
      <c r="G588" s="51" t="n">
        <f aca="false">'Z5 Ikana-Nkangamo'!$B$8-E588</f>
        <v>151.79</v>
      </c>
      <c r="H588" s="52" t="n">
        <f aca="false">F588-E588</f>
        <v>135.87968846196</v>
      </c>
      <c r="I588" s="52" t="n">
        <f aca="false">MAX(H588,G588)</f>
        <v>151.79</v>
      </c>
      <c r="J588" s="4" t="str">
        <f aca="false">IFERROR("PN"&amp;SMALL(PN_list,COUNTIF(PN_list,"&lt;"&amp;I588*bar_per_m)+1),"&gt; max PN")</f>
        <v>PN16</v>
      </c>
      <c r="K588" s="4" t="str">
        <f aca="false">IF(L588="no","end at tank",IF(H588&lt;0,"NEGATIVE",IF(H588&lt;p_min-0.005,"low","OK")))</f>
        <v>OK</v>
      </c>
      <c r="L588" s="4" t="s">
        <v>414</v>
      </c>
    </row>
    <row r="589" customFormat="false" ht="15" hidden="false" customHeight="false" outlineLevel="0" collapsed="false">
      <c r="A589" s="4" t="s">
        <v>42</v>
      </c>
      <c r="B589" s="4" t="s">
        <v>368</v>
      </c>
      <c r="C589" s="47" t="n">
        <v>8505.28</v>
      </c>
      <c r="D589" s="48" t="n">
        <v>1517.61</v>
      </c>
      <c r="E589" s="49" t="n">
        <f aca="false">D589-cover</f>
        <v>1516.41</v>
      </c>
      <c r="F589" s="50" t="n">
        <f aca="false">'Z5 Ikana-Nkangamo'!S12-'Z5 Ikana-Nkangamo'!P12*C589/'Z5 Ikana-Nkangamo'!G12</f>
        <v>1652.02339668015</v>
      </c>
      <c r="G589" s="51" t="n">
        <f aca="false">'Z5 Ikana-Nkangamo'!$B$8-E589</f>
        <v>151.59</v>
      </c>
      <c r="H589" s="52" t="n">
        <f aca="false">F589-E589</f>
        <v>135.613396680151</v>
      </c>
      <c r="I589" s="52" t="n">
        <f aca="false">MAX(H589,G589)</f>
        <v>151.59</v>
      </c>
      <c r="J589" s="4" t="str">
        <f aca="false">IFERROR("PN"&amp;SMALL(PN_list,COUNTIF(PN_list,"&lt;"&amp;I589*bar_per_m)+1),"&gt; max PN")</f>
        <v>PN16</v>
      </c>
      <c r="K589" s="4" t="str">
        <f aca="false">IF(L589="no","end at tank",IF(H589&lt;0,"NEGATIVE",IF(H589&lt;p_min-0.005,"low","OK")))</f>
        <v>OK</v>
      </c>
      <c r="L589" s="4" t="s">
        <v>414</v>
      </c>
    </row>
    <row r="590" customFormat="false" ht="15" hidden="false" customHeight="false" outlineLevel="0" collapsed="false">
      <c r="A590" s="4" t="s">
        <v>42</v>
      </c>
      <c r="B590" s="4" t="s">
        <v>368</v>
      </c>
      <c r="C590" s="47" t="n">
        <v>8555.29</v>
      </c>
      <c r="D590" s="48" t="n">
        <v>1518.88</v>
      </c>
      <c r="E590" s="49" t="n">
        <f aca="false">D590-cover</f>
        <v>1517.68</v>
      </c>
      <c r="F590" s="50" t="n">
        <f aca="false">'Z5 Ikana-Nkangamo'!S12-'Z5 Ikana-Nkangamo'!P12*C590/'Z5 Ikana-Nkangamo'!G12</f>
        <v>1651.95709163998</v>
      </c>
      <c r="G590" s="51" t="n">
        <f aca="false">'Z5 Ikana-Nkangamo'!$B$8-E590</f>
        <v>150.32</v>
      </c>
      <c r="H590" s="52" t="n">
        <f aca="false">F590-E590</f>
        <v>134.277091639984</v>
      </c>
      <c r="I590" s="52" t="n">
        <f aca="false">MAX(H590,G590)</f>
        <v>150.32</v>
      </c>
      <c r="J590" s="4" t="str">
        <f aca="false">IFERROR("PN"&amp;SMALL(PN_list,COUNTIF(PN_list,"&lt;"&amp;I590*bar_per_m)+1),"&gt; max PN")</f>
        <v>PN16</v>
      </c>
      <c r="K590" s="4" t="str">
        <f aca="false">IF(L590="no","end at tank",IF(H590&lt;0,"NEGATIVE",IF(H590&lt;p_min-0.005,"low","OK")))</f>
        <v>OK</v>
      </c>
      <c r="L590" s="4" t="s">
        <v>414</v>
      </c>
    </row>
    <row r="591" customFormat="false" ht="15" hidden="false" customHeight="false" outlineLevel="0" collapsed="false">
      <c r="A591" s="4" t="s">
        <v>42</v>
      </c>
      <c r="B591" s="4" t="s">
        <v>368</v>
      </c>
      <c r="C591" s="47" t="n">
        <v>8605.3</v>
      </c>
      <c r="D591" s="48" t="n">
        <v>1519.79</v>
      </c>
      <c r="E591" s="49" t="n">
        <f aca="false">D591-cover</f>
        <v>1518.59</v>
      </c>
      <c r="F591" s="50" t="n">
        <f aca="false">'Z5 Ikana-Nkangamo'!S12-'Z5 Ikana-Nkangamo'!P12*C591/'Z5 Ikana-Nkangamo'!G12</f>
        <v>1651.89078659982</v>
      </c>
      <c r="G591" s="51" t="n">
        <f aca="false">'Z5 Ikana-Nkangamo'!$B$8-E591</f>
        <v>149.41</v>
      </c>
      <c r="H591" s="52" t="n">
        <f aca="false">F591-E591</f>
        <v>133.300786599818</v>
      </c>
      <c r="I591" s="52" t="n">
        <f aca="false">MAX(H591,G591)</f>
        <v>149.41</v>
      </c>
      <c r="J591" s="4" t="str">
        <f aca="false">IFERROR("PN"&amp;SMALL(PN_list,COUNTIF(PN_list,"&lt;"&amp;I591*bar_per_m)+1),"&gt; max PN")</f>
        <v>PN16</v>
      </c>
      <c r="K591" s="4" t="str">
        <f aca="false">IF(L591="no","end at tank",IF(H591&lt;0,"NEGATIVE",IF(H591&lt;p_min-0.005,"low","OK")))</f>
        <v>OK</v>
      </c>
      <c r="L591" s="4" t="s">
        <v>414</v>
      </c>
    </row>
    <row r="592" customFormat="false" ht="15" hidden="false" customHeight="false" outlineLevel="0" collapsed="false">
      <c r="A592" s="4" t="s">
        <v>42</v>
      </c>
      <c r="B592" s="4" t="s">
        <v>368</v>
      </c>
      <c r="C592" s="47" t="n">
        <v>8655.32</v>
      </c>
      <c r="D592" s="48" t="n">
        <v>1521.15</v>
      </c>
      <c r="E592" s="49" t="n">
        <f aca="false">D592-cover</f>
        <v>1519.95</v>
      </c>
      <c r="F592" s="50" t="n">
        <f aca="false">'Z5 Ikana-Nkangamo'!S12-'Z5 Ikana-Nkangamo'!P12*C592/'Z5 Ikana-Nkangamo'!G12</f>
        <v>1651.8244683013</v>
      </c>
      <c r="G592" s="51" t="n">
        <f aca="false">'Z5 Ikana-Nkangamo'!$B$8-E592</f>
        <v>148.05</v>
      </c>
      <c r="H592" s="52" t="n">
        <f aca="false">F592-E592</f>
        <v>131.874468301295</v>
      </c>
      <c r="I592" s="52" t="n">
        <f aca="false">MAX(H592,G592)</f>
        <v>148.05</v>
      </c>
      <c r="J592" s="4" t="str">
        <f aca="false">IFERROR("PN"&amp;SMALL(PN_list,COUNTIF(PN_list,"&lt;"&amp;I592*bar_per_m)+1),"&gt; max PN")</f>
        <v>PN16</v>
      </c>
      <c r="K592" s="4" t="str">
        <f aca="false">IF(L592="no","end at tank",IF(H592&lt;0,"NEGATIVE",IF(H592&lt;p_min-0.005,"low","OK")))</f>
        <v>OK</v>
      </c>
      <c r="L592" s="4" t="s">
        <v>414</v>
      </c>
    </row>
    <row r="593" customFormat="false" ht="15" hidden="false" customHeight="false" outlineLevel="0" collapsed="false">
      <c r="A593" s="4" t="s">
        <v>42</v>
      </c>
      <c r="B593" s="4" t="s">
        <v>368</v>
      </c>
      <c r="C593" s="47" t="n">
        <v>8705.33</v>
      </c>
      <c r="D593" s="48" t="n">
        <v>1522.18</v>
      </c>
      <c r="E593" s="49" t="n">
        <f aca="false">D593-cover</f>
        <v>1520.98</v>
      </c>
      <c r="F593" s="50" t="n">
        <f aca="false">'Z5 Ikana-Nkangamo'!S12-'Z5 Ikana-Nkangamo'!P12*C593/'Z5 Ikana-Nkangamo'!G12</f>
        <v>1651.75816326113</v>
      </c>
      <c r="G593" s="51" t="n">
        <f aca="false">'Z5 Ikana-Nkangamo'!$B$8-E593</f>
        <v>147.02</v>
      </c>
      <c r="H593" s="52" t="n">
        <f aca="false">F593-E593</f>
        <v>130.778163261129</v>
      </c>
      <c r="I593" s="52" t="n">
        <f aca="false">MAX(H593,G593)</f>
        <v>147.02</v>
      </c>
      <c r="J593" s="4" t="str">
        <f aca="false">IFERROR("PN"&amp;SMALL(PN_list,COUNTIF(PN_list,"&lt;"&amp;I593*bar_per_m)+1),"&gt; max PN")</f>
        <v>PN16</v>
      </c>
      <c r="K593" s="4" t="str">
        <f aca="false">IF(L593="no","end at tank",IF(H593&lt;0,"NEGATIVE",IF(H593&lt;p_min-0.005,"low","OK")))</f>
        <v>OK</v>
      </c>
      <c r="L593" s="4" t="s">
        <v>414</v>
      </c>
    </row>
    <row r="594" customFormat="false" ht="15" hidden="false" customHeight="false" outlineLevel="0" collapsed="false">
      <c r="A594" s="4" t="s">
        <v>42</v>
      </c>
      <c r="B594" s="4" t="s">
        <v>368</v>
      </c>
      <c r="C594" s="47" t="n">
        <v>8755.33</v>
      </c>
      <c r="D594" s="48" t="n">
        <v>1522.74</v>
      </c>
      <c r="E594" s="49" t="n">
        <f aca="false">D594-cover</f>
        <v>1521.54</v>
      </c>
      <c r="F594" s="50" t="n">
        <f aca="false">'Z5 Ikana-Nkangamo'!S12-'Z5 Ikana-Nkangamo'!P12*C594/'Z5 Ikana-Nkangamo'!G12</f>
        <v>1651.69187147932</v>
      </c>
      <c r="G594" s="51" t="n">
        <f aca="false">'Z5 Ikana-Nkangamo'!$B$8-E594</f>
        <v>146.46</v>
      </c>
      <c r="H594" s="52" t="n">
        <f aca="false">F594-E594</f>
        <v>130.151871479319</v>
      </c>
      <c r="I594" s="52" t="n">
        <f aca="false">MAX(H594,G594)</f>
        <v>146.46</v>
      </c>
      <c r="J594" s="4" t="str">
        <f aca="false">IFERROR("PN"&amp;SMALL(PN_list,COUNTIF(PN_list,"&lt;"&amp;I594*bar_per_m)+1),"&gt; max PN")</f>
        <v>PN16</v>
      </c>
      <c r="K594" s="4" t="str">
        <f aca="false">IF(L594="no","end at tank",IF(H594&lt;0,"NEGATIVE",IF(H594&lt;p_min-0.005,"low","OK")))</f>
        <v>OK</v>
      </c>
      <c r="L594" s="4" t="s">
        <v>414</v>
      </c>
    </row>
    <row r="595" customFormat="false" ht="15" hidden="false" customHeight="false" outlineLevel="0" collapsed="false">
      <c r="A595" s="4" t="s">
        <v>42</v>
      </c>
      <c r="B595" s="4" t="s">
        <v>368</v>
      </c>
      <c r="C595" s="47" t="n">
        <v>8805.34</v>
      </c>
      <c r="D595" s="48" t="n">
        <v>1523.46</v>
      </c>
      <c r="E595" s="49" t="n">
        <f aca="false">D595-cover</f>
        <v>1522.26</v>
      </c>
      <c r="F595" s="50" t="n">
        <f aca="false">'Z5 Ikana-Nkangamo'!S12-'Z5 Ikana-Nkangamo'!P12*C595/'Z5 Ikana-Nkangamo'!G12</f>
        <v>1651.62556643915</v>
      </c>
      <c r="G595" s="51" t="n">
        <f aca="false">'Z5 Ikana-Nkangamo'!$B$8-E595</f>
        <v>145.74</v>
      </c>
      <c r="H595" s="52" t="n">
        <f aca="false">F595-E595</f>
        <v>129.365566439153</v>
      </c>
      <c r="I595" s="52" t="n">
        <f aca="false">MAX(H595,G595)</f>
        <v>145.74</v>
      </c>
      <c r="J595" s="4" t="str">
        <f aca="false">IFERROR("PN"&amp;SMALL(PN_list,COUNTIF(PN_list,"&lt;"&amp;I595*bar_per_m)+1),"&gt; max PN")</f>
        <v>PN16</v>
      </c>
      <c r="K595" s="4" t="str">
        <f aca="false">IF(L595="no","end at tank",IF(H595&lt;0,"NEGATIVE",IF(H595&lt;p_min-0.005,"low","OK")))</f>
        <v>OK</v>
      </c>
      <c r="L595" s="4" t="s">
        <v>414</v>
      </c>
    </row>
    <row r="596" customFormat="false" ht="15" hidden="false" customHeight="false" outlineLevel="0" collapsed="false">
      <c r="A596" s="4" t="s">
        <v>42</v>
      </c>
      <c r="B596" s="4" t="s">
        <v>368</v>
      </c>
      <c r="C596" s="47" t="n">
        <v>8855.34</v>
      </c>
      <c r="D596" s="48" t="n">
        <v>1523.19</v>
      </c>
      <c r="E596" s="49" t="n">
        <f aca="false">D596-cover</f>
        <v>1521.99</v>
      </c>
      <c r="F596" s="50" t="n">
        <f aca="false">'Z5 Ikana-Nkangamo'!S12-'Z5 Ikana-Nkangamo'!P12*C596/'Z5 Ikana-Nkangamo'!G12</f>
        <v>1651.55927465734</v>
      </c>
      <c r="G596" s="51" t="n">
        <f aca="false">'Z5 Ikana-Nkangamo'!$B$8-E596</f>
        <v>146.01</v>
      </c>
      <c r="H596" s="52" t="n">
        <f aca="false">F596-E596</f>
        <v>129.569274657343</v>
      </c>
      <c r="I596" s="52" t="n">
        <f aca="false">MAX(H596,G596)</f>
        <v>146.01</v>
      </c>
      <c r="J596" s="4" t="str">
        <f aca="false">IFERROR("PN"&amp;SMALL(PN_list,COUNTIF(PN_list,"&lt;"&amp;I596*bar_per_m)+1),"&gt; max PN")</f>
        <v>PN16</v>
      </c>
      <c r="K596" s="4" t="str">
        <f aca="false">IF(L596="no","end at tank",IF(H596&lt;0,"NEGATIVE",IF(H596&lt;p_min-0.005,"low","OK")))</f>
        <v>OK</v>
      </c>
      <c r="L596" s="4" t="s">
        <v>414</v>
      </c>
    </row>
    <row r="597" customFormat="false" ht="15" hidden="false" customHeight="false" outlineLevel="0" collapsed="false">
      <c r="A597" s="4" t="s">
        <v>42</v>
      </c>
      <c r="B597" s="4" t="s">
        <v>368</v>
      </c>
      <c r="C597" s="47" t="n">
        <v>8905.34</v>
      </c>
      <c r="D597" s="48" t="n">
        <v>1522.99</v>
      </c>
      <c r="E597" s="49" t="n">
        <f aca="false">D597-cover</f>
        <v>1521.79</v>
      </c>
      <c r="F597" s="50" t="n">
        <f aca="false">'Z5 Ikana-Nkangamo'!S12-'Z5 Ikana-Nkangamo'!P12*C597/'Z5 Ikana-Nkangamo'!G12</f>
        <v>1651.49298287553</v>
      </c>
      <c r="G597" s="51" t="n">
        <f aca="false">'Z5 Ikana-Nkangamo'!$B$8-E597</f>
        <v>146.21</v>
      </c>
      <c r="H597" s="52" t="n">
        <f aca="false">F597-E597</f>
        <v>129.702982875533</v>
      </c>
      <c r="I597" s="52" t="n">
        <f aca="false">MAX(H597,G597)</f>
        <v>146.21</v>
      </c>
      <c r="J597" s="4" t="str">
        <f aca="false">IFERROR("PN"&amp;SMALL(PN_list,COUNTIF(PN_list,"&lt;"&amp;I597*bar_per_m)+1),"&gt; max PN")</f>
        <v>PN16</v>
      </c>
      <c r="K597" s="4" t="str">
        <f aca="false">IF(L597="no","end at tank",IF(H597&lt;0,"NEGATIVE",IF(H597&lt;p_min-0.005,"low","OK")))</f>
        <v>OK</v>
      </c>
      <c r="L597" s="4" t="s">
        <v>414</v>
      </c>
    </row>
    <row r="598" customFormat="false" ht="15" hidden="false" customHeight="false" outlineLevel="0" collapsed="false">
      <c r="A598" s="4" t="s">
        <v>42</v>
      </c>
      <c r="B598" s="4" t="s">
        <v>368</v>
      </c>
      <c r="C598" s="47" t="n">
        <v>8955.36</v>
      </c>
      <c r="D598" s="48" t="n">
        <v>1521.71</v>
      </c>
      <c r="E598" s="49" t="n">
        <f aca="false">D598-cover</f>
        <v>1520.51</v>
      </c>
      <c r="F598" s="50" t="n">
        <f aca="false">'Z5 Ikana-Nkangamo'!S12-'Z5 Ikana-Nkangamo'!P12*C598/'Z5 Ikana-Nkangamo'!G12</f>
        <v>1651.42666457701</v>
      </c>
      <c r="G598" s="51" t="n">
        <f aca="false">'Z5 Ikana-Nkangamo'!$B$8-E598</f>
        <v>147.49</v>
      </c>
      <c r="H598" s="52" t="n">
        <f aca="false">F598-E598</f>
        <v>130.91666457701</v>
      </c>
      <c r="I598" s="52" t="n">
        <f aca="false">MAX(H598,G598)</f>
        <v>147.49</v>
      </c>
      <c r="J598" s="4" t="str">
        <f aca="false">IFERROR("PN"&amp;SMALL(PN_list,COUNTIF(PN_list,"&lt;"&amp;I598*bar_per_m)+1),"&gt; max PN")</f>
        <v>PN16</v>
      </c>
      <c r="K598" s="4" t="str">
        <f aca="false">IF(L598="no","end at tank",IF(H598&lt;0,"NEGATIVE",IF(H598&lt;p_min-0.005,"low","OK")))</f>
        <v>OK</v>
      </c>
      <c r="L598" s="4" t="s">
        <v>414</v>
      </c>
    </row>
    <row r="599" customFormat="false" ht="15" hidden="false" customHeight="false" outlineLevel="0" collapsed="false">
      <c r="A599" s="4" t="s">
        <v>42</v>
      </c>
      <c r="B599" s="4" t="s">
        <v>368</v>
      </c>
      <c r="C599" s="47" t="n">
        <v>9005.37</v>
      </c>
      <c r="D599" s="48" t="n">
        <v>1520.39</v>
      </c>
      <c r="E599" s="49" t="n">
        <f aca="false">D599-cover</f>
        <v>1519.19</v>
      </c>
      <c r="F599" s="50" t="n">
        <f aca="false">'Z5 Ikana-Nkangamo'!S12-'Z5 Ikana-Nkangamo'!P12*C599/'Z5 Ikana-Nkangamo'!G12</f>
        <v>1651.36035953684</v>
      </c>
      <c r="G599" s="51" t="n">
        <f aca="false">'Z5 Ikana-Nkangamo'!$B$8-E599</f>
        <v>148.81</v>
      </c>
      <c r="H599" s="52" t="n">
        <f aca="false">F599-E599</f>
        <v>132.170359536844</v>
      </c>
      <c r="I599" s="52" t="n">
        <f aca="false">MAX(H599,G599)</f>
        <v>148.81</v>
      </c>
      <c r="J599" s="4" t="str">
        <f aca="false">IFERROR("PN"&amp;SMALL(PN_list,COUNTIF(PN_list,"&lt;"&amp;I599*bar_per_m)+1),"&gt; max PN")</f>
        <v>PN16</v>
      </c>
      <c r="K599" s="4" t="str">
        <f aca="false">IF(L599="no","end at tank",IF(H599&lt;0,"NEGATIVE",IF(H599&lt;p_min-0.005,"low","OK")))</f>
        <v>OK</v>
      </c>
      <c r="L599" s="4" t="s">
        <v>414</v>
      </c>
    </row>
    <row r="600" customFormat="false" ht="15" hidden="false" customHeight="false" outlineLevel="0" collapsed="false">
      <c r="A600" s="4" t="s">
        <v>42</v>
      </c>
      <c r="B600" s="4" t="s">
        <v>368</v>
      </c>
      <c r="C600" s="47" t="n">
        <v>9055.41</v>
      </c>
      <c r="D600" s="48" t="n">
        <v>1518.55</v>
      </c>
      <c r="E600" s="49" t="n">
        <f aca="false">D600-cover</f>
        <v>1517.35</v>
      </c>
      <c r="F600" s="50" t="n">
        <f aca="false">'Z5 Ikana-Nkangamo'!S12-'Z5 Ikana-Nkangamo'!P12*C600/'Z5 Ikana-Nkangamo'!G12</f>
        <v>1651.29401472161</v>
      </c>
      <c r="G600" s="51" t="n">
        <f aca="false">'Z5 Ikana-Nkangamo'!$B$8-E600</f>
        <v>150.65</v>
      </c>
      <c r="H600" s="52" t="n">
        <f aca="false">F600-E600</f>
        <v>133.944014721608</v>
      </c>
      <c r="I600" s="52" t="n">
        <f aca="false">MAX(H600,G600)</f>
        <v>150.65</v>
      </c>
      <c r="J600" s="4" t="str">
        <f aca="false">IFERROR("PN"&amp;SMALL(PN_list,COUNTIF(PN_list,"&lt;"&amp;I600*bar_per_m)+1),"&gt; max PN")</f>
        <v>PN16</v>
      </c>
      <c r="K600" s="4" t="str">
        <f aca="false">IF(L600="no","end at tank",IF(H600&lt;0,"NEGATIVE",IF(H600&lt;p_min-0.005,"low","OK")))</f>
        <v>OK</v>
      </c>
      <c r="L600" s="4" t="s">
        <v>414</v>
      </c>
    </row>
    <row r="601" customFormat="false" ht="15" hidden="false" customHeight="false" outlineLevel="0" collapsed="false">
      <c r="A601" s="4" t="s">
        <v>42</v>
      </c>
      <c r="B601" s="4" t="s">
        <v>368</v>
      </c>
      <c r="C601" s="47" t="n">
        <v>9105.44</v>
      </c>
      <c r="D601" s="48" t="n">
        <v>1516.79</v>
      </c>
      <c r="E601" s="49" t="n">
        <f aca="false">D601-cover</f>
        <v>1515.59</v>
      </c>
      <c r="F601" s="50" t="n">
        <f aca="false">'Z5 Ikana-Nkangamo'!S12-'Z5 Ikana-Nkangamo'!P12*C601/'Z5 Ikana-Nkangamo'!G12</f>
        <v>1651.22768316473</v>
      </c>
      <c r="G601" s="51" t="n">
        <f aca="false">'Z5 Ikana-Nkangamo'!$B$8-E601</f>
        <v>152.41</v>
      </c>
      <c r="H601" s="52" t="n">
        <f aca="false">F601-E601</f>
        <v>135.637683164729</v>
      </c>
      <c r="I601" s="52" t="n">
        <f aca="false">MAX(H601,G601)</f>
        <v>152.41</v>
      </c>
      <c r="J601" s="4" t="str">
        <f aca="false">IFERROR("PN"&amp;SMALL(PN_list,COUNTIF(PN_list,"&lt;"&amp;I601*bar_per_m)+1),"&gt; max PN")</f>
        <v>PN16</v>
      </c>
      <c r="K601" s="4" t="str">
        <f aca="false">IF(L601="no","end at tank",IF(H601&lt;0,"NEGATIVE",IF(H601&lt;p_min-0.005,"low","OK")))</f>
        <v>OK</v>
      </c>
      <c r="L601" s="4" t="s">
        <v>414</v>
      </c>
    </row>
    <row r="602" customFormat="false" ht="15" hidden="false" customHeight="false" outlineLevel="0" collapsed="false">
      <c r="A602" s="4" t="s">
        <v>42</v>
      </c>
      <c r="B602" s="4" t="s">
        <v>368</v>
      </c>
      <c r="C602" s="47" t="n">
        <v>9155.48</v>
      </c>
      <c r="D602" s="48" t="n">
        <v>1514.82</v>
      </c>
      <c r="E602" s="49" t="n">
        <f aca="false">D602-cover</f>
        <v>1513.62</v>
      </c>
      <c r="F602" s="50" t="n">
        <f aca="false">'Z5 Ikana-Nkangamo'!S12-'Z5 Ikana-Nkangamo'!P12*C602/'Z5 Ikana-Nkangamo'!G12</f>
        <v>1651.16133834949</v>
      </c>
      <c r="G602" s="51" t="n">
        <f aca="false">'Z5 Ikana-Nkangamo'!$B$8-E602</f>
        <v>154.38</v>
      </c>
      <c r="H602" s="52" t="n">
        <f aca="false">F602-E602</f>
        <v>137.541338349494</v>
      </c>
      <c r="I602" s="52" t="n">
        <f aca="false">MAX(H602,G602)</f>
        <v>154.38</v>
      </c>
      <c r="J602" s="4" t="str">
        <f aca="false">IFERROR("PN"&amp;SMALL(PN_list,COUNTIF(PN_list,"&lt;"&amp;I602*bar_per_m)+1),"&gt; max PN")</f>
        <v>PN16</v>
      </c>
      <c r="K602" s="4" t="str">
        <f aca="false">IF(L602="no","end at tank",IF(H602&lt;0,"NEGATIVE",IF(H602&lt;p_min-0.005,"low","OK")))</f>
        <v>OK</v>
      </c>
      <c r="L602" s="4" t="s">
        <v>414</v>
      </c>
    </row>
    <row r="603" customFormat="false" ht="15" hidden="false" customHeight="false" outlineLevel="0" collapsed="false">
      <c r="A603" s="4" t="s">
        <v>42</v>
      </c>
      <c r="B603" s="4" t="s">
        <v>368</v>
      </c>
      <c r="C603" s="47" t="n">
        <v>9205.51</v>
      </c>
      <c r="D603" s="48" t="n">
        <v>1513.02</v>
      </c>
      <c r="E603" s="49" t="n">
        <f aca="false">D603-cover</f>
        <v>1511.82</v>
      </c>
      <c r="F603" s="50" t="n">
        <f aca="false">'Z5 Ikana-Nkangamo'!S12-'Z5 Ikana-Nkangamo'!P12*C603/'Z5 Ikana-Nkangamo'!G12</f>
        <v>1651.09500679261</v>
      </c>
      <c r="G603" s="51" t="n">
        <f aca="false">'Z5 Ikana-Nkangamo'!$B$8-E603</f>
        <v>156.18</v>
      </c>
      <c r="H603" s="52" t="n">
        <f aca="false">F603-E603</f>
        <v>139.275006792615</v>
      </c>
      <c r="I603" s="52" t="n">
        <f aca="false">MAX(H603,G603)</f>
        <v>156.18</v>
      </c>
      <c r="J603" s="4" t="str">
        <f aca="false">IFERROR("PN"&amp;SMALL(PN_list,COUNTIF(PN_list,"&lt;"&amp;I603*bar_per_m)+1),"&gt; max PN")</f>
        <v>PN16</v>
      </c>
      <c r="K603" s="4" t="str">
        <f aca="false">IF(L603="no","end at tank",IF(H603&lt;0,"NEGATIVE",IF(H603&lt;p_min-0.005,"low","OK")))</f>
        <v>OK</v>
      </c>
      <c r="L603" s="4" t="s">
        <v>414</v>
      </c>
    </row>
    <row r="604" customFormat="false" ht="15" hidden="false" customHeight="false" outlineLevel="0" collapsed="false">
      <c r="A604" s="4" t="s">
        <v>42</v>
      </c>
      <c r="B604" s="4" t="s">
        <v>368</v>
      </c>
      <c r="C604" s="47" t="n">
        <v>9255.57</v>
      </c>
      <c r="D604" s="48" t="n">
        <v>1510.65</v>
      </c>
      <c r="E604" s="49" t="n">
        <f aca="false">D604-cover</f>
        <v>1509.45</v>
      </c>
      <c r="F604" s="50" t="n">
        <f aca="false">'Z5 Ikana-Nkangamo'!S12-'Z5 Ikana-Nkangamo'!P12*C604/'Z5 Ikana-Nkangamo'!G12</f>
        <v>1651.02863546067</v>
      </c>
      <c r="G604" s="51" t="n">
        <f aca="false">'Z5 Ikana-Nkangamo'!$B$8-E604</f>
        <v>158.55</v>
      </c>
      <c r="H604" s="52" t="n">
        <f aca="false">F604-E604</f>
        <v>141.578635460667</v>
      </c>
      <c r="I604" s="52" t="n">
        <f aca="false">MAX(H604,G604)</f>
        <v>158.55</v>
      </c>
      <c r="J604" s="4" t="str">
        <f aca="false">IFERROR("PN"&amp;SMALL(PN_list,COUNTIF(PN_list,"&lt;"&amp;I604*bar_per_m)+1),"&gt; max PN")</f>
        <v>PN16</v>
      </c>
      <c r="K604" s="4" t="str">
        <f aca="false">IF(L604="no","end at tank",IF(H604&lt;0,"NEGATIVE",IF(H604&lt;p_min-0.005,"low","OK")))</f>
        <v>OK</v>
      </c>
      <c r="L604" s="4" t="s">
        <v>414</v>
      </c>
    </row>
    <row r="605" customFormat="false" ht="15" hidden="false" customHeight="false" outlineLevel="0" collapsed="false">
      <c r="A605" s="4" t="s">
        <v>42</v>
      </c>
      <c r="B605" s="4" t="s">
        <v>368</v>
      </c>
      <c r="C605" s="47" t="n">
        <v>9305.59</v>
      </c>
      <c r="D605" s="48" t="n">
        <v>1509.18</v>
      </c>
      <c r="E605" s="49" t="n">
        <f aca="false">D605-cover</f>
        <v>1507.98</v>
      </c>
      <c r="F605" s="50" t="n">
        <f aca="false">'Z5 Ikana-Nkangamo'!S12-'Z5 Ikana-Nkangamo'!P12*C605/'Z5 Ikana-Nkangamo'!G12</f>
        <v>1650.96231716214</v>
      </c>
      <c r="G605" s="51" t="n">
        <f aca="false">'Z5 Ikana-Nkangamo'!$B$8-E605</f>
        <v>160.02</v>
      </c>
      <c r="H605" s="52" t="n">
        <f aca="false">F605-E605</f>
        <v>142.982317162144</v>
      </c>
      <c r="I605" s="52" t="n">
        <f aca="false">MAX(H605,G605)</f>
        <v>160.02</v>
      </c>
      <c r="J605" s="4" t="str">
        <f aca="false">IFERROR("PN"&amp;SMALL(PN_list,COUNTIF(PN_list,"&lt;"&amp;I605*bar_per_m)+1),"&gt; max PN")</f>
        <v>PN16</v>
      </c>
      <c r="K605" s="4" t="str">
        <f aca="false">IF(L605="no","end at tank",IF(H605&lt;0,"NEGATIVE",IF(H605&lt;p_min-0.005,"low","OK")))</f>
        <v>OK</v>
      </c>
      <c r="L605" s="4" t="s">
        <v>414</v>
      </c>
    </row>
    <row r="606" customFormat="false" ht="15" hidden="false" customHeight="false" outlineLevel="0" collapsed="false">
      <c r="A606" s="4" t="s">
        <v>42</v>
      </c>
      <c r="B606" s="4" t="s">
        <v>368</v>
      </c>
      <c r="C606" s="47" t="n">
        <v>9355.59</v>
      </c>
      <c r="D606" s="48" t="n">
        <v>1508.49</v>
      </c>
      <c r="E606" s="49" t="n">
        <f aca="false">D606-cover</f>
        <v>1507.29</v>
      </c>
      <c r="F606" s="50" t="n">
        <f aca="false">'Z5 Ikana-Nkangamo'!S12-'Z5 Ikana-Nkangamo'!P12*C606/'Z5 Ikana-Nkangamo'!G12</f>
        <v>1650.89602538033</v>
      </c>
      <c r="G606" s="51" t="n">
        <f aca="false">'Z5 Ikana-Nkangamo'!$B$8-E606</f>
        <v>160.71</v>
      </c>
      <c r="H606" s="52" t="n">
        <f aca="false">F606-E606</f>
        <v>143.606025380334</v>
      </c>
      <c r="I606" s="52" t="n">
        <f aca="false">MAX(H606,G606)</f>
        <v>160.71</v>
      </c>
      <c r="J606" s="4" t="str">
        <f aca="false">IFERROR("PN"&amp;SMALL(PN_list,COUNTIF(PN_list,"&lt;"&amp;I606*bar_per_m)+1),"&gt; max PN")</f>
        <v>PN16</v>
      </c>
      <c r="K606" s="4" t="str">
        <f aca="false">IF(L606="no","end at tank",IF(H606&lt;0,"NEGATIVE",IF(H606&lt;p_min-0.005,"low","OK")))</f>
        <v>OK</v>
      </c>
      <c r="L606" s="4" t="s">
        <v>414</v>
      </c>
    </row>
    <row r="607" customFormat="false" ht="15" hidden="false" customHeight="false" outlineLevel="0" collapsed="false">
      <c r="A607" s="4" t="s">
        <v>42</v>
      </c>
      <c r="B607" s="4" t="s">
        <v>368</v>
      </c>
      <c r="C607" s="47" t="n">
        <v>9405.6</v>
      </c>
      <c r="D607" s="48" t="n">
        <v>1507.63</v>
      </c>
      <c r="E607" s="49" t="n">
        <f aca="false">D607-cover</f>
        <v>1506.43</v>
      </c>
      <c r="F607" s="50" t="n">
        <f aca="false">'Z5 Ikana-Nkangamo'!S12-'Z5 Ikana-Nkangamo'!P12*C607/'Z5 Ikana-Nkangamo'!G12</f>
        <v>1650.82972034017</v>
      </c>
      <c r="G607" s="51" t="n">
        <f aca="false">'Z5 Ikana-Nkangamo'!$B$8-E607</f>
        <v>161.57</v>
      </c>
      <c r="H607" s="52" t="n">
        <f aca="false">F607-E607</f>
        <v>144.399720340168</v>
      </c>
      <c r="I607" s="52" t="n">
        <f aca="false">MAX(H607,G607)</f>
        <v>161.57</v>
      </c>
      <c r="J607" s="4" t="str">
        <f aca="false">IFERROR("PN"&amp;SMALL(PN_list,COUNTIF(PN_list,"&lt;"&amp;I607*bar_per_m)+1),"&gt; max PN")</f>
        <v>PN16</v>
      </c>
      <c r="K607" s="4" t="str">
        <f aca="false">IF(L607="no","end at tank",IF(H607&lt;0,"NEGATIVE",IF(H607&lt;p_min-0.005,"low","OK")))</f>
        <v>OK</v>
      </c>
      <c r="L607" s="4" t="s">
        <v>414</v>
      </c>
    </row>
    <row r="608" customFormat="false" ht="15" hidden="false" customHeight="false" outlineLevel="0" collapsed="false">
      <c r="A608" s="4" t="s">
        <v>42</v>
      </c>
      <c r="B608" s="4" t="s">
        <v>368</v>
      </c>
      <c r="C608" s="47" t="n">
        <v>9455.61</v>
      </c>
      <c r="D608" s="48" t="n">
        <v>1506.52</v>
      </c>
      <c r="E608" s="49" t="n">
        <f aca="false">D608-cover</f>
        <v>1505.32</v>
      </c>
      <c r="F608" s="50" t="n">
        <f aca="false">'Z5 Ikana-Nkangamo'!S12-'Z5 Ikana-Nkangamo'!P12*C608/'Z5 Ikana-Nkangamo'!G12</f>
        <v>1650.7634153</v>
      </c>
      <c r="G608" s="51" t="n">
        <f aca="false">'Z5 Ikana-Nkangamo'!$B$8-E608</f>
        <v>162.68</v>
      </c>
      <c r="H608" s="52" t="n">
        <f aca="false">F608-E608</f>
        <v>145.443415300002</v>
      </c>
      <c r="I608" s="52" t="n">
        <f aca="false">MAX(H608,G608)</f>
        <v>162.68</v>
      </c>
      <c r="J608" s="4" t="str">
        <f aca="false">IFERROR("PN"&amp;SMALL(PN_list,COUNTIF(PN_list,"&lt;"&amp;I608*bar_per_m)+1),"&gt; max PN")</f>
        <v>PN16</v>
      </c>
      <c r="K608" s="4" t="str">
        <f aca="false">IF(L608="no","end at tank",IF(H608&lt;0,"NEGATIVE",IF(H608&lt;p_min-0.005,"low","OK")))</f>
        <v>OK</v>
      </c>
      <c r="L608" s="4" t="s">
        <v>414</v>
      </c>
    </row>
    <row r="609" customFormat="false" ht="15" hidden="false" customHeight="false" outlineLevel="0" collapsed="false">
      <c r="A609" s="4" t="s">
        <v>42</v>
      </c>
      <c r="B609" s="4" t="s">
        <v>368</v>
      </c>
      <c r="C609" s="47" t="n">
        <v>9505.61</v>
      </c>
      <c r="D609" s="48" t="n">
        <v>1506.7</v>
      </c>
      <c r="E609" s="49" t="n">
        <f aca="false">D609-cover</f>
        <v>1505.5</v>
      </c>
      <c r="F609" s="50" t="n">
        <f aca="false">'Z5 Ikana-Nkangamo'!S12-'Z5 Ikana-Nkangamo'!P12*C609/'Z5 Ikana-Nkangamo'!G12</f>
        <v>1650.69712351819</v>
      </c>
      <c r="G609" s="51" t="n">
        <f aca="false">'Z5 Ikana-Nkangamo'!$B$8-E609</f>
        <v>162.5</v>
      </c>
      <c r="H609" s="52" t="n">
        <f aca="false">F609-E609</f>
        <v>145.197123518192</v>
      </c>
      <c r="I609" s="52" t="n">
        <f aca="false">MAX(H609,G609)</f>
        <v>162.5</v>
      </c>
      <c r="J609" s="4" t="str">
        <f aca="false">IFERROR("PN"&amp;SMALL(PN_list,COUNTIF(PN_list,"&lt;"&amp;I609*bar_per_m)+1),"&gt; max PN")</f>
        <v>PN16</v>
      </c>
      <c r="K609" s="4" t="str">
        <f aca="false">IF(L609="no","end at tank",IF(H609&lt;0,"NEGATIVE",IF(H609&lt;p_min-0.005,"low","OK")))</f>
        <v>OK</v>
      </c>
      <c r="L609" s="4" t="s">
        <v>414</v>
      </c>
    </row>
    <row r="610" customFormat="false" ht="15" hidden="false" customHeight="false" outlineLevel="0" collapsed="false">
      <c r="A610" s="4" t="s">
        <v>42</v>
      </c>
      <c r="B610" s="4" t="s">
        <v>368</v>
      </c>
      <c r="C610" s="47" t="n">
        <v>9555.61</v>
      </c>
      <c r="D610" s="48" t="n">
        <v>1506.53</v>
      </c>
      <c r="E610" s="49" t="n">
        <f aca="false">D610-cover</f>
        <v>1505.33</v>
      </c>
      <c r="F610" s="50" t="n">
        <f aca="false">'Z5 Ikana-Nkangamo'!S12-'Z5 Ikana-Nkangamo'!P12*C610/'Z5 Ikana-Nkangamo'!G12</f>
        <v>1650.63083173638</v>
      </c>
      <c r="G610" s="51" t="n">
        <f aca="false">'Z5 Ikana-Nkangamo'!$B$8-E610</f>
        <v>162.67</v>
      </c>
      <c r="H610" s="52" t="n">
        <f aca="false">F610-E610</f>
        <v>145.300831736382</v>
      </c>
      <c r="I610" s="52" t="n">
        <f aca="false">MAX(H610,G610)</f>
        <v>162.67</v>
      </c>
      <c r="J610" s="4" t="str">
        <f aca="false">IFERROR("PN"&amp;SMALL(PN_list,COUNTIF(PN_list,"&lt;"&amp;I610*bar_per_m)+1),"&gt; max PN")</f>
        <v>PN16</v>
      </c>
      <c r="K610" s="4" t="str">
        <f aca="false">IF(L610="no","end at tank",IF(H610&lt;0,"NEGATIVE",IF(H610&lt;p_min-0.005,"low","OK")))</f>
        <v>OK</v>
      </c>
      <c r="L610" s="4" t="s">
        <v>414</v>
      </c>
    </row>
    <row r="611" customFormat="false" ht="15" hidden="false" customHeight="false" outlineLevel="0" collapsed="false">
      <c r="A611" s="4" t="s">
        <v>42</v>
      </c>
      <c r="B611" s="4" t="s">
        <v>368</v>
      </c>
      <c r="C611" s="47" t="n">
        <v>9605.61</v>
      </c>
      <c r="D611" s="48" t="n">
        <v>1506.39</v>
      </c>
      <c r="E611" s="49" t="n">
        <f aca="false">D611-cover</f>
        <v>1505.19</v>
      </c>
      <c r="F611" s="50" t="n">
        <f aca="false">'Z5 Ikana-Nkangamo'!S12-'Z5 Ikana-Nkangamo'!P12*C611/'Z5 Ikana-Nkangamo'!G12</f>
        <v>1650.56453995457</v>
      </c>
      <c r="G611" s="51" t="n">
        <f aca="false">'Z5 Ikana-Nkangamo'!$B$8-E611</f>
        <v>162.81</v>
      </c>
      <c r="H611" s="52" t="n">
        <f aca="false">F611-E611</f>
        <v>145.374539954572</v>
      </c>
      <c r="I611" s="52" t="n">
        <f aca="false">MAX(H611,G611)</f>
        <v>162.81</v>
      </c>
      <c r="J611" s="4" t="str">
        <f aca="false">IFERROR("PN"&amp;SMALL(PN_list,COUNTIF(PN_list,"&lt;"&amp;I611*bar_per_m)+1),"&gt; max PN")</f>
        <v>PN16</v>
      </c>
      <c r="K611" s="4" t="str">
        <f aca="false">IF(L611="no","end at tank",IF(H611&lt;0,"NEGATIVE",IF(H611&lt;p_min-0.005,"low","OK")))</f>
        <v>OK</v>
      </c>
      <c r="L611" s="4" t="s">
        <v>414</v>
      </c>
    </row>
    <row r="612" customFormat="false" ht="15" hidden="false" customHeight="false" outlineLevel="0" collapsed="false">
      <c r="A612" s="4" t="s">
        <v>42</v>
      </c>
      <c r="B612" s="4" t="s">
        <v>368</v>
      </c>
      <c r="C612" s="47" t="n">
        <v>9655.61</v>
      </c>
      <c r="D612" s="48" t="n">
        <v>1506.78</v>
      </c>
      <c r="E612" s="49" t="n">
        <f aca="false">D612-cover</f>
        <v>1505.58</v>
      </c>
      <c r="F612" s="50" t="n">
        <f aca="false">'Z5 Ikana-Nkangamo'!S12-'Z5 Ikana-Nkangamo'!P12*C612/'Z5 Ikana-Nkangamo'!G12</f>
        <v>1650.49824817276</v>
      </c>
      <c r="G612" s="51" t="n">
        <f aca="false">'Z5 Ikana-Nkangamo'!$B$8-E612</f>
        <v>162.42</v>
      </c>
      <c r="H612" s="52" t="n">
        <f aca="false">F612-E612</f>
        <v>144.918248172762</v>
      </c>
      <c r="I612" s="52" t="n">
        <f aca="false">MAX(H612,G612)</f>
        <v>162.42</v>
      </c>
      <c r="J612" s="4" t="str">
        <f aca="false">IFERROR("PN"&amp;SMALL(PN_list,COUNTIF(PN_list,"&lt;"&amp;I612*bar_per_m)+1),"&gt; max PN")</f>
        <v>PN16</v>
      </c>
      <c r="K612" s="4" t="str">
        <f aca="false">IF(L612="no","end at tank",IF(H612&lt;0,"NEGATIVE",IF(H612&lt;p_min-0.005,"low","OK")))</f>
        <v>OK</v>
      </c>
      <c r="L612" s="4" t="s">
        <v>414</v>
      </c>
    </row>
    <row r="613" customFormat="false" ht="15" hidden="false" customHeight="false" outlineLevel="0" collapsed="false">
      <c r="A613" s="4" t="s">
        <v>42</v>
      </c>
      <c r="B613" s="4" t="s">
        <v>368</v>
      </c>
      <c r="C613" s="47" t="n">
        <v>9705.61</v>
      </c>
      <c r="D613" s="48" t="n">
        <v>1506.75</v>
      </c>
      <c r="E613" s="49" t="n">
        <f aca="false">D613-cover</f>
        <v>1505.55</v>
      </c>
      <c r="F613" s="50" t="n">
        <f aca="false">'Z5 Ikana-Nkangamo'!S12-'Z5 Ikana-Nkangamo'!P12*C613/'Z5 Ikana-Nkangamo'!G12</f>
        <v>1650.43195639095</v>
      </c>
      <c r="G613" s="51" t="n">
        <f aca="false">'Z5 Ikana-Nkangamo'!$B$8-E613</f>
        <v>162.45</v>
      </c>
      <c r="H613" s="52" t="n">
        <f aca="false">F613-E613</f>
        <v>144.881956390952</v>
      </c>
      <c r="I613" s="52" t="n">
        <f aca="false">MAX(H613,G613)</f>
        <v>162.45</v>
      </c>
      <c r="J613" s="4" t="str">
        <f aca="false">IFERROR("PN"&amp;SMALL(PN_list,COUNTIF(PN_list,"&lt;"&amp;I613*bar_per_m)+1),"&gt; max PN")</f>
        <v>PN16</v>
      </c>
      <c r="K613" s="4" t="str">
        <f aca="false">IF(L613="no","end at tank",IF(H613&lt;0,"NEGATIVE",IF(H613&lt;p_min-0.005,"low","OK")))</f>
        <v>OK</v>
      </c>
      <c r="L613" s="4" t="s">
        <v>414</v>
      </c>
    </row>
    <row r="614" customFormat="false" ht="15" hidden="false" customHeight="false" outlineLevel="0" collapsed="false">
      <c r="A614" s="4" t="s">
        <v>42</v>
      </c>
      <c r="B614" s="4" t="s">
        <v>368</v>
      </c>
      <c r="C614" s="47" t="n">
        <v>9755.6</v>
      </c>
      <c r="D614" s="48" t="n">
        <v>1506.97</v>
      </c>
      <c r="E614" s="49" t="n">
        <f aca="false">D614-cover</f>
        <v>1505.77</v>
      </c>
      <c r="F614" s="50" t="n">
        <f aca="false">'Z5 Ikana-Nkangamo'!S12-'Z5 Ikana-Nkangamo'!P12*C614/'Z5 Ikana-Nkangamo'!G12</f>
        <v>1650.3656778675</v>
      </c>
      <c r="G614" s="51" t="n">
        <f aca="false">'Z5 Ikana-Nkangamo'!$B$8-E614</f>
        <v>162.23</v>
      </c>
      <c r="H614" s="52" t="n">
        <f aca="false">F614-E614</f>
        <v>144.595677867498</v>
      </c>
      <c r="I614" s="52" t="n">
        <f aca="false">MAX(H614,G614)</f>
        <v>162.23</v>
      </c>
      <c r="J614" s="4" t="str">
        <f aca="false">IFERROR("PN"&amp;SMALL(PN_list,COUNTIF(PN_list,"&lt;"&amp;I614*bar_per_m)+1),"&gt; max PN")</f>
        <v>PN16</v>
      </c>
      <c r="K614" s="4" t="str">
        <f aca="false">IF(L614="no","end at tank",IF(H614&lt;0,"NEGATIVE",IF(H614&lt;p_min-0.005,"low","OK")))</f>
        <v>OK</v>
      </c>
      <c r="L614" s="4" t="s">
        <v>414</v>
      </c>
    </row>
    <row r="615" customFormat="false" ht="15" hidden="false" customHeight="false" outlineLevel="0" collapsed="false">
      <c r="A615" s="4" t="s">
        <v>42</v>
      </c>
      <c r="B615" s="4" t="s">
        <v>368</v>
      </c>
      <c r="C615" s="47" t="n">
        <v>9805.61</v>
      </c>
      <c r="D615" s="48" t="n">
        <v>1506.36</v>
      </c>
      <c r="E615" s="49" t="n">
        <f aca="false">D615-cover</f>
        <v>1505.16</v>
      </c>
      <c r="F615" s="50" t="n">
        <f aca="false">'Z5 Ikana-Nkangamo'!S12-'Z5 Ikana-Nkangamo'!P12*C615/'Z5 Ikana-Nkangamo'!G12</f>
        <v>1650.29937282733</v>
      </c>
      <c r="G615" s="51" t="n">
        <f aca="false">'Z5 Ikana-Nkangamo'!$B$8-E615</f>
        <v>162.84</v>
      </c>
      <c r="H615" s="52" t="n">
        <f aca="false">F615-E615</f>
        <v>145.139372827332</v>
      </c>
      <c r="I615" s="52" t="n">
        <f aca="false">MAX(H615,G615)</f>
        <v>162.84</v>
      </c>
      <c r="J615" s="4" t="str">
        <f aca="false">IFERROR("PN"&amp;SMALL(PN_list,COUNTIF(PN_list,"&lt;"&amp;I615*bar_per_m)+1),"&gt; max PN")</f>
        <v>PN16</v>
      </c>
      <c r="K615" s="4" t="str">
        <f aca="false">IF(L615="no","end at tank",IF(H615&lt;0,"NEGATIVE",IF(H615&lt;p_min-0.005,"low","OK")))</f>
        <v>OK</v>
      </c>
      <c r="L615" s="4" t="s">
        <v>414</v>
      </c>
    </row>
    <row r="616" customFormat="false" ht="15" hidden="false" customHeight="false" outlineLevel="0" collapsed="false">
      <c r="A616" s="4" t="s">
        <v>42</v>
      </c>
      <c r="B616" s="4" t="s">
        <v>368</v>
      </c>
      <c r="C616" s="47" t="n">
        <v>9855.61</v>
      </c>
      <c r="D616" s="48" t="n">
        <v>1506.26</v>
      </c>
      <c r="E616" s="49" t="n">
        <f aca="false">D616-cover</f>
        <v>1505.06</v>
      </c>
      <c r="F616" s="50" t="n">
        <f aca="false">'Z5 Ikana-Nkangamo'!S12-'Z5 Ikana-Nkangamo'!P12*C616/'Z5 Ikana-Nkangamo'!G12</f>
        <v>1650.23308104552</v>
      </c>
      <c r="G616" s="51" t="n">
        <f aca="false">'Z5 Ikana-Nkangamo'!$B$8-E616</f>
        <v>162.94</v>
      </c>
      <c r="H616" s="52" t="n">
        <f aca="false">F616-E616</f>
        <v>145.173081045522</v>
      </c>
      <c r="I616" s="52" t="n">
        <f aca="false">MAX(H616,G616)</f>
        <v>162.94</v>
      </c>
      <c r="J616" s="4" t="str">
        <f aca="false">IFERROR("PN"&amp;SMALL(PN_list,COUNTIF(PN_list,"&lt;"&amp;I616*bar_per_m)+1),"&gt; max PN")</f>
        <v>PN16</v>
      </c>
      <c r="K616" s="4" t="str">
        <f aca="false">IF(L616="no","end at tank",IF(H616&lt;0,"NEGATIVE",IF(H616&lt;p_min-0.005,"low","OK")))</f>
        <v>OK</v>
      </c>
      <c r="L616" s="4" t="s">
        <v>414</v>
      </c>
    </row>
    <row r="617" customFormat="false" ht="15" hidden="false" customHeight="false" outlineLevel="0" collapsed="false">
      <c r="A617" s="4" t="s">
        <v>42</v>
      </c>
      <c r="B617" s="4" t="s">
        <v>368</v>
      </c>
      <c r="C617" s="47" t="n">
        <v>9905.61</v>
      </c>
      <c r="D617" s="48" t="n">
        <v>1506.46</v>
      </c>
      <c r="E617" s="49" t="n">
        <f aca="false">D617-cover</f>
        <v>1505.26</v>
      </c>
      <c r="F617" s="50" t="n">
        <f aca="false">'Z5 Ikana-Nkangamo'!S12-'Z5 Ikana-Nkangamo'!P12*C617/'Z5 Ikana-Nkangamo'!G12</f>
        <v>1650.16678926371</v>
      </c>
      <c r="G617" s="51" t="n">
        <f aca="false">'Z5 Ikana-Nkangamo'!$B$8-E617</f>
        <v>162.74</v>
      </c>
      <c r="H617" s="52" t="n">
        <f aca="false">F617-E617</f>
        <v>144.906789263712</v>
      </c>
      <c r="I617" s="52" t="n">
        <f aca="false">MAX(H617,G617)</f>
        <v>162.74</v>
      </c>
      <c r="J617" s="4" t="str">
        <f aca="false">IFERROR("PN"&amp;SMALL(PN_list,COUNTIF(PN_list,"&lt;"&amp;I617*bar_per_m)+1),"&gt; max PN")</f>
        <v>PN16</v>
      </c>
      <c r="K617" s="4" t="str">
        <f aca="false">IF(L617="no","end at tank",IF(H617&lt;0,"NEGATIVE",IF(H617&lt;p_min-0.005,"low","OK")))</f>
        <v>OK</v>
      </c>
      <c r="L617" s="4" t="s">
        <v>414</v>
      </c>
    </row>
    <row r="618" customFormat="false" ht="15" hidden="false" customHeight="false" outlineLevel="0" collapsed="false">
      <c r="A618" s="4" t="s">
        <v>42</v>
      </c>
      <c r="B618" s="4" t="s">
        <v>368</v>
      </c>
      <c r="C618" s="47" t="n">
        <v>9955.61</v>
      </c>
      <c r="D618" s="48" t="n">
        <v>1505.88</v>
      </c>
      <c r="E618" s="49" t="n">
        <f aca="false">D618-cover</f>
        <v>1504.68</v>
      </c>
      <c r="F618" s="50" t="n">
        <f aca="false">'Z5 Ikana-Nkangamo'!S12-'Z5 Ikana-Nkangamo'!P12*C618/'Z5 Ikana-Nkangamo'!G12</f>
        <v>1650.1004974819</v>
      </c>
      <c r="G618" s="51" t="n">
        <f aca="false">'Z5 Ikana-Nkangamo'!$B$8-E618</f>
        <v>163.32</v>
      </c>
      <c r="H618" s="52" t="n">
        <f aca="false">F618-E618</f>
        <v>145.420497481902</v>
      </c>
      <c r="I618" s="52" t="n">
        <f aca="false">MAX(H618,G618)</f>
        <v>163.32</v>
      </c>
      <c r="J618" s="4" t="str">
        <f aca="false">IFERROR("PN"&amp;SMALL(PN_list,COUNTIF(PN_list,"&lt;"&amp;I618*bar_per_m)+1),"&gt; max PN")</f>
        <v>PN25</v>
      </c>
      <c r="K618" s="4" t="str">
        <f aca="false">IF(L618="no","end at tank",IF(H618&lt;0,"NEGATIVE",IF(H618&lt;p_min-0.005,"low","OK")))</f>
        <v>OK</v>
      </c>
      <c r="L618" s="4" t="s">
        <v>414</v>
      </c>
    </row>
    <row r="619" customFormat="false" ht="15" hidden="false" customHeight="false" outlineLevel="0" collapsed="false">
      <c r="A619" s="4" t="s">
        <v>42</v>
      </c>
      <c r="B619" s="4" t="s">
        <v>368</v>
      </c>
      <c r="C619" s="47" t="n">
        <v>10005.61</v>
      </c>
      <c r="D619" s="48" t="n">
        <v>1506.2</v>
      </c>
      <c r="E619" s="49" t="n">
        <f aca="false">D619-cover</f>
        <v>1505</v>
      </c>
      <c r="F619" s="50" t="n">
        <f aca="false">'Z5 Ikana-Nkangamo'!S12-'Z5 Ikana-Nkangamo'!P12*C619/'Z5 Ikana-Nkangamo'!G12</f>
        <v>1650.03420570009</v>
      </c>
      <c r="G619" s="51" t="n">
        <f aca="false">'Z5 Ikana-Nkangamo'!$B$8-E619</f>
        <v>163</v>
      </c>
      <c r="H619" s="52" t="n">
        <f aca="false">F619-E619</f>
        <v>145.034205700092</v>
      </c>
      <c r="I619" s="52" t="n">
        <f aca="false">MAX(H619,G619)</f>
        <v>163</v>
      </c>
      <c r="J619" s="4" t="str">
        <f aca="false">IFERROR("PN"&amp;SMALL(PN_list,COUNTIF(PN_list,"&lt;"&amp;I619*bar_per_m)+1),"&gt; max PN")</f>
        <v>PN16</v>
      </c>
      <c r="K619" s="4" t="str">
        <f aca="false">IF(L619="no","end at tank",IF(H619&lt;0,"NEGATIVE",IF(H619&lt;p_min-0.005,"low","OK")))</f>
        <v>OK</v>
      </c>
      <c r="L619" s="4" t="s">
        <v>414</v>
      </c>
    </row>
    <row r="620" customFormat="false" ht="15" hidden="false" customHeight="false" outlineLevel="0" collapsed="false">
      <c r="A620" s="4" t="s">
        <v>42</v>
      </c>
      <c r="B620" s="4" t="s">
        <v>368</v>
      </c>
      <c r="C620" s="47" t="n">
        <v>10055.61</v>
      </c>
      <c r="D620" s="48" t="n">
        <v>1506.39</v>
      </c>
      <c r="E620" s="49" t="n">
        <f aca="false">D620-cover</f>
        <v>1505.19</v>
      </c>
      <c r="F620" s="50" t="n">
        <f aca="false">'Z5 Ikana-Nkangamo'!S12-'Z5 Ikana-Nkangamo'!P12*C620/'Z5 Ikana-Nkangamo'!G12</f>
        <v>1649.96791391828</v>
      </c>
      <c r="G620" s="51" t="n">
        <f aca="false">'Z5 Ikana-Nkangamo'!$B$8-E620</f>
        <v>162.81</v>
      </c>
      <c r="H620" s="52" t="n">
        <f aca="false">F620-E620</f>
        <v>144.777913918282</v>
      </c>
      <c r="I620" s="52" t="n">
        <f aca="false">MAX(H620,G620)</f>
        <v>162.81</v>
      </c>
      <c r="J620" s="4" t="str">
        <f aca="false">IFERROR("PN"&amp;SMALL(PN_list,COUNTIF(PN_list,"&lt;"&amp;I620*bar_per_m)+1),"&gt; max PN")</f>
        <v>PN16</v>
      </c>
      <c r="K620" s="4" t="str">
        <f aca="false">IF(L620="no","end at tank",IF(H620&lt;0,"NEGATIVE",IF(H620&lt;p_min-0.005,"low","OK")))</f>
        <v>OK</v>
      </c>
      <c r="L620" s="4" t="s">
        <v>414</v>
      </c>
    </row>
    <row r="621" customFormat="false" ht="15" hidden="false" customHeight="false" outlineLevel="0" collapsed="false">
      <c r="A621" s="4" t="s">
        <v>42</v>
      </c>
      <c r="B621" s="4" t="s">
        <v>368</v>
      </c>
      <c r="C621" s="47" t="n">
        <v>10105.61</v>
      </c>
      <c r="D621" s="48" t="n">
        <v>1506.72</v>
      </c>
      <c r="E621" s="49" t="n">
        <f aca="false">D621-cover</f>
        <v>1505.52</v>
      </c>
      <c r="F621" s="50" t="n">
        <f aca="false">'Z5 Ikana-Nkangamo'!S12-'Z5 Ikana-Nkangamo'!P12*C621/'Z5 Ikana-Nkangamo'!G12</f>
        <v>1649.90162213647</v>
      </c>
      <c r="G621" s="51" t="n">
        <f aca="false">'Z5 Ikana-Nkangamo'!$B$8-E621</f>
        <v>162.48</v>
      </c>
      <c r="H621" s="52" t="n">
        <f aca="false">F621-E621</f>
        <v>144.381622136472</v>
      </c>
      <c r="I621" s="52" t="n">
        <f aca="false">MAX(H621,G621)</f>
        <v>162.48</v>
      </c>
      <c r="J621" s="4" t="str">
        <f aca="false">IFERROR("PN"&amp;SMALL(PN_list,COUNTIF(PN_list,"&lt;"&amp;I621*bar_per_m)+1),"&gt; max PN")</f>
        <v>PN16</v>
      </c>
      <c r="K621" s="4" t="str">
        <f aca="false">IF(L621="no","end at tank",IF(H621&lt;0,"NEGATIVE",IF(H621&lt;p_min-0.005,"low","OK")))</f>
        <v>OK</v>
      </c>
      <c r="L621" s="4" t="s">
        <v>414</v>
      </c>
    </row>
    <row r="622" customFormat="false" ht="15" hidden="false" customHeight="false" outlineLevel="0" collapsed="false">
      <c r="A622" s="4" t="s">
        <v>42</v>
      </c>
      <c r="B622" s="4" t="s">
        <v>368</v>
      </c>
      <c r="C622" s="47" t="n">
        <v>10155.62</v>
      </c>
      <c r="D622" s="48" t="n">
        <v>1507.46</v>
      </c>
      <c r="E622" s="49" t="n">
        <f aca="false">D622-cover</f>
        <v>1506.26</v>
      </c>
      <c r="F622" s="50" t="n">
        <f aca="false">'Z5 Ikana-Nkangamo'!S12-'Z5 Ikana-Nkangamo'!P12*C622/'Z5 Ikana-Nkangamo'!G12</f>
        <v>1649.83531709631</v>
      </c>
      <c r="G622" s="51" t="n">
        <f aca="false">'Z5 Ikana-Nkangamo'!$B$8-E622</f>
        <v>161.74</v>
      </c>
      <c r="H622" s="52" t="n">
        <f aca="false">F622-E622</f>
        <v>143.575317096306</v>
      </c>
      <c r="I622" s="52" t="n">
        <f aca="false">MAX(H622,G622)</f>
        <v>161.74</v>
      </c>
      <c r="J622" s="4" t="str">
        <f aca="false">IFERROR("PN"&amp;SMALL(PN_list,COUNTIF(PN_list,"&lt;"&amp;I622*bar_per_m)+1),"&gt; max PN")</f>
        <v>PN16</v>
      </c>
      <c r="K622" s="4" t="str">
        <f aca="false">IF(L622="no","end at tank",IF(H622&lt;0,"NEGATIVE",IF(H622&lt;p_min-0.005,"low","OK")))</f>
        <v>OK</v>
      </c>
      <c r="L622" s="4" t="s">
        <v>414</v>
      </c>
    </row>
    <row r="623" customFormat="false" ht="15" hidden="false" customHeight="false" outlineLevel="0" collapsed="false">
      <c r="A623" s="4" t="s">
        <v>42</v>
      </c>
      <c r="B623" s="4" t="s">
        <v>368</v>
      </c>
      <c r="C623" s="47" t="n">
        <v>10205.62</v>
      </c>
      <c r="D623" s="48" t="n">
        <v>1508.08</v>
      </c>
      <c r="E623" s="49" t="n">
        <f aca="false">D623-cover</f>
        <v>1506.88</v>
      </c>
      <c r="F623" s="50" t="n">
        <f aca="false">'Z5 Ikana-Nkangamo'!S12-'Z5 Ikana-Nkangamo'!P12*C623/'Z5 Ikana-Nkangamo'!G12</f>
        <v>1649.7690253145</v>
      </c>
      <c r="G623" s="51" t="n">
        <f aca="false">'Z5 Ikana-Nkangamo'!$B$8-E623</f>
        <v>161.12</v>
      </c>
      <c r="H623" s="52" t="n">
        <f aca="false">F623-E623</f>
        <v>142.889025314496</v>
      </c>
      <c r="I623" s="52" t="n">
        <f aca="false">MAX(H623,G623)</f>
        <v>161.12</v>
      </c>
      <c r="J623" s="4" t="str">
        <f aca="false">IFERROR("PN"&amp;SMALL(PN_list,COUNTIF(PN_list,"&lt;"&amp;I623*bar_per_m)+1),"&gt; max PN")</f>
        <v>PN16</v>
      </c>
      <c r="K623" s="4" t="str">
        <f aca="false">IF(L623="no","end at tank",IF(H623&lt;0,"NEGATIVE",IF(H623&lt;p_min-0.005,"low","OK")))</f>
        <v>OK</v>
      </c>
      <c r="L623" s="4" t="s">
        <v>414</v>
      </c>
    </row>
    <row r="624" customFormat="false" ht="15" hidden="false" customHeight="false" outlineLevel="0" collapsed="false">
      <c r="A624" s="4" t="s">
        <v>42</v>
      </c>
      <c r="B624" s="4" t="s">
        <v>368</v>
      </c>
      <c r="C624" s="47" t="n">
        <v>10255.62</v>
      </c>
      <c r="D624" s="48" t="n">
        <v>1508.29</v>
      </c>
      <c r="E624" s="49" t="n">
        <f aca="false">D624-cover</f>
        <v>1507.09</v>
      </c>
      <c r="F624" s="50" t="n">
        <f aca="false">'Z5 Ikana-Nkangamo'!S12-'Z5 Ikana-Nkangamo'!P12*C624/'Z5 Ikana-Nkangamo'!G12</f>
        <v>1649.70273353269</v>
      </c>
      <c r="G624" s="51" t="n">
        <f aca="false">'Z5 Ikana-Nkangamo'!$B$8-E624</f>
        <v>160.91</v>
      </c>
      <c r="H624" s="52" t="n">
        <f aca="false">F624-E624</f>
        <v>142.612733532686</v>
      </c>
      <c r="I624" s="52" t="n">
        <f aca="false">MAX(H624,G624)</f>
        <v>160.91</v>
      </c>
      <c r="J624" s="4" t="str">
        <f aca="false">IFERROR("PN"&amp;SMALL(PN_list,COUNTIF(PN_list,"&lt;"&amp;I624*bar_per_m)+1),"&gt; max PN")</f>
        <v>PN16</v>
      </c>
      <c r="K624" s="4" t="str">
        <f aca="false">IF(L624="no","end at tank",IF(H624&lt;0,"NEGATIVE",IF(H624&lt;p_min-0.005,"low","OK")))</f>
        <v>OK</v>
      </c>
      <c r="L624" s="4" t="s">
        <v>414</v>
      </c>
    </row>
    <row r="625" customFormat="false" ht="15" hidden="false" customHeight="false" outlineLevel="0" collapsed="false">
      <c r="A625" s="4" t="s">
        <v>42</v>
      </c>
      <c r="B625" s="4" t="s">
        <v>368</v>
      </c>
      <c r="C625" s="47" t="n">
        <v>10305.63</v>
      </c>
      <c r="D625" s="48" t="n">
        <v>1508.91</v>
      </c>
      <c r="E625" s="49" t="n">
        <f aca="false">D625-cover</f>
        <v>1507.71</v>
      </c>
      <c r="F625" s="50" t="n">
        <f aca="false">'Z5 Ikana-Nkangamo'!S12-'Z5 Ikana-Nkangamo'!P12*C625/'Z5 Ikana-Nkangamo'!G12</f>
        <v>1649.63642849252</v>
      </c>
      <c r="G625" s="51" t="n">
        <f aca="false">'Z5 Ikana-Nkangamo'!$B$8-E625</f>
        <v>160.29</v>
      </c>
      <c r="H625" s="52" t="n">
        <f aca="false">F625-E625</f>
        <v>141.92642849252</v>
      </c>
      <c r="I625" s="52" t="n">
        <f aca="false">MAX(H625,G625)</f>
        <v>160.29</v>
      </c>
      <c r="J625" s="4" t="str">
        <f aca="false">IFERROR("PN"&amp;SMALL(PN_list,COUNTIF(PN_list,"&lt;"&amp;I625*bar_per_m)+1),"&gt; max PN")</f>
        <v>PN16</v>
      </c>
      <c r="K625" s="4" t="str">
        <f aca="false">IF(L625="no","end at tank",IF(H625&lt;0,"NEGATIVE",IF(H625&lt;p_min-0.005,"low","OK")))</f>
        <v>OK</v>
      </c>
      <c r="L625" s="4" t="s">
        <v>414</v>
      </c>
    </row>
    <row r="626" customFormat="false" ht="15" hidden="false" customHeight="false" outlineLevel="0" collapsed="false">
      <c r="A626" s="4" t="s">
        <v>42</v>
      </c>
      <c r="B626" s="4" t="s">
        <v>368</v>
      </c>
      <c r="C626" s="47" t="n">
        <v>10355.64</v>
      </c>
      <c r="D626" s="48" t="n">
        <v>1509.82</v>
      </c>
      <c r="E626" s="49" t="n">
        <f aca="false">D626-cover</f>
        <v>1508.62</v>
      </c>
      <c r="F626" s="50" t="n">
        <f aca="false">'Z5 Ikana-Nkangamo'!S12-'Z5 Ikana-Nkangamo'!P12*C626/'Z5 Ikana-Nkangamo'!G12</f>
        <v>1649.57012345235</v>
      </c>
      <c r="G626" s="51" t="n">
        <f aca="false">'Z5 Ikana-Nkangamo'!$B$8-E626</f>
        <v>159.38</v>
      </c>
      <c r="H626" s="52" t="n">
        <f aca="false">F626-E626</f>
        <v>140.950123452354</v>
      </c>
      <c r="I626" s="52" t="n">
        <f aca="false">MAX(H626,G626)</f>
        <v>159.38</v>
      </c>
      <c r="J626" s="4" t="str">
        <f aca="false">IFERROR("PN"&amp;SMALL(PN_list,COUNTIF(PN_list,"&lt;"&amp;I626*bar_per_m)+1),"&gt; max PN")</f>
        <v>PN16</v>
      </c>
      <c r="K626" s="4" t="str">
        <f aca="false">IF(L626="no","end at tank",IF(H626&lt;0,"NEGATIVE",IF(H626&lt;p_min-0.005,"low","OK")))</f>
        <v>OK</v>
      </c>
      <c r="L626" s="4" t="s">
        <v>414</v>
      </c>
    </row>
    <row r="627" customFormat="false" ht="15" hidden="false" customHeight="false" outlineLevel="0" collapsed="false">
      <c r="A627" s="4" t="s">
        <v>42</v>
      </c>
      <c r="B627" s="4" t="s">
        <v>368</v>
      </c>
      <c r="C627" s="47" t="n">
        <v>10405.64</v>
      </c>
      <c r="D627" s="48" t="n">
        <v>1510.06</v>
      </c>
      <c r="E627" s="49" t="n">
        <f aca="false">D627-cover</f>
        <v>1508.86</v>
      </c>
      <c r="F627" s="50" t="n">
        <f aca="false">'Z5 Ikana-Nkangamo'!S12-'Z5 Ikana-Nkangamo'!P12*C627/'Z5 Ikana-Nkangamo'!G12</f>
        <v>1649.50383167054</v>
      </c>
      <c r="G627" s="51" t="n">
        <f aca="false">'Z5 Ikana-Nkangamo'!$B$8-E627</f>
        <v>159.14</v>
      </c>
      <c r="H627" s="52" t="n">
        <f aca="false">F627-E627</f>
        <v>140.643831670544</v>
      </c>
      <c r="I627" s="52" t="n">
        <f aca="false">MAX(H627,G627)</f>
        <v>159.14</v>
      </c>
      <c r="J627" s="4" t="str">
        <f aca="false">IFERROR("PN"&amp;SMALL(PN_list,COUNTIF(PN_list,"&lt;"&amp;I627*bar_per_m)+1),"&gt; max PN")</f>
        <v>PN16</v>
      </c>
      <c r="K627" s="4" t="str">
        <f aca="false">IF(L627="no","end at tank",IF(H627&lt;0,"NEGATIVE",IF(H627&lt;p_min-0.005,"low","OK")))</f>
        <v>OK</v>
      </c>
      <c r="L627" s="4" t="s">
        <v>414</v>
      </c>
    </row>
    <row r="628" customFormat="false" ht="15" hidden="false" customHeight="false" outlineLevel="0" collapsed="false">
      <c r="A628" s="4" t="s">
        <v>42</v>
      </c>
      <c r="B628" s="4" t="s">
        <v>368</v>
      </c>
      <c r="C628" s="47" t="n">
        <v>10455.64</v>
      </c>
      <c r="D628" s="48" t="n">
        <v>1510.6</v>
      </c>
      <c r="E628" s="49" t="n">
        <f aca="false">D628-cover</f>
        <v>1509.4</v>
      </c>
      <c r="F628" s="50" t="n">
        <f aca="false">'Z5 Ikana-Nkangamo'!S12-'Z5 Ikana-Nkangamo'!P12*C628/'Z5 Ikana-Nkangamo'!G12</f>
        <v>1649.43753988873</v>
      </c>
      <c r="G628" s="51" t="n">
        <f aca="false">'Z5 Ikana-Nkangamo'!$B$8-E628</f>
        <v>158.6</v>
      </c>
      <c r="H628" s="52" t="n">
        <f aca="false">F628-E628</f>
        <v>140.037539888734</v>
      </c>
      <c r="I628" s="52" t="n">
        <f aca="false">MAX(H628,G628)</f>
        <v>158.6</v>
      </c>
      <c r="J628" s="4" t="str">
        <f aca="false">IFERROR("PN"&amp;SMALL(PN_list,COUNTIF(PN_list,"&lt;"&amp;I628*bar_per_m)+1),"&gt; max PN")</f>
        <v>PN16</v>
      </c>
      <c r="K628" s="4" t="str">
        <f aca="false">IF(L628="no","end at tank",IF(H628&lt;0,"NEGATIVE",IF(H628&lt;p_min-0.005,"low","OK")))</f>
        <v>OK</v>
      </c>
      <c r="L628" s="4" t="s">
        <v>414</v>
      </c>
    </row>
    <row r="629" customFormat="false" ht="15" hidden="false" customHeight="false" outlineLevel="0" collapsed="false">
      <c r="A629" s="4" t="s">
        <v>42</v>
      </c>
      <c r="B629" s="4" t="s">
        <v>368</v>
      </c>
      <c r="C629" s="47" t="n">
        <v>10505.64</v>
      </c>
      <c r="D629" s="48" t="n">
        <v>1510.64</v>
      </c>
      <c r="E629" s="49" t="n">
        <f aca="false">D629-cover</f>
        <v>1509.44</v>
      </c>
      <c r="F629" s="50" t="n">
        <f aca="false">'Z5 Ikana-Nkangamo'!S12-'Z5 Ikana-Nkangamo'!P12*C629/'Z5 Ikana-Nkangamo'!G12</f>
        <v>1649.37124810692</v>
      </c>
      <c r="G629" s="51" t="n">
        <f aca="false">'Z5 Ikana-Nkangamo'!$B$8-E629</f>
        <v>158.56</v>
      </c>
      <c r="H629" s="52" t="n">
        <f aca="false">F629-E629</f>
        <v>139.931248106924</v>
      </c>
      <c r="I629" s="52" t="n">
        <f aca="false">MAX(H629,G629)</f>
        <v>158.56</v>
      </c>
      <c r="J629" s="4" t="str">
        <f aca="false">IFERROR("PN"&amp;SMALL(PN_list,COUNTIF(PN_list,"&lt;"&amp;I629*bar_per_m)+1),"&gt; max PN")</f>
        <v>PN16</v>
      </c>
      <c r="K629" s="4" t="str">
        <f aca="false">IF(L629="no","end at tank",IF(H629&lt;0,"NEGATIVE",IF(H629&lt;p_min-0.005,"low","OK")))</f>
        <v>OK</v>
      </c>
      <c r="L629" s="4" t="s">
        <v>414</v>
      </c>
    </row>
    <row r="630" customFormat="false" ht="15" hidden="false" customHeight="false" outlineLevel="0" collapsed="false">
      <c r="A630" s="4" t="s">
        <v>42</v>
      </c>
      <c r="B630" s="4" t="s">
        <v>368</v>
      </c>
      <c r="C630" s="47" t="n">
        <v>10555.64</v>
      </c>
      <c r="D630" s="48" t="n">
        <v>1510.22</v>
      </c>
      <c r="E630" s="49" t="n">
        <f aca="false">D630-cover</f>
        <v>1509.02</v>
      </c>
      <c r="F630" s="50" t="n">
        <f aca="false">'Z5 Ikana-Nkangamo'!S12-'Z5 Ikana-Nkangamo'!P12*C630/'Z5 Ikana-Nkangamo'!G12</f>
        <v>1649.30495632511</v>
      </c>
      <c r="G630" s="51" t="n">
        <f aca="false">'Z5 Ikana-Nkangamo'!$B$8-E630</f>
        <v>158.98</v>
      </c>
      <c r="H630" s="52" t="n">
        <f aca="false">F630-E630</f>
        <v>140.284956325114</v>
      </c>
      <c r="I630" s="52" t="n">
        <f aca="false">MAX(H630,G630)</f>
        <v>158.98</v>
      </c>
      <c r="J630" s="4" t="str">
        <f aca="false">IFERROR("PN"&amp;SMALL(PN_list,COUNTIF(PN_list,"&lt;"&amp;I630*bar_per_m)+1),"&gt; max PN")</f>
        <v>PN16</v>
      </c>
      <c r="K630" s="4" t="str">
        <f aca="false">IF(L630="no","end at tank",IF(H630&lt;0,"NEGATIVE",IF(H630&lt;p_min-0.005,"low","OK")))</f>
        <v>OK</v>
      </c>
      <c r="L630" s="4" t="s">
        <v>414</v>
      </c>
    </row>
    <row r="631" customFormat="false" ht="15" hidden="false" customHeight="false" outlineLevel="0" collapsed="false">
      <c r="A631" s="4" t="s">
        <v>42</v>
      </c>
      <c r="B631" s="4" t="s">
        <v>368</v>
      </c>
      <c r="C631" s="47" t="n">
        <v>10605.65</v>
      </c>
      <c r="D631" s="48" t="n">
        <v>1509.19</v>
      </c>
      <c r="E631" s="49" t="n">
        <f aca="false">D631-cover</f>
        <v>1507.99</v>
      </c>
      <c r="F631" s="50" t="n">
        <f aca="false">'Z5 Ikana-Nkangamo'!S12-'Z5 Ikana-Nkangamo'!P12*C631/'Z5 Ikana-Nkangamo'!G12</f>
        <v>1649.23865128495</v>
      </c>
      <c r="G631" s="51" t="n">
        <f aca="false">'Z5 Ikana-Nkangamo'!$B$8-E631</f>
        <v>160.01</v>
      </c>
      <c r="H631" s="52" t="n">
        <f aca="false">F631-E631</f>
        <v>141.248651284948</v>
      </c>
      <c r="I631" s="52" t="n">
        <f aca="false">MAX(H631,G631)</f>
        <v>160.01</v>
      </c>
      <c r="J631" s="4" t="str">
        <f aca="false">IFERROR("PN"&amp;SMALL(PN_list,COUNTIF(PN_list,"&lt;"&amp;I631*bar_per_m)+1),"&gt; max PN")</f>
        <v>PN16</v>
      </c>
      <c r="K631" s="4" t="str">
        <f aca="false">IF(L631="no","end at tank",IF(H631&lt;0,"NEGATIVE",IF(H631&lt;p_min-0.005,"low","OK")))</f>
        <v>OK</v>
      </c>
      <c r="L631" s="4" t="s">
        <v>414</v>
      </c>
    </row>
    <row r="632" customFormat="false" ht="15" hidden="false" customHeight="false" outlineLevel="0" collapsed="false">
      <c r="A632" s="4" t="s">
        <v>42</v>
      </c>
      <c r="B632" s="4" t="s">
        <v>368</v>
      </c>
      <c r="C632" s="47" t="n">
        <v>10655.66</v>
      </c>
      <c r="D632" s="48" t="n">
        <v>1508.47</v>
      </c>
      <c r="E632" s="49" t="n">
        <f aca="false">D632-cover</f>
        <v>1507.27</v>
      </c>
      <c r="F632" s="50" t="n">
        <f aca="false">'Z5 Ikana-Nkangamo'!S12-'Z5 Ikana-Nkangamo'!P12*C632/'Z5 Ikana-Nkangamo'!G12</f>
        <v>1649.17234624478</v>
      </c>
      <c r="G632" s="51" t="n">
        <f aca="false">'Z5 Ikana-Nkangamo'!$B$8-E632</f>
        <v>160.73</v>
      </c>
      <c r="H632" s="52" t="n">
        <f aca="false">F632-E632</f>
        <v>141.902346244781</v>
      </c>
      <c r="I632" s="52" t="n">
        <f aca="false">MAX(H632,G632)</f>
        <v>160.73</v>
      </c>
      <c r="J632" s="4" t="str">
        <f aca="false">IFERROR("PN"&amp;SMALL(PN_list,COUNTIF(PN_list,"&lt;"&amp;I632*bar_per_m)+1),"&gt; max PN")</f>
        <v>PN16</v>
      </c>
      <c r="K632" s="4" t="str">
        <f aca="false">IF(L632="no","end at tank",IF(H632&lt;0,"NEGATIVE",IF(H632&lt;p_min-0.005,"low","OK")))</f>
        <v>OK</v>
      </c>
      <c r="L632" s="4" t="s">
        <v>414</v>
      </c>
    </row>
    <row r="633" customFormat="false" ht="15" hidden="false" customHeight="false" outlineLevel="0" collapsed="false">
      <c r="A633" s="4" t="s">
        <v>42</v>
      </c>
      <c r="B633" s="4" t="s">
        <v>368</v>
      </c>
      <c r="C633" s="47" t="n">
        <v>10705.68</v>
      </c>
      <c r="D633" s="48" t="n">
        <v>1507.05</v>
      </c>
      <c r="E633" s="49" t="n">
        <f aca="false">D633-cover</f>
        <v>1505.85</v>
      </c>
      <c r="F633" s="50" t="n">
        <f aca="false">'Z5 Ikana-Nkangamo'!S12-'Z5 Ikana-Nkangamo'!P12*C633/'Z5 Ikana-Nkangamo'!G12</f>
        <v>1649.10602794626</v>
      </c>
      <c r="G633" s="51" t="n">
        <f aca="false">'Z5 Ikana-Nkangamo'!$B$8-E633</f>
        <v>162.15</v>
      </c>
      <c r="H633" s="52" t="n">
        <f aca="false">F633-E633</f>
        <v>143.256027946259</v>
      </c>
      <c r="I633" s="52" t="n">
        <f aca="false">MAX(H633,G633)</f>
        <v>162.15</v>
      </c>
      <c r="J633" s="4" t="str">
        <f aca="false">IFERROR("PN"&amp;SMALL(PN_list,COUNTIF(PN_list,"&lt;"&amp;I633*bar_per_m)+1),"&gt; max PN")</f>
        <v>PN16</v>
      </c>
      <c r="K633" s="4" t="str">
        <f aca="false">IF(L633="no","end at tank",IF(H633&lt;0,"NEGATIVE",IF(H633&lt;p_min-0.005,"low","OK")))</f>
        <v>OK</v>
      </c>
      <c r="L633" s="4" t="s">
        <v>414</v>
      </c>
    </row>
    <row r="634" customFormat="false" ht="15" hidden="false" customHeight="false" outlineLevel="0" collapsed="false">
      <c r="A634" s="4" t="s">
        <v>42</v>
      </c>
      <c r="B634" s="4" t="s">
        <v>368</v>
      </c>
      <c r="C634" s="47" t="n">
        <v>10755.69</v>
      </c>
      <c r="D634" s="48" t="n">
        <v>1506.02</v>
      </c>
      <c r="E634" s="49" t="n">
        <f aca="false">D634-cover</f>
        <v>1504.82</v>
      </c>
      <c r="F634" s="50" t="n">
        <f aca="false">'Z5 Ikana-Nkangamo'!S12-'Z5 Ikana-Nkangamo'!P12*C634/'Z5 Ikana-Nkangamo'!G12</f>
        <v>1649.03972290609</v>
      </c>
      <c r="G634" s="51" t="n">
        <f aca="false">'Z5 Ikana-Nkangamo'!$B$8-E634</f>
        <v>163.18</v>
      </c>
      <c r="H634" s="52" t="n">
        <f aca="false">F634-E634</f>
        <v>144.219722906092</v>
      </c>
      <c r="I634" s="52" t="n">
        <f aca="false">MAX(H634,G634)</f>
        <v>163.18</v>
      </c>
      <c r="J634" s="4" t="str">
        <f aca="false">IFERROR("PN"&amp;SMALL(PN_list,COUNTIF(PN_list,"&lt;"&amp;I634*bar_per_m)+1),"&gt; max PN")</f>
        <v>PN25</v>
      </c>
      <c r="K634" s="4" t="str">
        <f aca="false">IF(L634="no","end at tank",IF(H634&lt;0,"NEGATIVE",IF(H634&lt;p_min-0.005,"low","OK")))</f>
        <v>OK</v>
      </c>
      <c r="L634" s="4" t="s">
        <v>414</v>
      </c>
    </row>
    <row r="635" customFormat="false" ht="15" hidden="false" customHeight="false" outlineLevel="0" collapsed="false">
      <c r="A635" s="4" t="s">
        <v>42</v>
      </c>
      <c r="B635" s="4" t="s">
        <v>368</v>
      </c>
      <c r="C635" s="47" t="n">
        <v>10805.7</v>
      </c>
      <c r="D635" s="48" t="n">
        <v>1504.75</v>
      </c>
      <c r="E635" s="49" t="n">
        <f aca="false">D635-cover</f>
        <v>1503.55</v>
      </c>
      <c r="F635" s="50" t="n">
        <f aca="false">'Z5 Ikana-Nkangamo'!S12-'Z5 Ikana-Nkangamo'!P12*C635/'Z5 Ikana-Nkangamo'!G12</f>
        <v>1648.97341786593</v>
      </c>
      <c r="G635" s="51" t="n">
        <f aca="false">'Z5 Ikana-Nkangamo'!$B$8-E635</f>
        <v>164.45</v>
      </c>
      <c r="H635" s="52" t="n">
        <f aca="false">F635-E635</f>
        <v>145.423417865926</v>
      </c>
      <c r="I635" s="52" t="n">
        <f aca="false">MAX(H635,G635)</f>
        <v>164.45</v>
      </c>
      <c r="J635" s="4" t="str">
        <f aca="false">IFERROR("PN"&amp;SMALL(PN_list,COUNTIF(PN_list,"&lt;"&amp;I635*bar_per_m)+1),"&gt; max PN")</f>
        <v>PN25</v>
      </c>
      <c r="K635" s="4" t="str">
        <f aca="false">IF(L635="no","end at tank",IF(H635&lt;0,"NEGATIVE",IF(H635&lt;p_min-0.005,"low","OK")))</f>
        <v>OK</v>
      </c>
      <c r="L635" s="4" t="s">
        <v>414</v>
      </c>
    </row>
    <row r="636" customFormat="false" ht="15" hidden="false" customHeight="false" outlineLevel="0" collapsed="false">
      <c r="A636" s="4" t="s">
        <v>42</v>
      </c>
      <c r="B636" s="4" t="s">
        <v>368</v>
      </c>
      <c r="C636" s="47" t="n">
        <v>10855.73</v>
      </c>
      <c r="D636" s="48" t="n">
        <v>1503.07</v>
      </c>
      <c r="E636" s="49" t="n">
        <f aca="false">D636-cover</f>
        <v>1501.87</v>
      </c>
      <c r="F636" s="50" t="n">
        <f aca="false">'Z5 Ikana-Nkangamo'!S12-'Z5 Ikana-Nkangamo'!P12*C636/'Z5 Ikana-Nkangamo'!G12</f>
        <v>1648.90708630905</v>
      </c>
      <c r="G636" s="51" t="n">
        <f aca="false">'Z5 Ikana-Nkangamo'!$B$8-E636</f>
        <v>166.13</v>
      </c>
      <c r="H636" s="52" t="n">
        <f aca="false">F636-E636</f>
        <v>147.037086309047</v>
      </c>
      <c r="I636" s="52" t="n">
        <f aca="false">MAX(H636,G636)</f>
        <v>166.13</v>
      </c>
      <c r="J636" s="4" t="str">
        <f aca="false">IFERROR("PN"&amp;SMALL(PN_list,COUNTIF(PN_list,"&lt;"&amp;I636*bar_per_m)+1),"&gt; max PN")</f>
        <v>PN25</v>
      </c>
      <c r="K636" s="4" t="str">
        <f aca="false">IF(L636="no","end at tank",IF(H636&lt;0,"NEGATIVE",IF(H636&lt;p_min-0.005,"low","OK")))</f>
        <v>OK</v>
      </c>
      <c r="L636" s="4" t="s">
        <v>414</v>
      </c>
    </row>
    <row r="637" customFormat="false" ht="15" hidden="false" customHeight="false" outlineLevel="0" collapsed="false">
      <c r="A637" s="4" t="s">
        <v>42</v>
      </c>
      <c r="B637" s="4" t="s">
        <v>368</v>
      </c>
      <c r="C637" s="47" t="n">
        <v>10905.75</v>
      </c>
      <c r="D637" s="48" t="n">
        <v>1501.64</v>
      </c>
      <c r="E637" s="49" t="n">
        <f aca="false">D637-cover</f>
        <v>1500.44</v>
      </c>
      <c r="F637" s="50" t="n">
        <f aca="false">'Z5 Ikana-Nkangamo'!S12-'Z5 Ikana-Nkangamo'!P12*C637/'Z5 Ikana-Nkangamo'!G12</f>
        <v>1648.84076801052</v>
      </c>
      <c r="G637" s="51" t="n">
        <f aca="false">'Z5 Ikana-Nkangamo'!$B$8-E637</f>
        <v>167.56</v>
      </c>
      <c r="H637" s="52" t="n">
        <f aca="false">F637-E637</f>
        <v>148.400768010524</v>
      </c>
      <c r="I637" s="52" t="n">
        <f aca="false">MAX(H637,G637)</f>
        <v>167.56</v>
      </c>
      <c r="J637" s="4" t="str">
        <f aca="false">IFERROR("PN"&amp;SMALL(PN_list,COUNTIF(PN_list,"&lt;"&amp;I637*bar_per_m)+1),"&gt; max PN")</f>
        <v>PN25</v>
      </c>
      <c r="K637" s="4" t="str">
        <f aca="false">IF(L637="no","end at tank",IF(H637&lt;0,"NEGATIVE",IF(H637&lt;p_min-0.005,"low","OK")))</f>
        <v>OK</v>
      </c>
      <c r="L637" s="4" t="s">
        <v>414</v>
      </c>
    </row>
    <row r="638" customFormat="false" ht="15" hidden="false" customHeight="false" outlineLevel="0" collapsed="false">
      <c r="A638" s="4" t="s">
        <v>42</v>
      </c>
      <c r="B638" s="4" t="s">
        <v>368</v>
      </c>
      <c r="C638" s="47" t="n">
        <v>10955.78</v>
      </c>
      <c r="D638" s="48" t="n">
        <v>1500.02</v>
      </c>
      <c r="E638" s="49" t="n">
        <f aca="false">D638-cover</f>
        <v>1498.82</v>
      </c>
      <c r="F638" s="50" t="n">
        <f aca="false">'Z5 Ikana-Nkangamo'!S12-'Z5 Ikana-Nkangamo'!P12*C638/'Z5 Ikana-Nkangamo'!G12</f>
        <v>1648.77443645365</v>
      </c>
      <c r="G638" s="51" t="n">
        <f aca="false">'Z5 Ikana-Nkangamo'!$B$8-E638</f>
        <v>169.18</v>
      </c>
      <c r="H638" s="52" t="n">
        <f aca="false">F638-E638</f>
        <v>149.954436453645</v>
      </c>
      <c r="I638" s="52" t="n">
        <f aca="false">MAX(H638,G638)</f>
        <v>169.18</v>
      </c>
      <c r="J638" s="4" t="str">
        <f aca="false">IFERROR("PN"&amp;SMALL(PN_list,COUNTIF(PN_list,"&lt;"&amp;I638*bar_per_m)+1),"&gt; max PN")</f>
        <v>PN25</v>
      </c>
      <c r="K638" s="4" t="str">
        <f aca="false">IF(L638="no","end at tank",IF(H638&lt;0,"NEGATIVE",IF(H638&lt;p_min-0.005,"low","OK")))</f>
        <v>OK</v>
      </c>
      <c r="L638" s="4" t="s">
        <v>414</v>
      </c>
    </row>
    <row r="639" customFormat="false" ht="15" hidden="false" customHeight="false" outlineLevel="0" collapsed="false">
      <c r="A639" s="4" t="s">
        <v>42</v>
      </c>
      <c r="B639" s="4" t="s">
        <v>368</v>
      </c>
      <c r="C639" s="47" t="n">
        <v>11005.78</v>
      </c>
      <c r="D639" s="48" t="n">
        <v>1499.36</v>
      </c>
      <c r="E639" s="49" t="n">
        <f aca="false">D639-cover</f>
        <v>1498.16</v>
      </c>
      <c r="F639" s="50" t="n">
        <f aca="false">'Z5 Ikana-Nkangamo'!S12-'Z5 Ikana-Nkangamo'!P12*C639/'Z5 Ikana-Nkangamo'!G12</f>
        <v>1648.70814467184</v>
      </c>
      <c r="G639" s="51" t="n">
        <f aca="false">'Z5 Ikana-Nkangamo'!$B$8-E639</f>
        <v>169.84</v>
      </c>
      <c r="H639" s="52" t="n">
        <f aca="false">F639-E639</f>
        <v>150.548144671835</v>
      </c>
      <c r="I639" s="52" t="n">
        <f aca="false">MAX(H639,G639)</f>
        <v>169.84</v>
      </c>
      <c r="J639" s="4" t="str">
        <f aca="false">IFERROR("PN"&amp;SMALL(PN_list,COUNTIF(PN_list,"&lt;"&amp;I639*bar_per_m)+1),"&gt; max PN")</f>
        <v>PN25</v>
      </c>
      <c r="K639" s="4" t="str">
        <f aca="false">IF(L639="no","end at tank",IF(H639&lt;0,"NEGATIVE",IF(H639&lt;p_min-0.005,"low","OK")))</f>
        <v>OK</v>
      </c>
      <c r="L639" s="4" t="s">
        <v>414</v>
      </c>
    </row>
    <row r="640" customFormat="false" ht="15" hidden="false" customHeight="false" outlineLevel="0" collapsed="false">
      <c r="A640" s="4" t="s">
        <v>42</v>
      </c>
      <c r="B640" s="4" t="s">
        <v>368</v>
      </c>
      <c r="C640" s="47" t="n">
        <v>11055.83</v>
      </c>
      <c r="D640" s="48" t="n">
        <v>1497.28</v>
      </c>
      <c r="E640" s="49" t="n">
        <f aca="false">D640-cover</f>
        <v>1496.08</v>
      </c>
      <c r="F640" s="50" t="n">
        <f aca="false">'Z5 Ikana-Nkangamo'!S12-'Z5 Ikana-Nkangamo'!P12*C640/'Z5 Ikana-Nkangamo'!G12</f>
        <v>1648.64178659824</v>
      </c>
      <c r="G640" s="51" t="n">
        <f aca="false">'Z5 Ikana-Nkangamo'!$B$8-E640</f>
        <v>171.92</v>
      </c>
      <c r="H640" s="52" t="n">
        <f aca="false">F640-E640</f>
        <v>152.561786598244</v>
      </c>
      <c r="I640" s="52" t="n">
        <f aca="false">MAX(H640,G640)</f>
        <v>171.92</v>
      </c>
      <c r="J640" s="4" t="str">
        <f aca="false">IFERROR("PN"&amp;SMALL(PN_list,COUNTIF(PN_list,"&lt;"&amp;I640*bar_per_m)+1),"&gt; max PN")</f>
        <v>PN25</v>
      </c>
      <c r="K640" s="4" t="str">
        <f aca="false">IF(L640="no","end at tank",IF(H640&lt;0,"NEGATIVE",IF(H640&lt;p_min-0.005,"low","OK")))</f>
        <v>OK</v>
      </c>
      <c r="L640" s="4" t="s">
        <v>414</v>
      </c>
    </row>
    <row r="641" customFormat="false" ht="15" hidden="false" customHeight="false" outlineLevel="0" collapsed="false">
      <c r="A641" s="4" t="s">
        <v>42</v>
      </c>
      <c r="B641" s="4" t="s">
        <v>368</v>
      </c>
      <c r="C641" s="47" t="n">
        <v>11105.83</v>
      </c>
      <c r="D641" s="48" t="n">
        <v>1496.52</v>
      </c>
      <c r="E641" s="49" t="n">
        <f aca="false">D641-cover</f>
        <v>1495.32</v>
      </c>
      <c r="F641" s="50" t="n">
        <f aca="false">'Z5 Ikana-Nkangamo'!S12-'Z5 Ikana-Nkangamo'!P12*C641/'Z5 Ikana-Nkangamo'!G12</f>
        <v>1648.57549481643</v>
      </c>
      <c r="G641" s="51" t="n">
        <f aca="false">'Z5 Ikana-Nkangamo'!$B$8-E641</f>
        <v>172.68</v>
      </c>
      <c r="H641" s="52" t="n">
        <f aca="false">F641-E641</f>
        <v>153.255494816434</v>
      </c>
      <c r="I641" s="52" t="n">
        <f aca="false">MAX(H641,G641)</f>
        <v>172.68</v>
      </c>
      <c r="J641" s="4" t="str">
        <f aca="false">IFERROR("PN"&amp;SMALL(PN_list,COUNTIF(PN_list,"&lt;"&amp;I641*bar_per_m)+1),"&gt; max PN")</f>
        <v>PN25</v>
      </c>
      <c r="K641" s="4" t="str">
        <f aca="false">IF(L641="no","end at tank",IF(H641&lt;0,"NEGATIVE",IF(H641&lt;p_min-0.005,"low","OK")))</f>
        <v>OK</v>
      </c>
      <c r="L641" s="4" t="s">
        <v>414</v>
      </c>
    </row>
    <row r="642" customFormat="false" ht="15" hidden="false" customHeight="false" outlineLevel="0" collapsed="false">
      <c r="A642" s="4" t="s">
        <v>42</v>
      </c>
      <c r="B642" s="4" t="s">
        <v>368</v>
      </c>
      <c r="C642" s="47" t="n">
        <v>11155.97</v>
      </c>
      <c r="D642" s="48" t="n">
        <v>1492.75</v>
      </c>
      <c r="E642" s="49" t="n">
        <f aca="false">D642-cover</f>
        <v>1491.55</v>
      </c>
      <c r="F642" s="50" t="n">
        <f aca="false">'Z5 Ikana-Nkangamo'!S12-'Z5 Ikana-Nkangamo'!P12*C642/'Z5 Ikana-Nkangamo'!G12</f>
        <v>1648.50901741763</v>
      </c>
      <c r="G642" s="51" t="n">
        <f aca="false">'Z5 Ikana-Nkangamo'!$B$8-E642</f>
        <v>176.45</v>
      </c>
      <c r="H642" s="52" t="n">
        <f aca="false">F642-E642</f>
        <v>156.959017417634</v>
      </c>
      <c r="I642" s="52" t="n">
        <f aca="false">MAX(H642,G642)</f>
        <v>176.45</v>
      </c>
      <c r="J642" s="4" t="str">
        <f aca="false">IFERROR("PN"&amp;SMALL(PN_list,COUNTIF(PN_list,"&lt;"&amp;I642*bar_per_m)+1),"&gt; max PN")</f>
        <v>PN25</v>
      </c>
      <c r="K642" s="4" t="str">
        <f aca="false">IF(L642="no","end at tank",IF(H642&lt;0,"NEGATIVE",IF(H642&lt;p_min-0.005,"low","OK")))</f>
        <v>OK</v>
      </c>
      <c r="L642" s="4" t="s">
        <v>414</v>
      </c>
    </row>
    <row r="643" customFormat="false" ht="15" hidden="false" customHeight="false" outlineLevel="0" collapsed="false">
      <c r="A643" s="4" t="s">
        <v>42</v>
      </c>
      <c r="B643" s="4" t="s">
        <v>368</v>
      </c>
      <c r="C643" s="47" t="n">
        <v>11206.04</v>
      </c>
      <c r="D643" s="48" t="n">
        <v>1495.3</v>
      </c>
      <c r="E643" s="49" t="n">
        <f aca="false">D643-cover</f>
        <v>1494.1</v>
      </c>
      <c r="F643" s="50" t="n">
        <f aca="false">'Z5 Ikana-Nkangamo'!S12-'Z5 Ikana-Nkangamo'!P12*C643/'Z5 Ikana-Nkangamo'!G12</f>
        <v>1648.44263282733</v>
      </c>
      <c r="G643" s="51" t="n">
        <f aca="false">'Z5 Ikana-Nkangamo'!$B$8-E643</f>
        <v>173.9</v>
      </c>
      <c r="H643" s="52" t="n">
        <f aca="false">F643-E643</f>
        <v>154.34263282733</v>
      </c>
      <c r="I643" s="52" t="n">
        <f aca="false">MAX(H643,G643)</f>
        <v>173.9</v>
      </c>
      <c r="J643" s="4" t="str">
        <f aca="false">IFERROR("PN"&amp;SMALL(PN_list,COUNTIF(PN_list,"&lt;"&amp;I643*bar_per_m)+1),"&gt; max PN")</f>
        <v>PN25</v>
      </c>
      <c r="K643" s="4" t="str">
        <f aca="false">IF(L643="no","end at tank",IF(H643&lt;0,"NEGATIVE",IF(H643&lt;p_min-0.005,"low","OK")))</f>
        <v>OK</v>
      </c>
      <c r="L643" s="4" t="s">
        <v>414</v>
      </c>
    </row>
    <row r="644" customFormat="false" ht="15" hidden="false" customHeight="false" outlineLevel="0" collapsed="false">
      <c r="A644" s="4" t="s">
        <v>42</v>
      </c>
      <c r="B644" s="4" t="s">
        <v>368</v>
      </c>
      <c r="C644" s="47" t="n">
        <v>11256.04</v>
      </c>
      <c r="D644" s="48" t="n">
        <v>1495.95</v>
      </c>
      <c r="E644" s="49" t="n">
        <f aca="false">D644-cover</f>
        <v>1494.75</v>
      </c>
      <c r="F644" s="50" t="n">
        <f aca="false">'Z5 Ikana-Nkangamo'!S12-'Z5 Ikana-Nkangamo'!P12*C644/'Z5 Ikana-Nkangamo'!G12</f>
        <v>1648.37634104552</v>
      </c>
      <c r="G644" s="51" t="n">
        <f aca="false">'Z5 Ikana-Nkangamo'!$B$8-E644</f>
        <v>173.25</v>
      </c>
      <c r="H644" s="52" t="n">
        <f aca="false">F644-E644</f>
        <v>153.62634104552</v>
      </c>
      <c r="I644" s="52" t="n">
        <f aca="false">MAX(H644,G644)</f>
        <v>173.25</v>
      </c>
      <c r="J644" s="4" t="str">
        <f aca="false">IFERROR("PN"&amp;SMALL(PN_list,COUNTIF(PN_list,"&lt;"&amp;I644*bar_per_m)+1),"&gt; max PN")</f>
        <v>PN25</v>
      </c>
      <c r="K644" s="4" t="str">
        <f aca="false">IF(L644="no","end at tank",IF(H644&lt;0,"NEGATIVE",IF(H644&lt;p_min-0.005,"low","OK")))</f>
        <v>OK</v>
      </c>
      <c r="L644" s="4" t="s">
        <v>414</v>
      </c>
    </row>
    <row r="645" customFormat="false" ht="15" hidden="false" customHeight="false" outlineLevel="0" collapsed="false">
      <c r="A645" s="4" t="s">
        <v>42</v>
      </c>
      <c r="B645" s="4" t="s">
        <v>368</v>
      </c>
      <c r="C645" s="47" t="n">
        <v>11306.04</v>
      </c>
      <c r="D645" s="48" t="n">
        <v>1496.1</v>
      </c>
      <c r="E645" s="49" t="n">
        <f aca="false">D645-cover</f>
        <v>1494.9</v>
      </c>
      <c r="F645" s="50" t="n">
        <f aca="false">'Z5 Ikana-Nkangamo'!S12-'Z5 Ikana-Nkangamo'!P12*C645/'Z5 Ikana-Nkangamo'!G12</f>
        <v>1648.31004926371</v>
      </c>
      <c r="G645" s="51" t="n">
        <f aca="false">'Z5 Ikana-Nkangamo'!$B$8-E645</f>
        <v>173.1</v>
      </c>
      <c r="H645" s="52" t="n">
        <f aca="false">F645-E645</f>
        <v>153.41004926371</v>
      </c>
      <c r="I645" s="52" t="n">
        <f aca="false">MAX(H645,G645)</f>
        <v>173.1</v>
      </c>
      <c r="J645" s="4" t="str">
        <f aca="false">IFERROR("PN"&amp;SMALL(PN_list,COUNTIF(PN_list,"&lt;"&amp;I645*bar_per_m)+1),"&gt; max PN")</f>
        <v>PN25</v>
      </c>
      <c r="K645" s="4" t="str">
        <f aca="false">IF(L645="no","end at tank",IF(H645&lt;0,"NEGATIVE",IF(H645&lt;p_min-0.005,"low","OK")))</f>
        <v>OK</v>
      </c>
      <c r="L645" s="4" t="s">
        <v>414</v>
      </c>
    </row>
    <row r="646" customFormat="false" ht="15" hidden="false" customHeight="false" outlineLevel="0" collapsed="false">
      <c r="A646" s="4" t="s">
        <v>42</v>
      </c>
      <c r="B646" s="4" t="s">
        <v>368</v>
      </c>
      <c r="C646" s="47" t="n">
        <v>11356.05</v>
      </c>
      <c r="D646" s="48" t="n">
        <v>1496.59</v>
      </c>
      <c r="E646" s="49" t="n">
        <f aca="false">D646-cover</f>
        <v>1495.39</v>
      </c>
      <c r="F646" s="50" t="n">
        <f aca="false">'Z5 Ikana-Nkangamo'!S12-'Z5 Ikana-Nkangamo'!P12*C646/'Z5 Ikana-Nkangamo'!G12</f>
        <v>1648.24374422354</v>
      </c>
      <c r="G646" s="51" t="n">
        <f aca="false">'Z5 Ikana-Nkangamo'!$B$8-E646</f>
        <v>172.61</v>
      </c>
      <c r="H646" s="52" t="n">
        <f aca="false">F646-E646</f>
        <v>152.853744223544</v>
      </c>
      <c r="I646" s="52" t="n">
        <f aca="false">MAX(H646,G646)</f>
        <v>172.61</v>
      </c>
      <c r="J646" s="4" t="str">
        <f aca="false">IFERROR("PN"&amp;SMALL(PN_list,COUNTIF(PN_list,"&lt;"&amp;I646*bar_per_m)+1),"&gt; max PN")</f>
        <v>PN25</v>
      </c>
      <c r="K646" s="4" t="str">
        <f aca="false">IF(L646="no","end at tank",IF(H646&lt;0,"NEGATIVE",IF(H646&lt;p_min-0.005,"low","OK")))</f>
        <v>OK</v>
      </c>
      <c r="L646" s="4" t="s">
        <v>414</v>
      </c>
    </row>
    <row r="647" customFormat="false" ht="15" hidden="false" customHeight="false" outlineLevel="0" collapsed="false">
      <c r="A647" s="4" t="s">
        <v>42</v>
      </c>
      <c r="B647" s="4" t="s">
        <v>368</v>
      </c>
      <c r="C647" s="47" t="n">
        <v>11406.05</v>
      </c>
      <c r="D647" s="48" t="n">
        <v>1496.19</v>
      </c>
      <c r="E647" s="49" t="n">
        <f aca="false">D647-cover</f>
        <v>1494.99</v>
      </c>
      <c r="F647" s="50" t="n">
        <f aca="false">'Z5 Ikana-Nkangamo'!S12-'Z5 Ikana-Nkangamo'!P12*C647/'Z5 Ikana-Nkangamo'!G12</f>
        <v>1648.17745244173</v>
      </c>
      <c r="G647" s="51" t="n">
        <f aca="false">'Z5 Ikana-Nkangamo'!$B$8-E647</f>
        <v>173.01</v>
      </c>
      <c r="H647" s="52" t="n">
        <f aca="false">F647-E647</f>
        <v>153.187452441734</v>
      </c>
      <c r="I647" s="52" t="n">
        <f aca="false">MAX(H647,G647)</f>
        <v>173.01</v>
      </c>
      <c r="J647" s="4" t="str">
        <f aca="false">IFERROR("PN"&amp;SMALL(PN_list,COUNTIF(PN_list,"&lt;"&amp;I647*bar_per_m)+1),"&gt; max PN")</f>
        <v>PN25</v>
      </c>
      <c r="K647" s="4" t="str">
        <f aca="false">IF(L647="no","end at tank",IF(H647&lt;0,"NEGATIVE",IF(H647&lt;p_min-0.005,"low","OK")))</f>
        <v>OK</v>
      </c>
      <c r="L647" s="4" t="s">
        <v>414</v>
      </c>
    </row>
    <row r="648" customFormat="false" ht="15" hidden="false" customHeight="false" outlineLevel="0" collapsed="false">
      <c r="A648" s="4" t="s">
        <v>42</v>
      </c>
      <c r="B648" s="4" t="s">
        <v>368</v>
      </c>
      <c r="C648" s="47" t="n">
        <v>11456.07</v>
      </c>
      <c r="D648" s="48" t="n">
        <v>1497.77</v>
      </c>
      <c r="E648" s="49" t="n">
        <f aca="false">D648-cover</f>
        <v>1496.57</v>
      </c>
      <c r="F648" s="50" t="n">
        <f aca="false">'Z5 Ikana-Nkangamo'!S12-'Z5 Ikana-Nkangamo'!P12*C648/'Z5 Ikana-Nkangamo'!G12</f>
        <v>1648.11113414321</v>
      </c>
      <c r="G648" s="51" t="n">
        <f aca="false">'Z5 Ikana-Nkangamo'!$B$8-E648</f>
        <v>171.43</v>
      </c>
      <c r="H648" s="52" t="n">
        <f aca="false">F648-E648</f>
        <v>151.541134143211</v>
      </c>
      <c r="I648" s="52" t="n">
        <f aca="false">MAX(H648,G648)</f>
        <v>171.43</v>
      </c>
      <c r="J648" s="4" t="str">
        <f aca="false">IFERROR("PN"&amp;SMALL(PN_list,COUNTIF(PN_list,"&lt;"&amp;I648*bar_per_m)+1),"&gt; max PN")</f>
        <v>PN25</v>
      </c>
      <c r="K648" s="4" t="str">
        <f aca="false">IF(L648="no","end at tank",IF(H648&lt;0,"NEGATIVE",IF(H648&lt;p_min-0.005,"low","OK")))</f>
        <v>OK</v>
      </c>
      <c r="L648" s="4" t="s">
        <v>414</v>
      </c>
    </row>
    <row r="649" customFormat="false" ht="15" hidden="false" customHeight="false" outlineLevel="0" collapsed="false">
      <c r="A649" s="4" t="s">
        <v>42</v>
      </c>
      <c r="B649" s="4" t="s">
        <v>368</v>
      </c>
      <c r="C649" s="47" t="n">
        <v>11506.07</v>
      </c>
      <c r="D649" s="48" t="n">
        <v>1497.7</v>
      </c>
      <c r="E649" s="49" t="n">
        <f aca="false">D649-cover</f>
        <v>1496.5</v>
      </c>
      <c r="F649" s="50" t="n">
        <f aca="false">'Z5 Ikana-Nkangamo'!S12-'Z5 Ikana-Nkangamo'!P12*C649/'Z5 Ikana-Nkangamo'!G12</f>
        <v>1648.0448423614</v>
      </c>
      <c r="G649" s="51" t="n">
        <f aca="false">'Z5 Ikana-Nkangamo'!$B$8-E649</f>
        <v>171.5</v>
      </c>
      <c r="H649" s="52" t="n">
        <f aca="false">F649-E649</f>
        <v>151.544842361401</v>
      </c>
      <c r="I649" s="52" t="n">
        <f aca="false">MAX(H649,G649)</f>
        <v>171.5</v>
      </c>
      <c r="J649" s="4" t="str">
        <f aca="false">IFERROR("PN"&amp;SMALL(PN_list,COUNTIF(PN_list,"&lt;"&amp;I649*bar_per_m)+1),"&gt; max PN")</f>
        <v>PN25</v>
      </c>
      <c r="K649" s="4" t="str">
        <f aca="false">IF(L649="no","end at tank",IF(H649&lt;0,"NEGATIVE",IF(H649&lt;p_min-0.005,"low","OK")))</f>
        <v>OK</v>
      </c>
      <c r="L649" s="4" t="s">
        <v>414</v>
      </c>
    </row>
    <row r="650" customFormat="false" ht="15" hidden="false" customHeight="false" outlineLevel="0" collapsed="false">
      <c r="A650" s="4" t="s">
        <v>42</v>
      </c>
      <c r="B650" s="4" t="s">
        <v>368</v>
      </c>
      <c r="C650" s="47" t="n">
        <v>11556.07</v>
      </c>
      <c r="D650" s="48" t="n">
        <v>1497.94</v>
      </c>
      <c r="E650" s="49" t="n">
        <f aca="false">D650-cover</f>
        <v>1496.74</v>
      </c>
      <c r="F650" s="50" t="n">
        <f aca="false">'Z5 Ikana-Nkangamo'!S12-'Z5 Ikana-Nkangamo'!P12*C650/'Z5 Ikana-Nkangamo'!G12</f>
        <v>1647.97855057959</v>
      </c>
      <c r="G650" s="51" t="n">
        <f aca="false">'Z5 Ikana-Nkangamo'!$B$8-E650</f>
        <v>171.26</v>
      </c>
      <c r="H650" s="52" t="n">
        <f aca="false">F650-E650</f>
        <v>151.238550579591</v>
      </c>
      <c r="I650" s="52" t="n">
        <f aca="false">MAX(H650,G650)</f>
        <v>171.26</v>
      </c>
      <c r="J650" s="4" t="str">
        <f aca="false">IFERROR("PN"&amp;SMALL(PN_list,COUNTIF(PN_list,"&lt;"&amp;I650*bar_per_m)+1),"&gt; max PN")</f>
        <v>PN25</v>
      </c>
      <c r="K650" s="4" t="str">
        <f aca="false">IF(L650="no","end at tank",IF(H650&lt;0,"NEGATIVE",IF(H650&lt;p_min-0.005,"low","OK")))</f>
        <v>OK</v>
      </c>
      <c r="L650" s="4" t="s">
        <v>414</v>
      </c>
    </row>
    <row r="651" customFormat="false" ht="15" hidden="false" customHeight="false" outlineLevel="0" collapsed="false">
      <c r="A651" s="4" t="s">
        <v>42</v>
      </c>
      <c r="B651" s="4" t="s">
        <v>368</v>
      </c>
      <c r="C651" s="47" t="n">
        <v>11606.07</v>
      </c>
      <c r="D651" s="48" t="n">
        <v>1497.86</v>
      </c>
      <c r="E651" s="49" t="n">
        <f aca="false">D651-cover</f>
        <v>1496.66</v>
      </c>
      <c r="F651" s="50" t="n">
        <f aca="false">'Z5 Ikana-Nkangamo'!S12-'Z5 Ikana-Nkangamo'!P12*C651/'Z5 Ikana-Nkangamo'!G12</f>
        <v>1647.91225879778</v>
      </c>
      <c r="G651" s="51" t="n">
        <f aca="false">'Z5 Ikana-Nkangamo'!$B$8-E651</f>
        <v>171.34</v>
      </c>
      <c r="H651" s="52" t="n">
        <f aca="false">F651-E651</f>
        <v>151.252258797781</v>
      </c>
      <c r="I651" s="52" t="n">
        <f aca="false">MAX(H651,G651)</f>
        <v>171.34</v>
      </c>
      <c r="J651" s="4" t="str">
        <f aca="false">IFERROR("PN"&amp;SMALL(PN_list,COUNTIF(PN_list,"&lt;"&amp;I651*bar_per_m)+1),"&gt; max PN")</f>
        <v>PN25</v>
      </c>
      <c r="K651" s="4" t="str">
        <f aca="false">IF(L651="no","end at tank",IF(H651&lt;0,"NEGATIVE",IF(H651&lt;p_min-0.005,"low","OK")))</f>
        <v>OK</v>
      </c>
      <c r="L651" s="4" t="s">
        <v>414</v>
      </c>
    </row>
    <row r="652" customFormat="false" ht="15" hidden="false" customHeight="false" outlineLevel="0" collapsed="false">
      <c r="A652" s="4" t="s">
        <v>42</v>
      </c>
      <c r="B652" s="4" t="s">
        <v>368</v>
      </c>
      <c r="C652" s="47" t="n">
        <v>11656.08</v>
      </c>
      <c r="D652" s="48" t="n">
        <v>1497.17</v>
      </c>
      <c r="E652" s="49" t="n">
        <f aca="false">D652-cover</f>
        <v>1495.97</v>
      </c>
      <c r="F652" s="50" t="n">
        <f aca="false">'Z5 Ikana-Nkangamo'!S12-'Z5 Ikana-Nkangamo'!P12*C652/'Z5 Ikana-Nkangamo'!G12</f>
        <v>1647.84595375762</v>
      </c>
      <c r="G652" s="51" t="n">
        <f aca="false">'Z5 Ikana-Nkangamo'!$B$8-E652</f>
        <v>172.03</v>
      </c>
      <c r="H652" s="52" t="n">
        <f aca="false">F652-E652</f>
        <v>151.875953757615</v>
      </c>
      <c r="I652" s="52" t="n">
        <f aca="false">MAX(H652,G652)</f>
        <v>172.03</v>
      </c>
      <c r="J652" s="4" t="str">
        <f aca="false">IFERROR("PN"&amp;SMALL(PN_list,COUNTIF(PN_list,"&lt;"&amp;I652*bar_per_m)+1),"&gt; max PN")</f>
        <v>PN25</v>
      </c>
      <c r="K652" s="4" t="str">
        <f aca="false">IF(L652="no","end at tank",IF(H652&lt;0,"NEGATIVE",IF(H652&lt;p_min-0.005,"low","OK")))</f>
        <v>OK</v>
      </c>
      <c r="L652" s="4" t="s">
        <v>414</v>
      </c>
    </row>
    <row r="653" customFormat="false" ht="15" hidden="false" customHeight="false" outlineLevel="0" collapsed="false">
      <c r="A653" s="4" t="s">
        <v>42</v>
      </c>
      <c r="B653" s="4" t="s">
        <v>368</v>
      </c>
      <c r="C653" s="47" t="n">
        <v>11706.08</v>
      </c>
      <c r="D653" s="48" t="n">
        <v>1496.71</v>
      </c>
      <c r="E653" s="49" t="n">
        <f aca="false">D653-cover</f>
        <v>1495.51</v>
      </c>
      <c r="F653" s="50" t="n">
        <f aca="false">'Z5 Ikana-Nkangamo'!S12-'Z5 Ikana-Nkangamo'!P12*C653/'Z5 Ikana-Nkangamo'!G12</f>
        <v>1647.77966197581</v>
      </c>
      <c r="G653" s="51" t="n">
        <f aca="false">'Z5 Ikana-Nkangamo'!$B$8-E653</f>
        <v>172.49</v>
      </c>
      <c r="H653" s="52" t="n">
        <f aca="false">F653-E653</f>
        <v>152.269661975805</v>
      </c>
      <c r="I653" s="52" t="n">
        <f aca="false">MAX(H653,G653)</f>
        <v>172.49</v>
      </c>
      <c r="J653" s="4" t="str">
        <f aca="false">IFERROR("PN"&amp;SMALL(PN_list,COUNTIF(PN_list,"&lt;"&amp;I653*bar_per_m)+1),"&gt; max PN")</f>
        <v>PN25</v>
      </c>
      <c r="K653" s="4" t="str">
        <f aca="false">IF(L653="no","end at tank",IF(H653&lt;0,"NEGATIVE",IF(H653&lt;p_min-0.005,"low","OK")))</f>
        <v>OK</v>
      </c>
      <c r="L653" s="4" t="s">
        <v>414</v>
      </c>
    </row>
    <row r="654" customFormat="false" ht="15" hidden="false" customHeight="false" outlineLevel="0" collapsed="false">
      <c r="A654" s="4" t="s">
        <v>42</v>
      </c>
      <c r="B654" s="4" t="s">
        <v>368</v>
      </c>
      <c r="C654" s="47" t="n">
        <v>11756.08</v>
      </c>
      <c r="D654" s="48" t="n">
        <v>1496.21</v>
      </c>
      <c r="E654" s="49" t="n">
        <f aca="false">D654-cover</f>
        <v>1495.01</v>
      </c>
      <c r="F654" s="50" t="n">
        <f aca="false">'Z5 Ikana-Nkangamo'!S12-'Z5 Ikana-Nkangamo'!P12*C654/'Z5 Ikana-Nkangamo'!G12</f>
        <v>1647.713370194</v>
      </c>
      <c r="G654" s="51" t="n">
        <f aca="false">'Z5 Ikana-Nkangamo'!$B$8-E654</f>
        <v>172.99</v>
      </c>
      <c r="H654" s="52" t="n">
        <f aca="false">F654-E654</f>
        <v>152.703370193995</v>
      </c>
      <c r="I654" s="52" t="n">
        <f aca="false">MAX(H654,G654)</f>
        <v>172.99</v>
      </c>
      <c r="J654" s="4" t="str">
        <f aca="false">IFERROR("PN"&amp;SMALL(PN_list,COUNTIF(PN_list,"&lt;"&amp;I654*bar_per_m)+1),"&gt; max PN")</f>
        <v>PN25</v>
      </c>
      <c r="K654" s="4" t="str">
        <f aca="false">IF(L654="no","end at tank",IF(H654&lt;0,"NEGATIVE",IF(H654&lt;p_min-0.005,"low","OK")))</f>
        <v>OK</v>
      </c>
      <c r="L654" s="4" t="s">
        <v>414</v>
      </c>
    </row>
    <row r="655" customFormat="false" ht="15" hidden="false" customHeight="false" outlineLevel="0" collapsed="false">
      <c r="A655" s="4" t="s">
        <v>42</v>
      </c>
      <c r="B655" s="4" t="s">
        <v>368</v>
      </c>
      <c r="C655" s="47" t="n">
        <v>11806.09</v>
      </c>
      <c r="D655" s="48" t="n">
        <v>1497.06</v>
      </c>
      <c r="E655" s="49" t="n">
        <f aca="false">D655-cover</f>
        <v>1495.86</v>
      </c>
      <c r="F655" s="50" t="n">
        <f aca="false">'Z5 Ikana-Nkangamo'!S12-'Z5 Ikana-Nkangamo'!P12*C655/'Z5 Ikana-Nkangamo'!G12</f>
        <v>1647.64706515383</v>
      </c>
      <c r="G655" s="51" t="n">
        <f aca="false">'Z5 Ikana-Nkangamo'!$B$8-E655</f>
        <v>172.14</v>
      </c>
      <c r="H655" s="52" t="n">
        <f aca="false">F655-E655</f>
        <v>151.787065153829</v>
      </c>
      <c r="I655" s="52" t="n">
        <f aca="false">MAX(H655,G655)</f>
        <v>172.14</v>
      </c>
      <c r="J655" s="4" t="str">
        <f aca="false">IFERROR("PN"&amp;SMALL(PN_list,COUNTIF(PN_list,"&lt;"&amp;I655*bar_per_m)+1),"&gt; max PN")</f>
        <v>PN25</v>
      </c>
      <c r="K655" s="4" t="str">
        <f aca="false">IF(L655="no","end at tank",IF(H655&lt;0,"NEGATIVE",IF(H655&lt;p_min-0.005,"low","OK")))</f>
        <v>OK</v>
      </c>
      <c r="L655" s="4" t="s">
        <v>414</v>
      </c>
    </row>
    <row r="656" customFormat="false" ht="15" hidden="false" customHeight="false" outlineLevel="0" collapsed="false">
      <c r="A656" s="4" t="s">
        <v>42</v>
      </c>
      <c r="B656" s="4" t="s">
        <v>368</v>
      </c>
      <c r="C656" s="47" t="n">
        <v>11856.1</v>
      </c>
      <c r="D656" s="48" t="n">
        <v>1495.92</v>
      </c>
      <c r="E656" s="49" t="n">
        <f aca="false">D656-cover</f>
        <v>1494.72</v>
      </c>
      <c r="F656" s="50" t="n">
        <f aca="false">'Z5 Ikana-Nkangamo'!S12-'Z5 Ikana-Nkangamo'!P12*C656/'Z5 Ikana-Nkangamo'!G12</f>
        <v>1647.58076011366</v>
      </c>
      <c r="G656" s="51" t="n">
        <f aca="false">'Z5 Ikana-Nkangamo'!$B$8-E656</f>
        <v>173.28</v>
      </c>
      <c r="H656" s="52" t="n">
        <f aca="false">F656-E656</f>
        <v>152.860760113663</v>
      </c>
      <c r="I656" s="52" t="n">
        <f aca="false">MAX(H656,G656)</f>
        <v>173.28</v>
      </c>
      <c r="J656" s="4" t="str">
        <f aca="false">IFERROR("PN"&amp;SMALL(PN_list,COUNTIF(PN_list,"&lt;"&amp;I656*bar_per_m)+1),"&gt; max PN")</f>
        <v>PN25</v>
      </c>
      <c r="K656" s="4" t="str">
        <f aca="false">IF(L656="no","end at tank",IF(H656&lt;0,"NEGATIVE",IF(H656&lt;p_min-0.005,"low","OK")))</f>
        <v>OK</v>
      </c>
      <c r="L656" s="4" t="s">
        <v>414</v>
      </c>
    </row>
    <row r="657" customFormat="false" ht="15" hidden="false" customHeight="false" outlineLevel="0" collapsed="false">
      <c r="A657" s="4" t="s">
        <v>42</v>
      </c>
      <c r="B657" s="4" t="s">
        <v>368</v>
      </c>
      <c r="C657" s="47" t="n">
        <v>11906.1</v>
      </c>
      <c r="D657" s="48" t="n">
        <v>1495.83</v>
      </c>
      <c r="E657" s="49" t="n">
        <f aca="false">D657-cover</f>
        <v>1494.63</v>
      </c>
      <c r="F657" s="50" t="n">
        <f aca="false">'Z5 Ikana-Nkangamo'!S12-'Z5 Ikana-Nkangamo'!P12*C657/'Z5 Ikana-Nkangamo'!G12</f>
        <v>1647.51446833185</v>
      </c>
      <c r="G657" s="51" t="n">
        <f aca="false">'Z5 Ikana-Nkangamo'!$B$8-E657</f>
        <v>173.37</v>
      </c>
      <c r="H657" s="52" t="n">
        <f aca="false">F657-E657</f>
        <v>152.884468331853</v>
      </c>
      <c r="I657" s="52" t="n">
        <f aca="false">MAX(H657,G657)</f>
        <v>173.37</v>
      </c>
      <c r="J657" s="4" t="str">
        <f aca="false">IFERROR("PN"&amp;SMALL(PN_list,COUNTIF(PN_list,"&lt;"&amp;I657*bar_per_m)+1),"&gt; max PN")</f>
        <v>PN25</v>
      </c>
      <c r="K657" s="4" t="str">
        <f aca="false">IF(L657="no","end at tank",IF(H657&lt;0,"NEGATIVE",IF(H657&lt;p_min-0.005,"low","OK")))</f>
        <v>OK</v>
      </c>
      <c r="L657" s="4" t="s">
        <v>414</v>
      </c>
    </row>
    <row r="658" customFormat="false" ht="15" hidden="false" customHeight="false" outlineLevel="0" collapsed="false">
      <c r="A658" s="4" t="s">
        <v>42</v>
      </c>
      <c r="B658" s="4" t="s">
        <v>368</v>
      </c>
      <c r="C658" s="47" t="n">
        <v>11956.11</v>
      </c>
      <c r="D658" s="48" t="n">
        <v>1496.28</v>
      </c>
      <c r="E658" s="49" t="n">
        <f aca="false">D658-cover</f>
        <v>1495.08</v>
      </c>
      <c r="F658" s="50" t="n">
        <f aca="false">'Z5 Ikana-Nkangamo'!S12-'Z5 Ikana-Nkangamo'!P12*C658/'Z5 Ikana-Nkangamo'!G12</f>
        <v>1647.44816329169</v>
      </c>
      <c r="G658" s="51" t="n">
        <f aca="false">'Z5 Ikana-Nkangamo'!$B$8-E658</f>
        <v>172.92</v>
      </c>
      <c r="H658" s="52" t="n">
        <f aca="false">F658-E658</f>
        <v>152.368163291686</v>
      </c>
      <c r="I658" s="52" t="n">
        <f aca="false">MAX(H658,G658)</f>
        <v>172.92</v>
      </c>
      <c r="J658" s="4" t="str">
        <f aca="false">IFERROR("PN"&amp;SMALL(PN_list,COUNTIF(PN_list,"&lt;"&amp;I658*bar_per_m)+1),"&gt; max PN")</f>
        <v>PN25</v>
      </c>
      <c r="K658" s="4" t="str">
        <f aca="false">IF(L658="no","end at tank",IF(H658&lt;0,"NEGATIVE",IF(H658&lt;p_min-0.005,"low","OK")))</f>
        <v>OK</v>
      </c>
      <c r="L658" s="4" t="s">
        <v>414</v>
      </c>
    </row>
    <row r="659" customFormat="false" ht="15" hidden="false" customHeight="false" outlineLevel="0" collapsed="false">
      <c r="A659" s="4" t="s">
        <v>42</v>
      </c>
      <c r="B659" s="4" t="s">
        <v>368</v>
      </c>
      <c r="C659" s="47" t="n">
        <v>12006.11</v>
      </c>
      <c r="D659" s="48" t="n">
        <v>1495.38</v>
      </c>
      <c r="E659" s="49" t="n">
        <f aca="false">D659-cover</f>
        <v>1494.18</v>
      </c>
      <c r="F659" s="50" t="n">
        <f aca="false">'Z5 Ikana-Nkangamo'!S12-'Z5 Ikana-Nkangamo'!P12*C659/'Z5 Ikana-Nkangamo'!G12</f>
        <v>1647.38187150988</v>
      </c>
      <c r="G659" s="51" t="n">
        <f aca="false">'Z5 Ikana-Nkangamo'!$B$8-E659</f>
        <v>173.82</v>
      </c>
      <c r="H659" s="52" t="n">
        <f aca="false">F659-E659</f>
        <v>153.201871509876</v>
      </c>
      <c r="I659" s="52" t="n">
        <f aca="false">MAX(H659,G659)</f>
        <v>173.82</v>
      </c>
      <c r="J659" s="4" t="str">
        <f aca="false">IFERROR("PN"&amp;SMALL(PN_list,COUNTIF(PN_list,"&lt;"&amp;I659*bar_per_m)+1),"&gt; max PN")</f>
        <v>PN25</v>
      </c>
      <c r="K659" s="4" t="str">
        <f aca="false">IF(L659="no","end at tank",IF(H659&lt;0,"NEGATIVE",IF(H659&lt;p_min-0.005,"low","OK")))</f>
        <v>OK</v>
      </c>
      <c r="L659" s="4" t="s">
        <v>414</v>
      </c>
    </row>
    <row r="660" customFormat="false" ht="15" hidden="false" customHeight="false" outlineLevel="0" collapsed="false">
      <c r="A660" s="4" t="s">
        <v>42</v>
      </c>
      <c r="B660" s="4" t="s">
        <v>368</v>
      </c>
      <c r="C660" s="47" t="n">
        <v>12056.12</v>
      </c>
      <c r="D660" s="48" t="n">
        <v>1494.83</v>
      </c>
      <c r="E660" s="49" t="n">
        <f aca="false">D660-cover</f>
        <v>1493.63</v>
      </c>
      <c r="F660" s="50" t="n">
        <f aca="false">'Z5 Ikana-Nkangamo'!S12-'Z5 Ikana-Nkangamo'!P12*C660/'Z5 Ikana-Nkangamo'!G12</f>
        <v>1647.31556646971</v>
      </c>
      <c r="G660" s="51" t="n">
        <f aca="false">'Z5 Ikana-Nkangamo'!$B$8-E660</f>
        <v>174.37</v>
      </c>
      <c r="H660" s="52" t="n">
        <f aca="false">F660-E660</f>
        <v>153.68556646971</v>
      </c>
      <c r="I660" s="52" t="n">
        <f aca="false">MAX(H660,G660)</f>
        <v>174.37</v>
      </c>
      <c r="J660" s="4" t="str">
        <f aca="false">IFERROR("PN"&amp;SMALL(PN_list,COUNTIF(PN_list,"&lt;"&amp;I660*bar_per_m)+1),"&gt; max PN")</f>
        <v>PN25</v>
      </c>
      <c r="K660" s="4" t="str">
        <f aca="false">IF(L660="no","end at tank",IF(H660&lt;0,"NEGATIVE",IF(H660&lt;p_min-0.005,"low","OK")))</f>
        <v>OK</v>
      </c>
      <c r="L660" s="4" t="s">
        <v>414</v>
      </c>
    </row>
    <row r="661" customFormat="false" ht="15" hidden="false" customHeight="false" outlineLevel="0" collapsed="false">
      <c r="A661" s="4" t="s">
        <v>42</v>
      </c>
      <c r="B661" s="4" t="s">
        <v>368</v>
      </c>
      <c r="C661" s="47" t="n">
        <v>12106.13</v>
      </c>
      <c r="D661" s="48" t="n">
        <v>1493.9</v>
      </c>
      <c r="E661" s="49" t="n">
        <f aca="false">D661-cover</f>
        <v>1492.7</v>
      </c>
      <c r="F661" s="50" t="n">
        <f aca="false">'Z5 Ikana-Nkangamo'!S12-'Z5 Ikana-Nkangamo'!P12*C661/'Z5 Ikana-Nkangamo'!G12</f>
        <v>1647.24926142954</v>
      </c>
      <c r="G661" s="51" t="n">
        <f aca="false">'Z5 Ikana-Nkangamo'!$B$8-E661</f>
        <v>175.3</v>
      </c>
      <c r="H661" s="52" t="n">
        <f aca="false">F661-E661</f>
        <v>154.549261429544</v>
      </c>
      <c r="I661" s="52" t="n">
        <f aca="false">MAX(H661,G661)</f>
        <v>175.3</v>
      </c>
      <c r="J661" s="4" t="str">
        <f aca="false">IFERROR("PN"&amp;SMALL(PN_list,COUNTIF(PN_list,"&lt;"&amp;I661*bar_per_m)+1),"&gt; max PN")</f>
        <v>PN25</v>
      </c>
      <c r="K661" s="4" t="str">
        <f aca="false">IF(L661="no","end at tank",IF(H661&lt;0,"NEGATIVE",IF(H661&lt;p_min-0.005,"low","OK")))</f>
        <v>OK</v>
      </c>
      <c r="L661" s="4" t="s">
        <v>414</v>
      </c>
    </row>
    <row r="662" customFormat="false" ht="15" hidden="false" customHeight="false" outlineLevel="0" collapsed="false">
      <c r="A662" s="4" t="s">
        <v>42</v>
      </c>
      <c r="B662" s="4" t="s">
        <v>368</v>
      </c>
      <c r="C662" s="47" t="n">
        <v>12156.14</v>
      </c>
      <c r="D662" s="48" t="n">
        <v>1492.72</v>
      </c>
      <c r="E662" s="49" t="n">
        <f aca="false">D662-cover</f>
        <v>1491.52</v>
      </c>
      <c r="F662" s="50" t="n">
        <f aca="false">'Z5 Ikana-Nkangamo'!S12-'Z5 Ikana-Nkangamo'!P12*C662/'Z5 Ikana-Nkangamo'!G12</f>
        <v>1647.18295638938</v>
      </c>
      <c r="G662" s="51" t="n">
        <f aca="false">'Z5 Ikana-Nkangamo'!$B$8-E662</f>
        <v>176.48</v>
      </c>
      <c r="H662" s="52" t="n">
        <f aca="false">F662-E662</f>
        <v>155.662956389378</v>
      </c>
      <c r="I662" s="52" t="n">
        <f aca="false">MAX(H662,G662)</f>
        <v>176.48</v>
      </c>
      <c r="J662" s="4" t="str">
        <f aca="false">IFERROR("PN"&amp;SMALL(PN_list,COUNTIF(PN_list,"&lt;"&amp;I662*bar_per_m)+1),"&gt; max PN")</f>
        <v>PN25</v>
      </c>
      <c r="K662" s="4" t="str">
        <f aca="false">IF(L662="no","end at tank",IF(H662&lt;0,"NEGATIVE",IF(H662&lt;p_min-0.005,"low","OK")))</f>
        <v>OK</v>
      </c>
      <c r="L662" s="4" t="s">
        <v>414</v>
      </c>
    </row>
    <row r="663" customFormat="false" ht="15" hidden="false" customHeight="false" outlineLevel="0" collapsed="false">
      <c r="A663" s="4" t="s">
        <v>42</v>
      </c>
      <c r="B663" s="4" t="s">
        <v>368</v>
      </c>
      <c r="C663" s="47" t="n">
        <v>12206.16</v>
      </c>
      <c r="D663" s="48" t="n">
        <v>1491.37</v>
      </c>
      <c r="E663" s="49" t="n">
        <f aca="false">D663-cover</f>
        <v>1490.17</v>
      </c>
      <c r="F663" s="50" t="n">
        <f aca="false">'Z5 Ikana-Nkangamo'!S12-'Z5 Ikana-Nkangamo'!P12*C663/'Z5 Ikana-Nkangamo'!G12</f>
        <v>1647.11663809085</v>
      </c>
      <c r="G663" s="51" t="n">
        <f aca="false">'Z5 Ikana-Nkangamo'!$B$8-E663</f>
        <v>177.83</v>
      </c>
      <c r="H663" s="52" t="n">
        <f aca="false">F663-E663</f>
        <v>156.946638090855</v>
      </c>
      <c r="I663" s="52" t="n">
        <f aca="false">MAX(H663,G663)</f>
        <v>177.83</v>
      </c>
      <c r="J663" s="4" t="str">
        <f aca="false">IFERROR("PN"&amp;SMALL(PN_list,COUNTIF(PN_list,"&lt;"&amp;I663*bar_per_m)+1),"&gt; max PN")</f>
        <v>PN25</v>
      </c>
      <c r="K663" s="4" t="str">
        <f aca="false">IF(L663="no","end at tank",IF(H663&lt;0,"NEGATIVE",IF(H663&lt;p_min-0.005,"low","OK")))</f>
        <v>OK</v>
      </c>
      <c r="L663" s="4" t="s">
        <v>414</v>
      </c>
    </row>
    <row r="664" customFormat="false" ht="15" hidden="false" customHeight="false" outlineLevel="0" collapsed="false">
      <c r="A664" s="4" t="s">
        <v>42</v>
      </c>
      <c r="B664" s="4" t="s">
        <v>368</v>
      </c>
      <c r="C664" s="47" t="n">
        <v>12256.22</v>
      </c>
      <c r="D664" s="48" t="n">
        <v>1489.16</v>
      </c>
      <c r="E664" s="49" t="n">
        <f aca="false">D664-cover</f>
        <v>1487.96</v>
      </c>
      <c r="F664" s="50" t="n">
        <f aca="false">'Z5 Ikana-Nkangamo'!S12-'Z5 Ikana-Nkangamo'!P12*C664/'Z5 Ikana-Nkangamo'!G12</f>
        <v>1647.05026675891</v>
      </c>
      <c r="G664" s="51" t="n">
        <f aca="false">'Z5 Ikana-Nkangamo'!$B$8-E664</f>
        <v>180.04</v>
      </c>
      <c r="H664" s="52" t="n">
        <f aca="false">F664-E664</f>
        <v>159.090266758907</v>
      </c>
      <c r="I664" s="52" t="n">
        <f aca="false">MAX(H664,G664)</f>
        <v>180.04</v>
      </c>
      <c r="J664" s="4" t="str">
        <f aca="false">IFERROR("PN"&amp;SMALL(PN_list,COUNTIF(PN_list,"&lt;"&amp;I664*bar_per_m)+1),"&gt; max PN")</f>
        <v>PN25</v>
      </c>
      <c r="K664" s="4" t="str">
        <f aca="false">IF(L664="no","end at tank",IF(H664&lt;0,"NEGATIVE",IF(H664&lt;p_min-0.005,"low","OK")))</f>
        <v>OK</v>
      </c>
      <c r="L664" s="4" t="s">
        <v>414</v>
      </c>
    </row>
    <row r="665" customFormat="false" ht="15" hidden="false" customHeight="false" outlineLevel="0" collapsed="false">
      <c r="A665" s="4" t="s">
        <v>42</v>
      </c>
      <c r="B665" s="4" t="s">
        <v>368</v>
      </c>
      <c r="C665" s="47" t="n">
        <v>12306.25</v>
      </c>
      <c r="D665" s="48" t="n">
        <v>1487.37</v>
      </c>
      <c r="E665" s="49" t="n">
        <f aca="false">D665-cover</f>
        <v>1486.17</v>
      </c>
      <c r="F665" s="50" t="n">
        <f aca="false">'Z5 Ikana-Nkangamo'!S12-'Z5 Ikana-Nkangamo'!P12*C665/'Z5 Ikana-Nkangamo'!G12</f>
        <v>1646.98393520203</v>
      </c>
      <c r="G665" s="51" t="n">
        <f aca="false">'Z5 Ikana-Nkangamo'!$B$8-E665</f>
        <v>181.83</v>
      </c>
      <c r="H665" s="52" t="n">
        <f aca="false">F665-E665</f>
        <v>160.813935202028</v>
      </c>
      <c r="I665" s="52" t="n">
        <f aca="false">MAX(H665,G665)</f>
        <v>181.83</v>
      </c>
      <c r="J665" s="4" t="str">
        <f aca="false">IFERROR("PN"&amp;SMALL(PN_list,COUNTIF(PN_list,"&lt;"&amp;I665*bar_per_m)+1),"&gt; max PN")</f>
        <v>PN25</v>
      </c>
      <c r="K665" s="4" t="str">
        <f aca="false">IF(L665="no","end at tank",IF(H665&lt;0,"NEGATIVE",IF(H665&lt;p_min-0.005,"low","OK")))</f>
        <v>OK</v>
      </c>
      <c r="L665" s="4" t="s">
        <v>414</v>
      </c>
    </row>
    <row r="666" customFormat="false" ht="15" hidden="false" customHeight="false" outlineLevel="0" collapsed="false">
      <c r="A666" s="4" t="s">
        <v>42</v>
      </c>
      <c r="B666" s="4" t="s">
        <v>368</v>
      </c>
      <c r="C666" s="47" t="n">
        <v>12356.4</v>
      </c>
      <c r="D666" s="48" t="n">
        <v>1491.24</v>
      </c>
      <c r="E666" s="49" t="n">
        <f aca="false">D666-cover</f>
        <v>1490.04</v>
      </c>
      <c r="F666" s="50" t="n">
        <f aca="false">'Z5 Ikana-Nkangamo'!S12-'Z5 Ikana-Nkangamo'!P12*C666/'Z5 Ikana-Nkangamo'!G12</f>
        <v>1646.91744454487</v>
      </c>
      <c r="G666" s="51" t="n">
        <f aca="false">'Z5 Ikana-Nkangamo'!$B$8-E666</f>
        <v>177.96</v>
      </c>
      <c r="H666" s="52" t="n">
        <f aca="false">F666-E666</f>
        <v>156.877444544872</v>
      </c>
      <c r="I666" s="52" t="n">
        <f aca="false">MAX(H666,G666)</f>
        <v>177.96</v>
      </c>
      <c r="J666" s="4" t="str">
        <f aca="false">IFERROR("PN"&amp;SMALL(PN_list,COUNTIF(PN_list,"&lt;"&amp;I666*bar_per_m)+1),"&gt; max PN")</f>
        <v>PN25</v>
      </c>
      <c r="K666" s="4" t="str">
        <f aca="false">IF(L666="no","end at tank",IF(H666&lt;0,"NEGATIVE",IF(H666&lt;p_min-0.005,"low","OK")))</f>
        <v>OK</v>
      </c>
      <c r="L666" s="4" t="s">
        <v>414</v>
      </c>
    </row>
    <row r="667" customFormat="false" ht="15" hidden="false" customHeight="false" outlineLevel="0" collapsed="false">
      <c r="A667" s="4" t="s">
        <v>42</v>
      </c>
      <c r="B667" s="4" t="s">
        <v>368</v>
      </c>
      <c r="C667" s="47" t="n">
        <v>12406.44</v>
      </c>
      <c r="D667" s="48" t="n">
        <v>1493.32</v>
      </c>
      <c r="E667" s="49" t="n">
        <f aca="false">D667-cover</f>
        <v>1492.12</v>
      </c>
      <c r="F667" s="50" t="n">
        <f aca="false">'Z5 Ikana-Nkangamo'!S12-'Z5 Ikana-Nkangamo'!P12*C667/'Z5 Ikana-Nkangamo'!G12</f>
        <v>1646.85109972964</v>
      </c>
      <c r="G667" s="51" t="n">
        <f aca="false">'Z5 Ikana-Nkangamo'!$B$8-E667</f>
        <v>175.88</v>
      </c>
      <c r="H667" s="52" t="n">
        <f aca="false">F667-E667</f>
        <v>154.731099729637</v>
      </c>
      <c r="I667" s="52" t="n">
        <f aca="false">MAX(H667,G667)</f>
        <v>175.88</v>
      </c>
      <c r="J667" s="4" t="str">
        <f aca="false">IFERROR("PN"&amp;SMALL(PN_list,COUNTIF(PN_list,"&lt;"&amp;I667*bar_per_m)+1),"&gt; max PN")</f>
        <v>PN25</v>
      </c>
      <c r="K667" s="4" t="str">
        <f aca="false">IF(L667="no","end at tank",IF(H667&lt;0,"NEGATIVE",IF(H667&lt;p_min-0.005,"low","OK")))</f>
        <v>OK</v>
      </c>
      <c r="L667" s="4" t="s">
        <v>414</v>
      </c>
    </row>
    <row r="668" customFormat="false" ht="15" hidden="false" customHeight="false" outlineLevel="0" collapsed="false">
      <c r="A668" s="4" t="s">
        <v>42</v>
      </c>
      <c r="B668" s="4" t="s">
        <v>368</v>
      </c>
      <c r="C668" s="47" t="n">
        <v>12456.5</v>
      </c>
      <c r="D668" s="48" t="n">
        <v>1495.81</v>
      </c>
      <c r="E668" s="49" t="n">
        <f aca="false">D668-cover</f>
        <v>1494.61</v>
      </c>
      <c r="F668" s="50" t="n">
        <f aca="false">'Z5 Ikana-Nkangamo'!S12-'Z5 Ikana-Nkangamo'!P12*C668/'Z5 Ikana-Nkangamo'!G12</f>
        <v>1646.78472839769</v>
      </c>
      <c r="G668" s="51" t="n">
        <f aca="false">'Z5 Ikana-Nkangamo'!$B$8-E668</f>
        <v>173.39</v>
      </c>
      <c r="H668" s="52" t="n">
        <f aca="false">F668-E668</f>
        <v>152.174728397689</v>
      </c>
      <c r="I668" s="52" t="n">
        <f aca="false">MAX(H668,G668)</f>
        <v>173.39</v>
      </c>
      <c r="J668" s="4" t="str">
        <f aca="false">IFERROR("PN"&amp;SMALL(PN_list,COUNTIF(PN_list,"&lt;"&amp;I668*bar_per_m)+1),"&gt; max PN")</f>
        <v>PN25</v>
      </c>
      <c r="K668" s="4" t="str">
        <f aca="false">IF(L668="no","end at tank",IF(H668&lt;0,"NEGATIVE",IF(H668&lt;p_min-0.005,"low","OK")))</f>
        <v>OK</v>
      </c>
      <c r="L668" s="4" t="s">
        <v>414</v>
      </c>
    </row>
    <row r="669" customFormat="false" ht="15" hidden="false" customHeight="false" outlineLevel="0" collapsed="false">
      <c r="A669" s="4" t="s">
        <v>42</v>
      </c>
      <c r="B669" s="4" t="s">
        <v>368</v>
      </c>
      <c r="C669" s="47" t="n">
        <v>12506.57</v>
      </c>
      <c r="D669" s="48" t="n">
        <v>1498.33</v>
      </c>
      <c r="E669" s="49" t="n">
        <f aca="false">D669-cover</f>
        <v>1497.13</v>
      </c>
      <c r="F669" s="50" t="n">
        <f aca="false">'Z5 Ikana-Nkangamo'!S12-'Z5 Ikana-Nkangamo'!P12*C669/'Z5 Ikana-Nkangamo'!G12</f>
        <v>1646.71834380738</v>
      </c>
      <c r="G669" s="51" t="n">
        <f aca="false">'Z5 Ikana-Nkangamo'!$B$8-E669</f>
        <v>170.87</v>
      </c>
      <c r="H669" s="52" t="n">
        <f aca="false">F669-E669</f>
        <v>149.588343807385</v>
      </c>
      <c r="I669" s="52" t="n">
        <f aca="false">MAX(H669,G669)</f>
        <v>170.87</v>
      </c>
      <c r="J669" s="4" t="str">
        <f aca="false">IFERROR("PN"&amp;SMALL(PN_list,COUNTIF(PN_list,"&lt;"&amp;I669*bar_per_m)+1),"&gt; max PN")</f>
        <v>PN25</v>
      </c>
      <c r="K669" s="4" t="str">
        <f aca="false">IF(L669="no","end at tank",IF(H669&lt;0,"NEGATIVE",IF(H669&lt;p_min-0.005,"low","OK")))</f>
        <v>OK</v>
      </c>
      <c r="L669" s="4" t="s">
        <v>414</v>
      </c>
    </row>
    <row r="670" customFormat="false" ht="15" hidden="false" customHeight="false" outlineLevel="0" collapsed="false">
      <c r="A670" s="4" t="s">
        <v>42</v>
      </c>
      <c r="B670" s="4" t="s">
        <v>368</v>
      </c>
      <c r="C670" s="47" t="n">
        <v>12556.63</v>
      </c>
      <c r="D670" s="48" t="n">
        <v>1500.75</v>
      </c>
      <c r="E670" s="49" t="n">
        <f aca="false">D670-cover</f>
        <v>1499.55</v>
      </c>
      <c r="F670" s="50" t="n">
        <f aca="false">'Z5 Ikana-Nkangamo'!S12-'Z5 Ikana-Nkangamo'!P12*C670/'Z5 Ikana-Nkangamo'!G12</f>
        <v>1646.65197247544</v>
      </c>
      <c r="G670" s="51" t="n">
        <f aca="false">'Z5 Ikana-Nkangamo'!$B$8-E670</f>
        <v>168.45</v>
      </c>
      <c r="H670" s="52" t="n">
        <f aca="false">F670-E670</f>
        <v>147.101972475436</v>
      </c>
      <c r="I670" s="52" t="n">
        <f aca="false">MAX(H670,G670)</f>
        <v>168.45</v>
      </c>
      <c r="J670" s="4" t="str">
        <f aca="false">IFERROR("PN"&amp;SMALL(PN_list,COUNTIF(PN_list,"&lt;"&amp;I670*bar_per_m)+1),"&gt; max PN")</f>
        <v>PN25</v>
      </c>
      <c r="K670" s="4" t="str">
        <f aca="false">IF(L670="no","end at tank",IF(H670&lt;0,"NEGATIVE",IF(H670&lt;p_min-0.005,"low","OK")))</f>
        <v>OK</v>
      </c>
      <c r="L670" s="4" t="s">
        <v>414</v>
      </c>
    </row>
    <row r="671" customFormat="false" ht="15" hidden="false" customHeight="false" outlineLevel="0" collapsed="false">
      <c r="A671" s="4" t="s">
        <v>42</v>
      </c>
      <c r="B671" s="4" t="s">
        <v>368</v>
      </c>
      <c r="C671" s="47" t="n">
        <v>12606.7</v>
      </c>
      <c r="D671" s="48" t="n">
        <v>1503.49</v>
      </c>
      <c r="E671" s="49" t="n">
        <f aca="false">D671-cover</f>
        <v>1502.29</v>
      </c>
      <c r="F671" s="50" t="n">
        <f aca="false">'Z5 Ikana-Nkangamo'!S12-'Z5 Ikana-Nkangamo'!P12*C671/'Z5 Ikana-Nkangamo'!G12</f>
        <v>1646.58558788513</v>
      </c>
      <c r="G671" s="51" t="n">
        <f aca="false">'Z5 Ikana-Nkangamo'!$B$8-E671</f>
        <v>165.71</v>
      </c>
      <c r="H671" s="52" t="n">
        <f aca="false">F671-E671</f>
        <v>144.295587885132</v>
      </c>
      <c r="I671" s="52" t="n">
        <f aca="false">MAX(H671,G671)</f>
        <v>165.71</v>
      </c>
      <c r="J671" s="4" t="str">
        <f aca="false">IFERROR("PN"&amp;SMALL(PN_list,COUNTIF(PN_list,"&lt;"&amp;I671*bar_per_m)+1),"&gt; max PN")</f>
        <v>PN25</v>
      </c>
      <c r="K671" s="4" t="str">
        <f aca="false">IF(L671="no","end at tank",IF(H671&lt;0,"NEGATIVE",IF(H671&lt;p_min-0.005,"low","OK")))</f>
        <v>OK</v>
      </c>
      <c r="L671" s="4" t="s">
        <v>414</v>
      </c>
    </row>
    <row r="672" customFormat="false" ht="15" hidden="false" customHeight="false" outlineLevel="0" collapsed="false">
      <c r="A672" s="4" t="s">
        <v>42</v>
      </c>
      <c r="B672" s="4" t="s">
        <v>368</v>
      </c>
      <c r="C672" s="47" t="n">
        <v>12656.72</v>
      </c>
      <c r="D672" s="48" t="n">
        <v>1504.89</v>
      </c>
      <c r="E672" s="49" t="n">
        <f aca="false">D672-cover</f>
        <v>1503.69</v>
      </c>
      <c r="F672" s="50" t="n">
        <f aca="false">'Z5 Ikana-Nkangamo'!S12-'Z5 Ikana-Nkangamo'!P12*C672/'Z5 Ikana-Nkangamo'!G12</f>
        <v>1646.51926958661</v>
      </c>
      <c r="G672" s="51" t="n">
        <f aca="false">'Z5 Ikana-Nkangamo'!$B$8-E672</f>
        <v>164.31</v>
      </c>
      <c r="H672" s="52" t="n">
        <f aca="false">F672-E672</f>
        <v>142.829269586609</v>
      </c>
      <c r="I672" s="52" t="n">
        <f aca="false">MAX(H672,G672)</f>
        <v>164.31</v>
      </c>
      <c r="J672" s="4" t="str">
        <f aca="false">IFERROR("PN"&amp;SMALL(PN_list,COUNTIF(PN_list,"&lt;"&amp;I672*bar_per_m)+1),"&gt; max PN")</f>
        <v>PN25</v>
      </c>
      <c r="K672" s="4" t="str">
        <f aca="false">IF(L672="no","end at tank",IF(H672&lt;0,"NEGATIVE",IF(H672&lt;p_min-0.005,"low","OK")))</f>
        <v>OK</v>
      </c>
      <c r="L672" s="4" t="s">
        <v>414</v>
      </c>
    </row>
    <row r="673" customFormat="false" ht="15" hidden="false" customHeight="false" outlineLevel="0" collapsed="false">
      <c r="A673" s="4" t="s">
        <v>42</v>
      </c>
      <c r="B673" s="4" t="s">
        <v>368</v>
      </c>
      <c r="C673" s="47" t="n">
        <v>12706.77</v>
      </c>
      <c r="D673" s="48" t="n">
        <v>1507.04</v>
      </c>
      <c r="E673" s="49" t="n">
        <f aca="false">D673-cover</f>
        <v>1505.84</v>
      </c>
      <c r="F673" s="50" t="n">
        <f aca="false">'Z5 Ikana-Nkangamo'!S12-'Z5 Ikana-Nkangamo'!P12*C673/'Z5 Ikana-Nkangamo'!G12</f>
        <v>1646.45291151302</v>
      </c>
      <c r="G673" s="51" t="n">
        <f aca="false">'Z5 Ikana-Nkangamo'!$B$8-E673</f>
        <v>162.16</v>
      </c>
      <c r="H673" s="52" t="n">
        <f aca="false">F673-E673</f>
        <v>140.612911513017</v>
      </c>
      <c r="I673" s="52" t="n">
        <f aca="false">MAX(H673,G673)</f>
        <v>162.16</v>
      </c>
      <c r="J673" s="4" t="str">
        <f aca="false">IFERROR("PN"&amp;SMALL(PN_list,COUNTIF(PN_list,"&lt;"&amp;I673*bar_per_m)+1),"&gt; max PN")</f>
        <v>PN16</v>
      </c>
      <c r="K673" s="4" t="str">
        <f aca="false">IF(L673="no","end at tank",IF(H673&lt;0,"NEGATIVE",IF(H673&lt;p_min-0.005,"low","OK")))</f>
        <v>OK</v>
      </c>
      <c r="L673" s="4" t="s">
        <v>414</v>
      </c>
    </row>
    <row r="674" customFormat="false" ht="15" hidden="false" customHeight="false" outlineLevel="0" collapsed="false">
      <c r="A674" s="4" t="s">
        <v>42</v>
      </c>
      <c r="B674" s="4" t="s">
        <v>368</v>
      </c>
      <c r="C674" s="47" t="n">
        <v>12756.79</v>
      </c>
      <c r="D674" s="48" t="n">
        <v>1508.67</v>
      </c>
      <c r="E674" s="49" t="n">
        <f aca="false">D674-cover</f>
        <v>1507.47</v>
      </c>
      <c r="F674" s="50" t="n">
        <f aca="false">'Z5 Ikana-Nkangamo'!S12-'Z5 Ikana-Nkangamo'!P12*C674/'Z5 Ikana-Nkangamo'!G12</f>
        <v>1646.38659321449</v>
      </c>
      <c r="G674" s="51" t="n">
        <f aca="false">'Z5 Ikana-Nkangamo'!$B$8-E674</f>
        <v>160.53</v>
      </c>
      <c r="H674" s="52" t="n">
        <f aca="false">F674-E674</f>
        <v>138.916593214494</v>
      </c>
      <c r="I674" s="52" t="n">
        <f aca="false">MAX(H674,G674)</f>
        <v>160.53</v>
      </c>
      <c r="J674" s="4" t="str">
        <f aca="false">IFERROR("PN"&amp;SMALL(PN_list,COUNTIF(PN_list,"&lt;"&amp;I674*bar_per_m)+1),"&gt; max PN")</f>
        <v>PN16</v>
      </c>
      <c r="K674" s="4" t="str">
        <f aca="false">IF(L674="no","end at tank",IF(H674&lt;0,"NEGATIVE",IF(H674&lt;p_min-0.005,"low","OK")))</f>
        <v>OK</v>
      </c>
      <c r="L674" s="4" t="s">
        <v>414</v>
      </c>
    </row>
    <row r="675" customFormat="false" ht="15" hidden="false" customHeight="false" outlineLevel="0" collapsed="false">
      <c r="A675" s="4" t="s">
        <v>42</v>
      </c>
      <c r="B675" s="4" t="s">
        <v>368</v>
      </c>
      <c r="C675" s="47" t="n">
        <v>12806.83</v>
      </c>
      <c r="D675" s="48" t="n">
        <v>1510.53</v>
      </c>
      <c r="E675" s="49" t="n">
        <f aca="false">D675-cover</f>
        <v>1509.33</v>
      </c>
      <c r="F675" s="50" t="n">
        <f aca="false">'Z5 Ikana-Nkangamo'!S12-'Z5 Ikana-Nkangamo'!P12*C675/'Z5 Ikana-Nkangamo'!G12</f>
        <v>1646.32024839926</v>
      </c>
      <c r="G675" s="51" t="n">
        <f aca="false">'Z5 Ikana-Nkangamo'!$B$8-E675</f>
        <v>158.67</v>
      </c>
      <c r="H675" s="52" t="n">
        <f aca="false">F675-E675</f>
        <v>136.990248399259</v>
      </c>
      <c r="I675" s="52" t="n">
        <f aca="false">MAX(H675,G675)</f>
        <v>158.67</v>
      </c>
      <c r="J675" s="4" t="str">
        <f aca="false">IFERROR("PN"&amp;SMALL(PN_list,COUNTIF(PN_list,"&lt;"&amp;I675*bar_per_m)+1),"&gt; max PN")</f>
        <v>PN16</v>
      </c>
      <c r="K675" s="4" t="str">
        <f aca="false">IF(L675="no","end at tank",IF(H675&lt;0,"NEGATIVE",IF(H675&lt;p_min-0.005,"low","OK")))</f>
        <v>OK</v>
      </c>
      <c r="L675" s="4" t="s">
        <v>414</v>
      </c>
    </row>
    <row r="676" customFormat="false" ht="15" hidden="false" customHeight="false" outlineLevel="0" collapsed="false">
      <c r="A676" s="4" t="s">
        <v>42</v>
      </c>
      <c r="B676" s="4" t="s">
        <v>368</v>
      </c>
      <c r="C676" s="47" t="n">
        <v>12856.85</v>
      </c>
      <c r="D676" s="48" t="n">
        <v>1511.89</v>
      </c>
      <c r="E676" s="49" t="n">
        <f aca="false">D676-cover</f>
        <v>1510.69</v>
      </c>
      <c r="F676" s="50" t="n">
        <f aca="false">'Z5 Ikana-Nkangamo'!S12-'Z5 Ikana-Nkangamo'!P12*C676/'Z5 Ikana-Nkangamo'!G12</f>
        <v>1646.25393010074</v>
      </c>
      <c r="G676" s="51" t="n">
        <f aca="false">'Z5 Ikana-Nkangamo'!$B$8-E676</f>
        <v>157.31</v>
      </c>
      <c r="H676" s="52" t="n">
        <f aca="false">F676-E676</f>
        <v>135.563930100737</v>
      </c>
      <c r="I676" s="52" t="n">
        <f aca="false">MAX(H676,G676)</f>
        <v>157.31</v>
      </c>
      <c r="J676" s="4" t="str">
        <f aca="false">IFERROR("PN"&amp;SMALL(PN_list,COUNTIF(PN_list,"&lt;"&amp;I676*bar_per_m)+1),"&gt; max PN")</f>
        <v>PN16</v>
      </c>
      <c r="K676" s="4" t="str">
        <f aca="false">IF(L676="no","end at tank",IF(H676&lt;0,"NEGATIVE",IF(H676&lt;p_min-0.005,"low","OK")))</f>
        <v>OK</v>
      </c>
      <c r="L676" s="4" t="s">
        <v>414</v>
      </c>
    </row>
    <row r="677" customFormat="false" ht="15" hidden="false" customHeight="false" outlineLevel="0" collapsed="false">
      <c r="A677" s="4" t="s">
        <v>42</v>
      </c>
      <c r="B677" s="4" t="s">
        <v>368</v>
      </c>
      <c r="C677" s="47" t="n">
        <v>12906.86</v>
      </c>
      <c r="D677" s="48" t="n">
        <v>1513.15</v>
      </c>
      <c r="E677" s="49" t="n">
        <f aca="false">D677-cover</f>
        <v>1511.95</v>
      </c>
      <c r="F677" s="50" t="n">
        <f aca="false">'Z5 Ikana-Nkangamo'!S12-'Z5 Ikana-Nkangamo'!P12*C677/'Z5 Ikana-Nkangamo'!G12</f>
        <v>1646.18762506057</v>
      </c>
      <c r="G677" s="51" t="n">
        <f aca="false">'Z5 Ikana-Nkangamo'!$B$8-E677</f>
        <v>156.05</v>
      </c>
      <c r="H677" s="52" t="n">
        <f aca="false">F677-E677</f>
        <v>134.23762506057</v>
      </c>
      <c r="I677" s="52" t="n">
        <f aca="false">MAX(H677,G677)</f>
        <v>156.05</v>
      </c>
      <c r="J677" s="4" t="str">
        <f aca="false">IFERROR("PN"&amp;SMALL(PN_list,COUNTIF(PN_list,"&lt;"&amp;I677*bar_per_m)+1),"&gt; max PN")</f>
        <v>PN16</v>
      </c>
      <c r="K677" s="4" t="str">
        <f aca="false">IF(L677="no","end at tank",IF(H677&lt;0,"NEGATIVE",IF(H677&lt;p_min-0.005,"low","OK")))</f>
        <v>OK</v>
      </c>
      <c r="L677" s="4" t="s">
        <v>414</v>
      </c>
    </row>
    <row r="678" customFormat="false" ht="15" hidden="false" customHeight="false" outlineLevel="0" collapsed="false">
      <c r="A678" s="4" t="s">
        <v>42</v>
      </c>
      <c r="B678" s="4" t="s">
        <v>368</v>
      </c>
      <c r="C678" s="47" t="n">
        <v>12956.87</v>
      </c>
      <c r="D678" s="48" t="n">
        <v>1513.76</v>
      </c>
      <c r="E678" s="49" t="n">
        <f aca="false">D678-cover</f>
        <v>1512.56</v>
      </c>
      <c r="F678" s="50" t="n">
        <f aca="false">'Z5 Ikana-Nkangamo'!S12-'Z5 Ikana-Nkangamo'!P12*C678/'Z5 Ikana-Nkangamo'!G12</f>
        <v>1646.1213200204</v>
      </c>
      <c r="G678" s="51" t="n">
        <f aca="false">'Z5 Ikana-Nkangamo'!$B$8-E678</f>
        <v>155.44</v>
      </c>
      <c r="H678" s="52" t="n">
        <f aca="false">F678-E678</f>
        <v>133.561320020404</v>
      </c>
      <c r="I678" s="52" t="n">
        <f aca="false">MAX(H678,G678)</f>
        <v>155.44</v>
      </c>
      <c r="J678" s="4" t="str">
        <f aca="false">IFERROR("PN"&amp;SMALL(PN_list,COUNTIF(PN_list,"&lt;"&amp;I678*bar_per_m)+1),"&gt; max PN")</f>
        <v>PN16</v>
      </c>
      <c r="K678" s="4" t="str">
        <f aca="false">IF(L678="no","end at tank",IF(H678&lt;0,"NEGATIVE",IF(H678&lt;p_min-0.005,"low","OK")))</f>
        <v>OK</v>
      </c>
      <c r="L678" s="4" t="s">
        <v>414</v>
      </c>
    </row>
    <row r="679" customFormat="false" ht="15" hidden="false" customHeight="false" outlineLevel="0" collapsed="false">
      <c r="A679" s="4" t="s">
        <v>42</v>
      </c>
      <c r="B679" s="4" t="s">
        <v>368</v>
      </c>
      <c r="C679" s="47" t="n">
        <v>13006.87</v>
      </c>
      <c r="D679" s="48" t="n">
        <v>1514.19</v>
      </c>
      <c r="E679" s="49" t="n">
        <f aca="false">D679-cover</f>
        <v>1512.99</v>
      </c>
      <c r="F679" s="50" t="n">
        <f aca="false">'Z5 Ikana-Nkangamo'!S12-'Z5 Ikana-Nkangamo'!P12*C679/'Z5 Ikana-Nkangamo'!G12</f>
        <v>1646.05502823859</v>
      </c>
      <c r="G679" s="51" t="n">
        <f aca="false">'Z5 Ikana-Nkangamo'!$B$8-E679</f>
        <v>155.01</v>
      </c>
      <c r="H679" s="52" t="n">
        <f aca="false">F679-E679</f>
        <v>133.065028238594</v>
      </c>
      <c r="I679" s="52" t="n">
        <f aca="false">MAX(H679,G679)</f>
        <v>155.01</v>
      </c>
      <c r="J679" s="4" t="str">
        <f aca="false">IFERROR("PN"&amp;SMALL(PN_list,COUNTIF(PN_list,"&lt;"&amp;I679*bar_per_m)+1),"&gt; max PN")</f>
        <v>PN16</v>
      </c>
      <c r="K679" s="4" t="str">
        <f aca="false">IF(L679="no","end at tank",IF(H679&lt;0,"NEGATIVE",IF(H679&lt;p_min-0.005,"low","OK")))</f>
        <v>OK</v>
      </c>
      <c r="L679" s="4" t="s">
        <v>414</v>
      </c>
    </row>
    <row r="680" customFormat="false" ht="15" hidden="false" customHeight="false" outlineLevel="0" collapsed="false">
      <c r="A680" s="4" t="s">
        <v>42</v>
      </c>
      <c r="B680" s="4" t="s">
        <v>368</v>
      </c>
      <c r="C680" s="47" t="n">
        <v>13056.87</v>
      </c>
      <c r="D680" s="48" t="n">
        <v>1513.97</v>
      </c>
      <c r="E680" s="49" t="n">
        <f aca="false">D680-cover</f>
        <v>1512.77</v>
      </c>
      <c r="F680" s="50" t="n">
        <f aca="false">'Z5 Ikana-Nkangamo'!S12-'Z5 Ikana-Nkangamo'!P12*C680/'Z5 Ikana-Nkangamo'!G12</f>
        <v>1645.98873645678</v>
      </c>
      <c r="G680" s="51" t="n">
        <f aca="false">'Z5 Ikana-Nkangamo'!$B$8-E680</f>
        <v>155.23</v>
      </c>
      <c r="H680" s="52" t="n">
        <f aca="false">F680-E680</f>
        <v>133.218736456784</v>
      </c>
      <c r="I680" s="52" t="n">
        <f aca="false">MAX(H680,G680)</f>
        <v>155.23</v>
      </c>
      <c r="J680" s="4" t="str">
        <f aca="false">IFERROR("PN"&amp;SMALL(PN_list,COUNTIF(PN_list,"&lt;"&amp;I680*bar_per_m)+1),"&gt; max PN")</f>
        <v>PN16</v>
      </c>
      <c r="K680" s="4" t="str">
        <f aca="false">IF(L680="no","end at tank",IF(H680&lt;0,"NEGATIVE",IF(H680&lt;p_min-0.005,"low","OK")))</f>
        <v>OK</v>
      </c>
      <c r="L680" s="4" t="s">
        <v>414</v>
      </c>
    </row>
    <row r="681" customFormat="false" ht="15" hidden="false" customHeight="false" outlineLevel="0" collapsed="false">
      <c r="A681" s="4" t="s">
        <v>42</v>
      </c>
      <c r="B681" s="4" t="s">
        <v>368</v>
      </c>
      <c r="C681" s="47" t="n">
        <v>13106.87</v>
      </c>
      <c r="D681" s="48" t="n">
        <v>1513.35</v>
      </c>
      <c r="E681" s="49" t="n">
        <f aca="false">D681-cover</f>
        <v>1512.15</v>
      </c>
      <c r="F681" s="50" t="n">
        <f aca="false">'Z5 Ikana-Nkangamo'!S12-'Z5 Ikana-Nkangamo'!P12*C681/'Z5 Ikana-Nkangamo'!G12</f>
        <v>1645.92244467497</v>
      </c>
      <c r="G681" s="51" t="n">
        <f aca="false">'Z5 Ikana-Nkangamo'!$B$8-E681</f>
        <v>155.85</v>
      </c>
      <c r="H681" s="52" t="n">
        <f aca="false">F681-E681</f>
        <v>133.772444674974</v>
      </c>
      <c r="I681" s="52" t="n">
        <f aca="false">MAX(H681,G681)</f>
        <v>155.85</v>
      </c>
      <c r="J681" s="4" t="str">
        <f aca="false">IFERROR("PN"&amp;SMALL(PN_list,COUNTIF(PN_list,"&lt;"&amp;I681*bar_per_m)+1),"&gt; max PN")</f>
        <v>PN16</v>
      </c>
      <c r="K681" s="4" t="str">
        <f aca="false">IF(L681="no","end at tank",IF(H681&lt;0,"NEGATIVE",IF(H681&lt;p_min-0.005,"low","OK")))</f>
        <v>OK</v>
      </c>
      <c r="L681" s="4" t="s">
        <v>414</v>
      </c>
    </row>
    <row r="682" customFormat="false" ht="15" hidden="false" customHeight="false" outlineLevel="0" collapsed="false">
      <c r="A682" s="4" t="s">
        <v>42</v>
      </c>
      <c r="B682" s="4" t="s">
        <v>368</v>
      </c>
      <c r="C682" s="47" t="n">
        <v>13156.88</v>
      </c>
      <c r="D682" s="48" t="n">
        <v>1512.72</v>
      </c>
      <c r="E682" s="49" t="n">
        <f aca="false">D682-cover</f>
        <v>1511.52</v>
      </c>
      <c r="F682" s="50" t="n">
        <f aca="false">'Z5 Ikana-Nkangamo'!S12-'Z5 Ikana-Nkangamo'!P12*C682/'Z5 Ikana-Nkangamo'!G12</f>
        <v>1645.85613963481</v>
      </c>
      <c r="G682" s="51" t="n">
        <f aca="false">'Z5 Ikana-Nkangamo'!$B$8-E682</f>
        <v>156.48</v>
      </c>
      <c r="H682" s="52" t="n">
        <f aca="false">F682-E682</f>
        <v>134.336139634808</v>
      </c>
      <c r="I682" s="52" t="n">
        <f aca="false">MAX(H682,G682)</f>
        <v>156.48</v>
      </c>
      <c r="J682" s="4" t="str">
        <f aca="false">IFERROR("PN"&amp;SMALL(PN_list,COUNTIF(PN_list,"&lt;"&amp;I682*bar_per_m)+1),"&gt; max PN")</f>
        <v>PN16</v>
      </c>
      <c r="K682" s="4" t="str">
        <f aca="false">IF(L682="no","end at tank",IF(H682&lt;0,"NEGATIVE",IF(H682&lt;p_min-0.005,"low","OK")))</f>
        <v>OK</v>
      </c>
      <c r="L682" s="4" t="s">
        <v>414</v>
      </c>
    </row>
    <row r="683" customFormat="false" ht="15" hidden="false" customHeight="false" outlineLevel="0" collapsed="false">
      <c r="A683" s="4" t="s">
        <v>42</v>
      </c>
      <c r="B683" s="4" t="s">
        <v>368</v>
      </c>
      <c r="C683" s="47" t="n">
        <v>13206.93</v>
      </c>
      <c r="D683" s="48" t="n">
        <v>1510.49</v>
      </c>
      <c r="E683" s="49" t="n">
        <f aca="false">D683-cover</f>
        <v>1509.29</v>
      </c>
      <c r="F683" s="50" t="n">
        <f aca="false">'Z5 Ikana-Nkangamo'!S12-'Z5 Ikana-Nkangamo'!P12*C683/'Z5 Ikana-Nkangamo'!G12</f>
        <v>1645.78978156122</v>
      </c>
      <c r="G683" s="51" t="n">
        <f aca="false">'Z5 Ikana-Nkangamo'!$B$8-E683</f>
        <v>158.71</v>
      </c>
      <c r="H683" s="52" t="n">
        <f aca="false">F683-E683</f>
        <v>136.499781561216</v>
      </c>
      <c r="I683" s="52" t="n">
        <f aca="false">MAX(H683,G683)</f>
        <v>158.71</v>
      </c>
      <c r="J683" s="4" t="str">
        <f aca="false">IFERROR("PN"&amp;SMALL(PN_list,COUNTIF(PN_list,"&lt;"&amp;I683*bar_per_m)+1),"&gt; max PN")</f>
        <v>PN16</v>
      </c>
      <c r="K683" s="4" t="str">
        <f aca="false">IF(L683="no","end at tank",IF(H683&lt;0,"NEGATIVE",IF(H683&lt;p_min-0.005,"low","OK")))</f>
        <v>OK</v>
      </c>
      <c r="L683" s="4" t="s">
        <v>414</v>
      </c>
    </row>
    <row r="684" customFormat="false" ht="15" hidden="false" customHeight="false" outlineLevel="0" collapsed="false">
      <c r="A684" s="4" t="s">
        <v>42</v>
      </c>
      <c r="B684" s="4" t="s">
        <v>368</v>
      </c>
      <c r="C684" s="47" t="n">
        <v>13256.8</v>
      </c>
      <c r="D684" s="48" t="n">
        <v>1508.99</v>
      </c>
      <c r="E684" s="49" t="n">
        <f aca="false">D684-cover</f>
        <v>1507.79</v>
      </c>
      <c r="F684" s="50" t="n">
        <f aca="false">'Z5 Ikana-Nkangamo'!S12-'Z5 Ikana-Nkangamo'!P12*C684/'Z5 Ikana-Nkangamo'!G12</f>
        <v>1645.72366213804</v>
      </c>
      <c r="G684" s="51" t="n">
        <f aca="false">'Z5 Ikana-Nkangamo'!$B$8-E684</f>
        <v>160.21</v>
      </c>
      <c r="H684" s="52" t="n">
        <f aca="false">F684-E684</f>
        <v>137.933662138039</v>
      </c>
      <c r="I684" s="52" t="n">
        <f aca="false">MAX(H684,G684)</f>
        <v>160.21</v>
      </c>
      <c r="J684" s="4" t="str">
        <f aca="false">IFERROR("PN"&amp;SMALL(PN_list,COUNTIF(PN_list,"&lt;"&amp;I684*bar_per_m)+1),"&gt; max PN")</f>
        <v>PN16</v>
      </c>
      <c r="K684" s="4" t="str">
        <f aca="false">IF(L684="no","end at tank",IF(H684&lt;0,"NEGATIVE",IF(H684&lt;p_min-0.005,"low","OK")))</f>
        <v>OK</v>
      </c>
      <c r="L684" s="4" t="s">
        <v>414</v>
      </c>
    </row>
    <row r="685" customFormat="false" ht="15" hidden="false" customHeight="false" outlineLevel="0" collapsed="false">
      <c r="A685" s="4" t="s">
        <v>42</v>
      </c>
      <c r="B685" s="4" t="s">
        <v>368</v>
      </c>
      <c r="C685" s="47" t="n">
        <v>13306.86</v>
      </c>
      <c r="D685" s="48" t="n">
        <v>1506.45</v>
      </c>
      <c r="E685" s="49" t="n">
        <f aca="false">D685-cover</f>
        <v>1505.25</v>
      </c>
      <c r="F685" s="50" t="n">
        <f aca="false">'Z5 Ikana-Nkangamo'!S12-'Z5 Ikana-Nkangamo'!P12*C685/'Z5 Ikana-Nkangamo'!G12</f>
        <v>1645.65729080609</v>
      </c>
      <c r="G685" s="51" t="n">
        <f aca="false">'Z5 Ikana-Nkangamo'!$B$8-E685</f>
        <v>162.75</v>
      </c>
      <c r="H685" s="52" t="n">
        <f aca="false">F685-E685</f>
        <v>140.407290806091</v>
      </c>
      <c r="I685" s="52" t="n">
        <f aca="false">MAX(H685,G685)</f>
        <v>162.75</v>
      </c>
      <c r="J685" s="4" t="str">
        <f aca="false">IFERROR("PN"&amp;SMALL(PN_list,COUNTIF(PN_list,"&lt;"&amp;I685*bar_per_m)+1),"&gt; max PN")</f>
        <v>PN16</v>
      </c>
      <c r="K685" s="4" t="str">
        <f aca="false">IF(L685="no","end at tank",IF(H685&lt;0,"NEGATIVE",IF(H685&lt;p_min-0.005,"low","OK")))</f>
        <v>OK</v>
      </c>
      <c r="L685" s="4" t="s">
        <v>414</v>
      </c>
    </row>
    <row r="686" customFormat="false" ht="15" hidden="false" customHeight="false" outlineLevel="0" collapsed="false">
      <c r="A686" s="4" t="s">
        <v>42</v>
      </c>
      <c r="B686" s="4" t="s">
        <v>368</v>
      </c>
      <c r="C686" s="47" t="n">
        <v>13356.89</v>
      </c>
      <c r="D686" s="48" t="n">
        <v>1504.91</v>
      </c>
      <c r="E686" s="49" t="n">
        <f aca="false">D686-cover</f>
        <v>1503.71</v>
      </c>
      <c r="F686" s="50" t="n">
        <f aca="false">'Z5 Ikana-Nkangamo'!S12-'Z5 Ikana-Nkangamo'!P12*C686/'Z5 Ikana-Nkangamo'!G12</f>
        <v>1645.59095924921</v>
      </c>
      <c r="G686" s="51" t="n">
        <f aca="false">'Z5 Ikana-Nkangamo'!$B$8-E686</f>
        <v>164.29</v>
      </c>
      <c r="H686" s="52" t="n">
        <f aca="false">F686-E686</f>
        <v>141.880959249212</v>
      </c>
      <c r="I686" s="52" t="n">
        <f aca="false">MAX(H686,G686)</f>
        <v>164.29</v>
      </c>
      <c r="J686" s="4" t="str">
        <f aca="false">IFERROR("PN"&amp;SMALL(PN_list,COUNTIF(PN_list,"&lt;"&amp;I686*bar_per_m)+1),"&gt; max PN")</f>
        <v>PN25</v>
      </c>
      <c r="K686" s="4" t="str">
        <f aca="false">IF(L686="no","end at tank",IF(H686&lt;0,"NEGATIVE",IF(H686&lt;p_min-0.005,"low","OK")))</f>
        <v>OK</v>
      </c>
      <c r="L686" s="4" t="s">
        <v>414</v>
      </c>
    </row>
    <row r="687" customFormat="false" ht="15" hidden="false" customHeight="false" outlineLevel="0" collapsed="false">
      <c r="A687" s="4" t="s">
        <v>42</v>
      </c>
      <c r="B687" s="4" t="s">
        <v>368</v>
      </c>
      <c r="C687" s="47" t="n">
        <v>13406.95</v>
      </c>
      <c r="D687" s="48" t="n">
        <v>1502.4</v>
      </c>
      <c r="E687" s="49" t="n">
        <f aca="false">D687-cover</f>
        <v>1501.2</v>
      </c>
      <c r="F687" s="50" t="n">
        <f aca="false">'Z5 Ikana-Nkangamo'!S12-'Z5 Ikana-Nkangamo'!P12*C687/'Z5 Ikana-Nkangamo'!G12</f>
        <v>1645.52458791726</v>
      </c>
      <c r="G687" s="51" t="n">
        <f aca="false">'Z5 Ikana-Nkangamo'!$B$8-E687</f>
        <v>166.8</v>
      </c>
      <c r="H687" s="52" t="n">
        <f aca="false">F687-E687</f>
        <v>144.324587917263</v>
      </c>
      <c r="I687" s="52" t="n">
        <f aca="false">MAX(H687,G687)</f>
        <v>166.8</v>
      </c>
      <c r="J687" s="4" t="str">
        <f aca="false">IFERROR("PN"&amp;SMALL(PN_list,COUNTIF(PN_list,"&lt;"&amp;I687*bar_per_m)+1),"&gt; max PN")</f>
        <v>PN25</v>
      </c>
      <c r="K687" s="4" t="str">
        <f aca="false">IF(L687="no","end at tank",IF(H687&lt;0,"NEGATIVE",IF(H687&lt;p_min-0.005,"low","OK")))</f>
        <v>OK</v>
      </c>
      <c r="L687" s="4" t="s">
        <v>414</v>
      </c>
    </row>
    <row r="688" customFormat="false" ht="15" hidden="false" customHeight="false" outlineLevel="0" collapsed="false">
      <c r="A688" s="4" t="s">
        <v>42</v>
      </c>
      <c r="B688" s="4" t="s">
        <v>368</v>
      </c>
      <c r="C688" s="47" t="n">
        <v>13457.04</v>
      </c>
      <c r="D688" s="48" t="n">
        <v>1499.33</v>
      </c>
      <c r="E688" s="49" t="n">
        <f aca="false">D688-cover</f>
        <v>1498.13</v>
      </c>
      <c r="F688" s="50" t="n">
        <f aca="false">'Z5 Ikana-Nkangamo'!S12-'Z5 Ikana-Nkangamo'!P12*C688/'Z5 Ikana-Nkangamo'!G12</f>
        <v>1645.45817681025</v>
      </c>
      <c r="G688" s="51" t="n">
        <f aca="false">'Z5 Ikana-Nkangamo'!$B$8-E688</f>
        <v>169.87</v>
      </c>
      <c r="H688" s="52" t="n">
        <f aca="false">F688-E688</f>
        <v>147.328176810247</v>
      </c>
      <c r="I688" s="52" t="n">
        <f aca="false">MAX(H688,G688)</f>
        <v>169.87</v>
      </c>
      <c r="J688" s="4" t="str">
        <f aca="false">IFERROR("PN"&amp;SMALL(PN_list,COUNTIF(PN_list,"&lt;"&amp;I688*bar_per_m)+1),"&gt; max PN")</f>
        <v>PN25</v>
      </c>
      <c r="K688" s="4" t="str">
        <f aca="false">IF(L688="no","end at tank",IF(H688&lt;0,"NEGATIVE",IF(H688&lt;p_min-0.005,"low","OK")))</f>
        <v>OK</v>
      </c>
      <c r="L688" s="4" t="s">
        <v>414</v>
      </c>
    </row>
    <row r="689" customFormat="false" ht="15" hidden="false" customHeight="false" outlineLevel="0" collapsed="false">
      <c r="A689" s="4" t="s">
        <v>42</v>
      </c>
      <c r="B689" s="4" t="s">
        <v>368</v>
      </c>
      <c r="C689" s="47" t="n">
        <v>13507.07</v>
      </c>
      <c r="D689" s="48" t="n">
        <v>1497.68</v>
      </c>
      <c r="E689" s="49" t="n">
        <f aca="false">D689-cover</f>
        <v>1496.48</v>
      </c>
      <c r="F689" s="50" t="n">
        <f aca="false">'Z5 Ikana-Nkangamo'!S12-'Z5 Ikana-Nkangamo'!P12*C689/'Z5 Ikana-Nkangamo'!G12</f>
        <v>1645.39184525337</v>
      </c>
      <c r="G689" s="51" t="n">
        <f aca="false">'Z5 Ikana-Nkangamo'!$B$8-E689</f>
        <v>171.52</v>
      </c>
      <c r="H689" s="52" t="n">
        <f aca="false">F689-E689</f>
        <v>148.911845253367</v>
      </c>
      <c r="I689" s="52" t="n">
        <f aca="false">MAX(H689,G689)</f>
        <v>171.52</v>
      </c>
      <c r="J689" s="4" t="str">
        <f aca="false">IFERROR("PN"&amp;SMALL(PN_list,COUNTIF(PN_list,"&lt;"&amp;I689*bar_per_m)+1),"&gt; max PN")</f>
        <v>PN25</v>
      </c>
      <c r="K689" s="4" t="str">
        <f aca="false">IF(L689="no","end at tank",IF(H689&lt;0,"NEGATIVE",IF(H689&lt;p_min-0.005,"low","OK")))</f>
        <v>OK</v>
      </c>
      <c r="L689" s="4" t="s">
        <v>414</v>
      </c>
    </row>
    <row r="690" customFormat="false" ht="15" hidden="false" customHeight="false" outlineLevel="0" collapsed="false">
      <c r="A690" s="4" t="s">
        <v>42</v>
      </c>
      <c r="B690" s="4" t="s">
        <v>368</v>
      </c>
      <c r="C690" s="47" t="n">
        <v>13557.12</v>
      </c>
      <c r="D690" s="48" t="n">
        <v>1495.35</v>
      </c>
      <c r="E690" s="49" t="n">
        <f aca="false">D690-cover</f>
        <v>1494.15</v>
      </c>
      <c r="F690" s="50" t="n">
        <f aca="false">'Z5 Ikana-Nkangamo'!S12-'Z5 Ikana-Nkangamo'!P12*C690/'Z5 Ikana-Nkangamo'!G12</f>
        <v>1645.32548717978</v>
      </c>
      <c r="G690" s="51" t="n">
        <f aca="false">'Z5 Ikana-Nkangamo'!$B$8-E690</f>
        <v>173.85</v>
      </c>
      <c r="H690" s="52" t="n">
        <f aca="false">F690-E690</f>
        <v>151.175487179776</v>
      </c>
      <c r="I690" s="52" t="n">
        <f aca="false">MAX(H690,G690)</f>
        <v>173.85</v>
      </c>
      <c r="J690" s="4" t="str">
        <f aca="false">IFERROR("PN"&amp;SMALL(PN_list,COUNTIF(PN_list,"&lt;"&amp;I690*bar_per_m)+1),"&gt; max PN")</f>
        <v>PN25</v>
      </c>
      <c r="K690" s="4" t="str">
        <f aca="false">IF(L690="no","end at tank",IF(H690&lt;0,"NEGATIVE",IF(H690&lt;p_min-0.005,"low","OK")))</f>
        <v>OK</v>
      </c>
      <c r="L690" s="4" t="s">
        <v>414</v>
      </c>
    </row>
    <row r="691" customFormat="false" ht="15" hidden="false" customHeight="false" outlineLevel="0" collapsed="false">
      <c r="A691" s="4" t="s">
        <v>42</v>
      </c>
      <c r="B691" s="4" t="s">
        <v>368</v>
      </c>
      <c r="C691" s="47" t="n">
        <v>13607.16</v>
      </c>
      <c r="D691" s="48" t="n">
        <v>1493.52</v>
      </c>
      <c r="E691" s="49" t="n">
        <f aca="false">D691-cover</f>
        <v>1492.32</v>
      </c>
      <c r="F691" s="50" t="n">
        <f aca="false">'Z5 Ikana-Nkangamo'!S12-'Z5 Ikana-Nkangamo'!P12*C691/'Z5 Ikana-Nkangamo'!G12</f>
        <v>1645.25914236454</v>
      </c>
      <c r="G691" s="51" t="n">
        <f aca="false">'Z5 Ikana-Nkangamo'!$B$8-E691</f>
        <v>175.68</v>
      </c>
      <c r="H691" s="52" t="n">
        <f aca="false">F691-E691</f>
        <v>152.93914236454</v>
      </c>
      <c r="I691" s="52" t="n">
        <f aca="false">MAX(H691,G691)</f>
        <v>175.68</v>
      </c>
      <c r="J691" s="4" t="str">
        <f aca="false">IFERROR("PN"&amp;SMALL(PN_list,COUNTIF(PN_list,"&lt;"&amp;I691*bar_per_m)+1),"&gt; max PN")</f>
        <v>PN25</v>
      </c>
      <c r="K691" s="4" t="str">
        <f aca="false">IF(L691="no","end at tank",IF(H691&lt;0,"NEGATIVE",IF(H691&lt;p_min-0.005,"low","OK")))</f>
        <v>OK</v>
      </c>
      <c r="L691" s="4" t="s">
        <v>414</v>
      </c>
    </row>
    <row r="692" customFormat="false" ht="15" hidden="false" customHeight="false" outlineLevel="0" collapsed="false">
      <c r="A692" s="4" t="s">
        <v>42</v>
      </c>
      <c r="B692" s="4" t="s">
        <v>368</v>
      </c>
      <c r="C692" s="47" t="n">
        <v>13657.2</v>
      </c>
      <c r="D692" s="48" t="n">
        <v>1491.44</v>
      </c>
      <c r="E692" s="49" t="n">
        <f aca="false">D692-cover</f>
        <v>1490.24</v>
      </c>
      <c r="F692" s="50" t="n">
        <f aca="false">'Z5 Ikana-Nkangamo'!S12-'Z5 Ikana-Nkangamo'!P12*C692/'Z5 Ikana-Nkangamo'!G12</f>
        <v>1645.1927975493</v>
      </c>
      <c r="G692" s="51" t="n">
        <f aca="false">'Z5 Ikana-Nkangamo'!$B$8-E692</f>
        <v>177.76</v>
      </c>
      <c r="H692" s="52" t="n">
        <f aca="false">F692-E692</f>
        <v>154.952797549305</v>
      </c>
      <c r="I692" s="52" t="n">
        <f aca="false">MAX(H692,G692)</f>
        <v>177.76</v>
      </c>
      <c r="J692" s="4" t="str">
        <f aca="false">IFERROR("PN"&amp;SMALL(PN_list,COUNTIF(PN_list,"&lt;"&amp;I692*bar_per_m)+1),"&gt; max PN")</f>
        <v>PN25</v>
      </c>
      <c r="K692" s="4" t="str">
        <f aca="false">IF(L692="no","end at tank",IF(H692&lt;0,"NEGATIVE",IF(H692&lt;p_min-0.005,"low","OK")))</f>
        <v>OK</v>
      </c>
      <c r="L692" s="4" t="s">
        <v>414</v>
      </c>
    </row>
    <row r="693" customFormat="false" ht="15" hidden="false" customHeight="false" outlineLevel="0" collapsed="false">
      <c r="A693" s="4" t="s">
        <v>42</v>
      </c>
      <c r="B693" s="4" t="s">
        <v>368</v>
      </c>
      <c r="C693" s="47" t="n">
        <v>13707.24</v>
      </c>
      <c r="D693" s="48" t="n">
        <v>1489.48</v>
      </c>
      <c r="E693" s="49" t="n">
        <f aca="false">D693-cover</f>
        <v>1488.28</v>
      </c>
      <c r="F693" s="50" t="n">
        <f aca="false">'Z5 Ikana-Nkangamo'!S12-'Z5 Ikana-Nkangamo'!P12*C693/'Z5 Ikana-Nkangamo'!G12</f>
        <v>1645.12645273407</v>
      </c>
      <c r="G693" s="51" t="n">
        <f aca="false">'Z5 Ikana-Nkangamo'!$B$8-E693</f>
        <v>179.72</v>
      </c>
      <c r="H693" s="52" t="n">
        <f aca="false">F693-E693</f>
        <v>156.846452734069</v>
      </c>
      <c r="I693" s="52" t="n">
        <f aca="false">MAX(H693,G693)</f>
        <v>179.72</v>
      </c>
      <c r="J693" s="4" t="str">
        <f aca="false">IFERROR("PN"&amp;SMALL(PN_list,COUNTIF(PN_list,"&lt;"&amp;I693*bar_per_m)+1),"&gt; max PN")</f>
        <v>PN25</v>
      </c>
      <c r="K693" s="4" t="str">
        <f aca="false">IF(L693="no","end at tank",IF(H693&lt;0,"NEGATIVE",IF(H693&lt;p_min-0.005,"low","OK")))</f>
        <v>OK</v>
      </c>
      <c r="L693" s="4" t="s">
        <v>414</v>
      </c>
    </row>
    <row r="694" customFormat="false" ht="15" hidden="false" customHeight="false" outlineLevel="0" collapsed="false">
      <c r="A694" s="4" t="s">
        <v>42</v>
      </c>
      <c r="B694" s="4" t="s">
        <v>368</v>
      </c>
      <c r="C694" s="47" t="n">
        <v>13757.42</v>
      </c>
      <c r="D694" s="48" t="n">
        <v>1485.19</v>
      </c>
      <c r="E694" s="49" t="n">
        <f aca="false">D694-cover</f>
        <v>1483.99</v>
      </c>
      <c r="F694" s="50" t="n">
        <f aca="false">'Z5 Ikana-Nkangamo'!S12-'Z5 Ikana-Nkangamo'!P12*C694/'Z5 Ikana-Nkangamo'!G12</f>
        <v>1645.05992230184</v>
      </c>
      <c r="G694" s="51" t="n">
        <f aca="false">'Z5 Ikana-Nkangamo'!$B$8-E694</f>
        <v>184.01</v>
      </c>
      <c r="H694" s="52" t="n">
        <f aca="false">F694-E694</f>
        <v>161.069922301845</v>
      </c>
      <c r="I694" s="52" t="n">
        <f aca="false">MAX(H694,G694)</f>
        <v>184.01</v>
      </c>
      <c r="J694" s="4" t="str">
        <f aca="false">IFERROR("PN"&amp;SMALL(PN_list,COUNTIF(PN_list,"&lt;"&amp;I694*bar_per_m)+1),"&gt; max PN")</f>
        <v>PN25</v>
      </c>
      <c r="K694" s="4" t="str">
        <f aca="false">IF(L694="no","end at tank",IF(H694&lt;0,"NEGATIVE",IF(H694&lt;p_min-0.005,"low","OK")))</f>
        <v>OK</v>
      </c>
      <c r="L694" s="4" t="s">
        <v>414</v>
      </c>
    </row>
    <row r="695" customFormat="false" ht="15" hidden="false" customHeight="false" outlineLevel="0" collapsed="false">
      <c r="A695" s="4" t="s">
        <v>42</v>
      </c>
      <c r="B695" s="4" t="s">
        <v>368</v>
      </c>
      <c r="C695" s="47" t="n">
        <v>13807.49</v>
      </c>
      <c r="D695" s="48" t="n">
        <v>1482.67</v>
      </c>
      <c r="E695" s="49" t="n">
        <f aca="false">D695-cover</f>
        <v>1481.47</v>
      </c>
      <c r="F695" s="50" t="n">
        <f aca="false">'Z5 Ikana-Nkangamo'!S12-'Z5 Ikana-Nkangamo'!P12*C695/'Z5 Ikana-Nkangamo'!G12</f>
        <v>1644.99353771154</v>
      </c>
      <c r="G695" s="51" t="n">
        <f aca="false">'Z5 Ikana-Nkangamo'!$B$8-E695</f>
        <v>186.53</v>
      </c>
      <c r="H695" s="52" t="n">
        <f aca="false">F695-E695</f>
        <v>163.52353771154</v>
      </c>
      <c r="I695" s="52" t="n">
        <f aca="false">MAX(H695,G695)</f>
        <v>186.53</v>
      </c>
      <c r="J695" s="4" t="str">
        <f aca="false">IFERROR("PN"&amp;SMALL(PN_list,COUNTIF(PN_list,"&lt;"&amp;I695*bar_per_m)+1),"&gt; max PN")</f>
        <v>PN25</v>
      </c>
      <c r="K695" s="4" t="str">
        <f aca="false">IF(L695="no","end at tank",IF(H695&lt;0,"NEGATIVE",IF(H695&lt;p_min-0.005,"low","OK")))</f>
        <v>OK</v>
      </c>
      <c r="L695" s="4" t="s">
        <v>414</v>
      </c>
    </row>
    <row r="696" customFormat="false" ht="15" hidden="false" customHeight="false" outlineLevel="0" collapsed="false">
      <c r="A696" s="4" t="s">
        <v>42</v>
      </c>
      <c r="B696" s="4" t="s">
        <v>368</v>
      </c>
      <c r="C696" s="47" t="n">
        <v>13857.62</v>
      </c>
      <c r="D696" s="48" t="n">
        <v>1486.35</v>
      </c>
      <c r="E696" s="49" t="n">
        <f aca="false">D696-cover</f>
        <v>1485.15</v>
      </c>
      <c r="F696" s="50" t="n">
        <f aca="false">'Z5 Ikana-Nkangamo'!S12-'Z5 Ikana-Nkangamo'!P12*C696/'Z5 Ikana-Nkangamo'!G12</f>
        <v>1644.9270735711</v>
      </c>
      <c r="G696" s="51" t="n">
        <f aca="false">'Z5 Ikana-Nkangamo'!$B$8-E696</f>
        <v>182.85</v>
      </c>
      <c r="H696" s="52" t="n">
        <f aca="false">F696-E696</f>
        <v>159.777073571098</v>
      </c>
      <c r="I696" s="52" t="n">
        <f aca="false">MAX(H696,G696)</f>
        <v>182.85</v>
      </c>
      <c r="J696" s="4" t="str">
        <f aca="false">IFERROR("PN"&amp;SMALL(PN_list,COUNTIF(PN_list,"&lt;"&amp;I696*bar_per_m)+1),"&gt; max PN")</f>
        <v>PN25</v>
      </c>
      <c r="K696" s="4" t="str">
        <f aca="false">IF(L696="no","end at tank",IF(H696&lt;0,"NEGATIVE",IF(H696&lt;p_min-0.005,"low","OK")))</f>
        <v>OK</v>
      </c>
      <c r="L696" s="4" t="s">
        <v>414</v>
      </c>
    </row>
    <row r="697" customFormat="false" ht="15" hidden="false" customHeight="false" outlineLevel="0" collapsed="false">
      <c r="A697" s="4" t="s">
        <v>42</v>
      </c>
      <c r="B697" s="4" t="s">
        <v>368</v>
      </c>
      <c r="C697" s="47" t="n">
        <v>13907.67</v>
      </c>
      <c r="D697" s="48" t="n">
        <v>1488.62</v>
      </c>
      <c r="E697" s="49" t="n">
        <f aca="false">D697-cover</f>
        <v>1487.42</v>
      </c>
      <c r="F697" s="50" t="n">
        <f aca="false">'Z5 Ikana-Nkangamo'!S12-'Z5 Ikana-Nkangamo'!P12*C697/'Z5 Ikana-Nkangamo'!G12</f>
        <v>1644.86071549751</v>
      </c>
      <c r="G697" s="51" t="n">
        <f aca="false">'Z5 Ikana-Nkangamo'!$B$8-E697</f>
        <v>180.58</v>
      </c>
      <c r="H697" s="52" t="n">
        <f aca="false">F697-E697</f>
        <v>157.440715497506</v>
      </c>
      <c r="I697" s="52" t="n">
        <f aca="false">MAX(H697,G697)</f>
        <v>180.58</v>
      </c>
      <c r="J697" s="4" t="str">
        <f aca="false">IFERROR("PN"&amp;SMALL(PN_list,COUNTIF(PN_list,"&lt;"&amp;I697*bar_per_m)+1),"&gt; max PN")</f>
        <v>PN25</v>
      </c>
      <c r="K697" s="4" t="str">
        <f aca="false">IF(L697="no","end at tank",IF(H697&lt;0,"NEGATIVE",IF(H697&lt;p_min-0.005,"low","OK")))</f>
        <v>OK</v>
      </c>
      <c r="L697" s="4" t="s">
        <v>414</v>
      </c>
    </row>
    <row r="698" customFormat="false" ht="15" hidden="false" customHeight="false" outlineLevel="0" collapsed="false">
      <c r="A698" s="4" t="s">
        <v>42</v>
      </c>
      <c r="B698" s="4" t="s">
        <v>368</v>
      </c>
      <c r="C698" s="47" t="n">
        <v>13957.7</v>
      </c>
      <c r="D698" s="48" t="n">
        <v>1490.13</v>
      </c>
      <c r="E698" s="49" t="n">
        <f aca="false">D698-cover</f>
        <v>1488.93</v>
      </c>
      <c r="F698" s="50" t="n">
        <f aca="false">'Z5 Ikana-Nkangamo'!S12-'Z5 Ikana-Nkangamo'!P12*C698/'Z5 Ikana-Nkangamo'!G12</f>
        <v>1644.79438394063</v>
      </c>
      <c r="G698" s="51" t="n">
        <f aca="false">'Z5 Ikana-Nkangamo'!$B$8-E698</f>
        <v>179.07</v>
      </c>
      <c r="H698" s="52" t="n">
        <f aca="false">F698-E698</f>
        <v>155.864383940627</v>
      </c>
      <c r="I698" s="52" t="n">
        <f aca="false">MAX(H698,G698)</f>
        <v>179.07</v>
      </c>
      <c r="J698" s="4" t="str">
        <f aca="false">IFERROR("PN"&amp;SMALL(PN_list,COUNTIF(PN_list,"&lt;"&amp;I698*bar_per_m)+1),"&gt; max PN")</f>
        <v>PN25</v>
      </c>
      <c r="K698" s="4" t="str">
        <f aca="false">IF(L698="no","end at tank",IF(H698&lt;0,"NEGATIVE",IF(H698&lt;p_min-0.005,"low","OK")))</f>
        <v>OK</v>
      </c>
      <c r="L698" s="4" t="s">
        <v>414</v>
      </c>
    </row>
    <row r="699" customFormat="false" ht="15" hidden="false" customHeight="false" outlineLevel="0" collapsed="false">
      <c r="A699" s="4" t="s">
        <v>42</v>
      </c>
      <c r="B699" s="4" t="s">
        <v>368</v>
      </c>
      <c r="C699" s="47" t="n">
        <v>14007.73</v>
      </c>
      <c r="D699" s="48" t="n">
        <v>1492.05</v>
      </c>
      <c r="E699" s="49" t="n">
        <f aca="false">D699-cover</f>
        <v>1490.85</v>
      </c>
      <c r="F699" s="50" t="n">
        <f aca="false">'Z5 Ikana-Nkangamo'!S12-'Z5 Ikana-Nkangamo'!P12*C699/'Z5 Ikana-Nkangamo'!G12</f>
        <v>1644.72805238375</v>
      </c>
      <c r="G699" s="51" t="n">
        <f aca="false">'Z5 Ikana-Nkangamo'!$B$8-E699</f>
        <v>177.15</v>
      </c>
      <c r="H699" s="52" t="n">
        <f aca="false">F699-E699</f>
        <v>153.878052383748</v>
      </c>
      <c r="I699" s="52" t="n">
        <f aca="false">MAX(H699,G699)</f>
        <v>177.15</v>
      </c>
      <c r="J699" s="4" t="str">
        <f aca="false">IFERROR("PN"&amp;SMALL(PN_list,COUNTIF(PN_list,"&lt;"&amp;I699*bar_per_m)+1),"&gt; max PN")</f>
        <v>PN25</v>
      </c>
      <c r="K699" s="4" t="str">
        <f aca="false">IF(L699="no","end at tank",IF(H699&lt;0,"NEGATIVE",IF(H699&lt;p_min-0.005,"low","OK")))</f>
        <v>OK</v>
      </c>
      <c r="L699" s="4" t="s">
        <v>414</v>
      </c>
    </row>
    <row r="700" customFormat="false" ht="15" hidden="false" customHeight="false" outlineLevel="0" collapsed="false">
      <c r="A700" s="4" t="s">
        <v>42</v>
      </c>
      <c r="B700" s="4" t="s">
        <v>368</v>
      </c>
      <c r="C700" s="47" t="n">
        <v>14057.79</v>
      </c>
      <c r="D700" s="48" t="n">
        <v>1494.42</v>
      </c>
      <c r="E700" s="49" t="n">
        <f aca="false">D700-cover</f>
        <v>1493.22</v>
      </c>
      <c r="F700" s="50" t="n">
        <f aca="false">'Z5 Ikana-Nkangamo'!S12-'Z5 Ikana-Nkangamo'!P12*C700/'Z5 Ikana-Nkangamo'!G12</f>
        <v>1644.6616810518</v>
      </c>
      <c r="G700" s="51" t="n">
        <f aca="false">'Z5 Ikana-Nkangamo'!$B$8-E700</f>
        <v>174.78</v>
      </c>
      <c r="H700" s="52" t="n">
        <f aca="false">F700-E700</f>
        <v>151.4416810518</v>
      </c>
      <c r="I700" s="52" t="n">
        <f aca="false">MAX(H700,G700)</f>
        <v>174.78</v>
      </c>
      <c r="J700" s="4" t="str">
        <f aca="false">IFERROR("PN"&amp;SMALL(PN_list,COUNTIF(PN_list,"&lt;"&amp;I700*bar_per_m)+1),"&gt; max PN")</f>
        <v>PN25</v>
      </c>
      <c r="K700" s="4" t="str">
        <f aca="false">IF(L700="no","end at tank",IF(H700&lt;0,"NEGATIVE",IF(H700&lt;p_min-0.005,"low","OK")))</f>
        <v>OK</v>
      </c>
      <c r="L700" s="4" t="s">
        <v>414</v>
      </c>
    </row>
    <row r="701" customFormat="false" ht="15" hidden="false" customHeight="false" outlineLevel="0" collapsed="false">
      <c r="A701" s="4" t="s">
        <v>42</v>
      </c>
      <c r="B701" s="4" t="s">
        <v>368</v>
      </c>
      <c r="C701" s="47" t="n">
        <v>14107.8</v>
      </c>
      <c r="D701" s="48" t="n">
        <v>1495.46</v>
      </c>
      <c r="E701" s="49" t="n">
        <f aca="false">D701-cover</f>
        <v>1494.26</v>
      </c>
      <c r="F701" s="50" t="n">
        <f aca="false">'Z5 Ikana-Nkangamo'!S12-'Z5 Ikana-Nkangamo'!P12*C701/'Z5 Ikana-Nkangamo'!G12</f>
        <v>1644.59537601163</v>
      </c>
      <c r="G701" s="51" t="n">
        <f aca="false">'Z5 Ikana-Nkangamo'!$B$8-E701</f>
        <v>173.74</v>
      </c>
      <c r="H701" s="52" t="n">
        <f aca="false">F701-E701</f>
        <v>150.335376011634</v>
      </c>
      <c r="I701" s="52" t="n">
        <f aca="false">MAX(H701,G701)</f>
        <v>173.74</v>
      </c>
      <c r="J701" s="4" t="str">
        <f aca="false">IFERROR("PN"&amp;SMALL(PN_list,COUNTIF(PN_list,"&lt;"&amp;I701*bar_per_m)+1),"&gt; max PN")</f>
        <v>PN25</v>
      </c>
      <c r="K701" s="4" t="str">
        <f aca="false">IF(L701="no","end at tank",IF(H701&lt;0,"NEGATIVE",IF(H701&lt;p_min-0.005,"low","OK")))</f>
        <v>OK</v>
      </c>
      <c r="L701" s="4" t="s">
        <v>414</v>
      </c>
    </row>
    <row r="702" customFormat="false" ht="15" hidden="false" customHeight="false" outlineLevel="0" collapsed="false">
      <c r="A702" s="4" t="s">
        <v>42</v>
      </c>
      <c r="B702" s="4" t="s">
        <v>368</v>
      </c>
      <c r="C702" s="47" t="n">
        <v>14157.86</v>
      </c>
      <c r="D702" s="48" t="n">
        <v>1497.84</v>
      </c>
      <c r="E702" s="49" t="n">
        <f aca="false">D702-cover</f>
        <v>1496.64</v>
      </c>
      <c r="F702" s="50" t="n">
        <f aca="false">'Z5 Ikana-Nkangamo'!S12-'Z5 Ikana-Nkangamo'!P12*C702/'Z5 Ikana-Nkangamo'!G12</f>
        <v>1644.52900467969</v>
      </c>
      <c r="G702" s="51" t="n">
        <f aca="false">'Z5 Ikana-Nkangamo'!$B$8-E702</f>
        <v>171.36</v>
      </c>
      <c r="H702" s="52" t="n">
        <f aca="false">F702-E702</f>
        <v>147.889004679686</v>
      </c>
      <c r="I702" s="52" t="n">
        <f aca="false">MAX(H702,G702)</f>
        <v>171.36</v>
      </c>
      <c r="J702" s="4" t="str">
        <f aca="false">IFERROR("PN"&amp;SMALL(PN_list,COUNTIF(PN_list,"&lt;"&amp;I702*bar_per_m)+1),"&gt; max PN")</f>
        <v>PN25</v>
      </c>
      <c r="K702" s="4" t="str">
        <f aca="false">IF(L702="no","end at tank",IF(H702&lt;0,"NEGATIVE",IF(H702&lt;p_min-0.005,"low","OK")))</f>
        <v>OK</v>
      </c>
      <c r="L702" s="4" t="s">
        <v>414</v>
      </c>
    </row>
    <row r="703" customFormat="false" ht="15" hidden="false" customHeight="false" outlineLevel="0" collapsed="false">
      <c r="A703" s="4" t="s">
        <v>42</v>
      </c>
      <c r="B703" s="4" t="s">
        <v>368</v>
      </c>
      <c r="C703" s="47" t="n">
        <v>14207.92</v>
      </c>
      <c r="D703" s="48" t="n">
        <v>1500.31</v>
      </c>
      <c r="E703" s="49" t="n">
        <f aca="false">D703-cover</f>
        <v>1499.11</v>
      </c>
      <c r="F703" s="50" t="n">
        <f aca="false">'Z5 Ikana-Nkangamo'!S12-'Z5 Ikana-Nkangamo'!P12*C703/'Z5 Ikana-Nkangamo'!G12</f>
        <v>1644.46263334774</v>
      </c>
      <c r="G703" s="51" t="n">
        <f aca="false">'Z5 Ikana-Nkangamo'!$B$8-E703</f>
        <v>168.89</v>
      </c>
      <c r="H703" s="52" t="n">
        <f aca="false">F703-E703</f>
        <v>145.352633347738</v>
      </c>
      <c r="I703" s="52" t="n">
        <f aca="false">MAX(H703,G703)</f>
        <v>168.89</v>
      </c>
      <c r="J703" s="4" t="str">
        <f aca="false">IFERROR("PN"&amp;SMALL(PN_list,COUNTIF(PN_list,"&lt;"&amp;I703*bar_per_m)+1),"&gt; max PN")</f>
        <v>PN25</v>
      </c>
      <c r="K703" s="4" t="str">
        <f aca="false">IF(L703="no","end at tank",IF(H703&lt;0,"NEGATIVE",IF(H703&lt;p_min-0.005,"low","OK")))</f>
        <v>OK</v>
      </c>
      <c r="L703" s="4" t="s">
        <v>414</v>
      </c>
    </row>
    <row r="704" customFormat="false" ht="15" hidden="false" customHeight="false" outlineLevel="0" collapsed="false">
      <c r="A704" s="4" t="s">
        <v>42</v>
      </c>
      <c r="B704" s="4" t="s">
        <v>368</v>
      </c>
      <c r="C704" s="47" t="n">
        <v>14257.96</v>
      </c>
      <c r="D704" s="48" t="n">
        <v>1502.43</v>
      </c>
      <c r="E704" s="49" t="n">
        <f aca="false">D704-cover</f>
        <v>1501.23</v>
      </c>
      <c r="F704" s="50" t="n">
        <f aca="false">'Z5 Ikana-Nkangamo'!S12-'Z5 Ikana-Nkangamo'!P12*C704/'Z5 Ikana-Nkangamo'!G12</f>
        <v>1644.3962885325</v>
      </c>
      <c r="G704" s="51" t="n">
        <f aca="false">'Z5 Ikana-Nkangamo'!$B$8-E704</f>
        <v>166.77</v>
      </c>
      <c r="H704" s="52" t="n">
        <f aca="false">F704-E704</f>
        <v>143.166288532502</v>
      </c>
      <c r="I704" s="52" t="n">
        <f aca="false">MAX(H704,G704)</f>
        <v>166.77</v>
      </c>
      <c r="J704" s="4" t="str">
        <f aca="false">IFERROR("PN"&amp;SMALL(PN_list,COUNTIF(PN_list,"&lt;"&amp;I704*bar_per_m)+1),"&gt; max PN")</f>
        <v>PN25</v>
      </c>
      <c r="K704" s="4" t="str">
        <f aca="false">IF(L704="no","end at tank",IF(H704&lt;0,"NEGATIVE",IF(H704&lt;p_min-0.005,"low","OK")))</f>
        <v>OK</v>
      </c>
      <c r="L704" s="4" t="s">
        <v>414</v>
      </c>
    </row>
    <row r="705" customFormat="false" ht="15" hidden="false" customHeight="false" outlineLevel="0" collapsed="false">
      <c r="A705" s="4" t="s">
        <v>42</v>
      </c>
      <c r="B705" s="4" t="s">
        <v>368</v>
      </c>
      <c r="C705" s="47" t="n">
        <v>14308.04</v>
      </c>
      <c r="D705" s="48" t="n">
        <v>1505.19</v>
      </c>
      <c r="E705" s="49" t="n">
        <f aca="false">D705-cover</f>
        <v>1503.99</v>
      </c>
      <c r="F705" s="50" t="n">
        <f aca="false">'Z5 Ikana-Nkangamo'!S12-'Z5 Ikana-Nkangamo'!P12*C705/'Z5 Ikana-Nkangamo'!G12</f>
        <v>1644.32989068384</v>
      </c>
      <c r="G705" s="51" t="n">
        <f aca="false">'Z5 Ikana-Nkangamo'!$B$8-E705</f>
        <v>164.01</v>
      </c>
      <c r="H705" s="52" t="n">
        <f aca="false">F705-E705</f>
        <v>140.339890683841</v>
      </c>
      <c r="I705" s="52" t="n">
        <f aca="false">MAX(H705,G705)</f>
        <v>164.01</v>
      </c>
      <c r="J705" s="4" t="str">
        <f aca="false">IFERROR("PN"&amp;SMALL(PN_list,COUNTIF(PN_list,"&lt;"&amp;I705*bar_per_m)+1),"&gt; max PN")</f>
        <v>PN25</v>
      </c>
      <c r="K705" s="4" t="str">
        <f aca="false">IF(L705="no","end at tank",IF(H705&lt;0,"NEGATIVE",IF(H705&lt;p_min-0.005,"low","OK")))</f>
        <v>OK</v>
      </c>
      <c r="L705" s="4" t="s">
        <v>414</v>
      </c>
    </row>
    <row r="706" customFormat="false" ht="15" hidden="false" customHeight="false" outlineLevel="0" collapsed="false">
      <c r="A706" s="4" t="s">
        <v>42</v>
      </c>
      <c r="B706" s="4" t="s">
        <v>368</v>
      </c>
      <c r="C706" s="47" t="n">
        <v>14358.08</v>
      </c>
      <c r="D706" s="48" t="n">
        <v>1507.31</v>
      </c>
      <c r="E706" s="49" t="n">
        <f aca="false">D706-cover</f>
        <v>1506.11</v>
      </c>
      <c r="F706" s="50" t="n">
        <f aca="false">'Z5 Ikana-Nkangamo'!S12-'Z5 Ikana-Nkangamo'!P12*C706/'Z5 Ikana-Nkangamo'!G12</f>
        <v>1644.26354586861</v>
      </c>
      <c r="G706" s="51" t="n">
        <f aca="false">'Z5 Ikana-Nkangamo'!$B$8-E706</f>
        <v>161.89</v>
      </c>
      <c r="H706" s="52" t="n">
        <f aca="false">F706-E706</f>
        <v>138.153545868606</v>
      </c>
      <c r="I706" s="52" t="n">
        <f aca="false">MAX(H706,G706)</f>
        <v>161.89</v>
      </c>
      <c r="J706" s="4" t="str">
        <f aca="false">IFERROR("PN"&amp;SMALL(PN_list,COUNTIF(PN_list,"&lt;"&amp;I706*bar_per_m)+1),"&gt; max PN")</f>
        <v>PN16</v>
      </c>
      <c r="K706" s="4" t="str">
        <f aca="false">IF(L706="no","end at tank",IF(H706&lt;0,"NEGATIVE",IF(H706&lt;p_min-0.005,"low","OK")))</f>
        <v>OK</v>
      </c>
      <c r="L706" s="4" t="s">
        <v>414</v>
      </c>
    </row>
    <row r="707" customFormat="false" ht="15" hidden="false" customHeight="false" outlineLevel="0" collapsed="false">
      <c r="A707" s="4" t="s">
        <v>42</v>
      </c>
      <c r="B707" s="4" t="s">
        <v>368</v>
      </c>
      <c r="C707" s="47" t="n">
        <v>14408.12</v>
      </c>
      <c r="D707" s="48" t="n">
        <v>1509.23</v>
      </c>
      <c r="E707" s="49" t="n">
        <f aca="false">D707-cover</f>
        <v>1508.03</v>
      </c>
      <c r="F707" s="50" t="n">
        <f aca="false">'Z5 Ikana-Nkangamo'!S12-'Z5 Ikana-Nkangamo'!P12*C707/'Z5 Ikana-Nkangamo'!G12</f>
        <v>1644.19720105337</v>
      </c>
      <c r="G707" s="51" t="n">
        <f aca="false">'Z5 Ikana-Nkangamo'!$B$8-E707</f>
        <v>159.97</v>
      </c>
      <c r="H707" s="52" t="n">
        <f aca="false">F707-E707</f>
        <v>136.16720105337</v>
      </c>
      <c r="I707" s="52" t="n">
        <f aca="false">MAX(H707,G707)</f>
        <v>159.97</v>
      </c>
      <c r="J707" s="4" t="str">
        <f aca="false">IFERROR("PN"&amp;SMALL(PN_list,COUNTIF(PN_list,"&lt;"&amp;I707*bar_per_m)+1),"&gt; max PN")</f>
        <v>PN16</v>
      </c>
      <c r="K707" s="4" t="str">
        <f aca="false">IF(L707="no","end at tank",IF(H707&lt;0,"NEGATIVE",IF(H707&lt;p_min-0.005,"low","OK")))</f>
        <v>OK</v>
      </c>
      <c r="L707" s="4" t="s">
        <v>414</v>
      </c>
    </row>
    <row r="708" customFormat="false" ht="15" hidden="false" customHeight="false" outlineLevel="0" collapsed="false">
      <c r="A708" s="4" t="s">
        <v>42</v>
      </c>
      <c r="B708" s="4" t="s">
        <v>368</v>
      </c>
      <c r="C708" s="47" t="n">
        <v>14458.15</v>
      </c>
      <c r="D708" s="48" t="n">
        <v>1510.97</v>
      </c>
      <c r="E708" s="49" t="n">
        <f aca="false">D708-cover</f>
        <v>1509.77</v>
      </c>
      <c r="F708" s="50" t="n">
        <f aca="false">'Z5 Ikana-Nkangamo'!S12-'Z5 Ikana-Nkangamo'!P12*C708/'Z5 Ikana-Nkangamo'!G12</f>
        <v>1644.13086949649</v>
      </c>
      <c r="G708" s="51" t="n">
        <f aca="false">'Z5 Ikana-Nkangamo'!$B$8-E708</f>
        <v>158.23</v>
      </c>
      <c r="H708" s="52" t="n">
        <f aca="false">F708-E708</f>
        <v>134.360869496491</v>
      </c>
      <c r="I708" s="52" t="n">
        <f aca="false">MAX(H708,G708)</f>
        <v>158.23</v>
      </c>
      <c r="J708" s="4" t="str">
        <f aca="false">IFERROR("PN"&amp;SMALL(PN_list,COUNTIF(PN_list,"&lt;"&amp;I708*bar_per_m)+1),"&gt; max PN")</f>
        <v>PN16</v>
      </c>
      <c r="K708" s="4" t="str">
        <f aca="false">IF(L708="no","end at tank",IF(H708&lt;0,"NEGATIVE",IF(H708&lt;p_min-0.005,"low","OK")))</f>
        <v>OK</v>
      </c>
      <c r="L708" s="4" t="s">
        <v>414</v>
      </c>
    </row>
    <row r="709" customFormat="false" ht="15" hidden="false" customHeight="false" outlineLevel="0" collapsed="false">
      <c r="A709" s="4" t="s">
        <v>42</v>
      </c>
      <c r="B709" s="4" t="s">
        <v>368</v>
      </c>
      <c r="C709" s="47" t="n">
        <v>14508.19</v>
      </c>
      <c r="D709" s="48" t="n">
        <v>1512.99</v>
      </c>
      <c r="E709" s="49" t="n">
        <f aca="false">D709-cover</f>
        <v>1511.79</v>
      </c>
      <c r="F709" s="50" t="n">
        <f aca="false">'Z5 Ikana-Nkangamo'!S12-'Z5 Ikana-Nkangamo'!P12*C709/'Z5 Ikana-Nkangamo'!G12</f>
        <v>1644.06452468126</v>
      </c>
      <c r="G709" s="51" t="n">
        <f aca="false">'Z5 Ikana-Nkangamo'!$B$8-E709</f>
        <v>156.21</v>
      </c>
      <c r="H709" s="52" t="n">
        <f aca="false">F709-E709</f>
        <v>132.274524681256</v>
      </c>
      <c r="I709" s="52" t="n">
        <f aca="false">MAX(H709,G709)</f>
        <v>156.21</v>
      </c>
      <c r="J709" s="4" t="str">
        <f aca="false">IFERROR("PN"&amp;SMALL(PN_list,COUNTIF(PN_list,"&lt;"&amp;I709*bar_per_m)+1),"&gt; max PN")</f>
        <v>PN16</v>
      </c>
      <c r="K709" s="4" t="str">
        <f aca="false">IF(L709="no","end at tank",IF(H709&lt;0,"NEGATIVE",IF(H709&lt;p_min-0.005,"low","OK")))</f>
        <v>OK</v>
      </c>
      <c r="L709" s="4" t="s">
        <v>414</v>
      </c>
    </row>
    <row r="710" customFormat="false" ht="15" hidden="false" customHeight="false" outlineLevel="0" collapsed="false">
      <c r="A710" s="4" t="s">
        <v>42</v>
      </c>
      <c r="B710" s="4" t="s">
        <v>368</v>
      </c>
      <c r="C710" s="47" t="n">
        <v>14558.21</v>
      </c>
      <c r="D710" s="48" t="n">
        <v>1514.39</v>
      </c>
      <c r="E710" s="49" t="n">
        <f aca="false">D710-cover</f>
        <v>1513.19</v>
      </c>
      <c r="F710" s="50" t="n">
        <f aca="false">'Z5 Ikana-Nkangamo'!S12-'Z5 Ikana-Nkangamo'!P12*C710/'Z5 Ikana-Nkangamo'!G12</f>
        <v>1643.99820638273</v>
      </c>
      <c r="G710" s="51" t="n">
        <f aca="false">'Z5 Ikana-Nkangamo'!$B$8-E710</f>
        <v>154.81</v>
      </c>
      <c r="H710" s="52" t="n">
        <f aca="false">F710-E710</f>
        <v>130.808206382733</v>
      </c>
      <c r="I710" s="52" t="n">
        <f aca="false">MAX(H710,G710)</f>
        <v>154.81</v>
      </c>
      <c r="J710" s="4" t="str">
        <f aca="false">IFERROR("PN"&amp;SMALL(PN_list,COUNTIF(PN_list,"&lt;"&amp;I710*bar_per_m)+1),"&gt; max PN")</f>
        <v>PN16</v>
      </c>
      <c r="K710" s="4" t="str">
        <f aca="false">IF(L710="no","end at tank",IF(H710&lt;0,"NEGATIVE",IF(H710&lt;p_min-0.005,"low","OK")))</f>
        <v>OK</v>
      </c>
      <c r="L710" s="4" t="s">
        <v>414</v>
      </c>
    </row>
    <row r="711" customFormat="false" ht="15" hidden="false" customHeight="false" outlineLevel="0" collapsed="false">
      <c r="A711" s="4" t="s">
        <v>42</v>
      </c>
      <c r="B711" s="4" t="s">
        <v>368</v>
      </c>
      <c r="C711" s="47" t="n">
        <v>14608.23</v>
      </c>
      <c r="D711" s="48" t="n">
        <v>1515.68</v>
      </c>
      <c r="E711" s="49" t="n">
        <f aca="false">D711-cover</f>
        <v>1514.48</v>
      </c>
      <c r="F711" s="50" t="n">
        <f aca="false">'Z5 Ikana-Nkangamo'!S12-'Z5 Ikana-Nkangamo'!P12*C711/'Z5 Ikana-Nkangamo'!G12</f>
        <v>1643.93188808421</v>
      </c>
      <c r="G711" s="51" t="n">
        <f aca="false">'Z5 Ikana-Nkangamo'!$B$8-E711</f>
        <v>153.52</v>
      </c>
      <c r="H711" s="52" t="n">
        <f aca="false">F711-E711</f>
        <v>129.451888084211</v>
      </c>
      <c r="I711" s="52" t="n">
        <f aca="false">MAX(H711,G711)</f>
        <v>153.52</v>
      </c>
      <c r="J711" s="4" t="str">
        <f aca="false">IFERROR("PN"&amp;SMALL(PN_list,COUNTIF(PN_list,"&lt;"&amp;I711*bar_per_m)+1),"&gt; max PN")</f>
        <v>PN16</v>
      </c>
      <c r="K711" s="4" t="str">
        <f aca="false">IF(L711="no","end at tank",IF(H711&lt;0,"NEGATIVE",IF(H711&lt;p_min-0.005,"low","OK")))</f>
        <v>OK</v>
      </c>
      <c r="L711" s="4" t="s">
        <v>414</v>
      </c>
    </row>
    <row r="712" customFormat="false" ht="15" hidden="false" customHeight="false" outlineLevel="0" collapsed="false">
      <c r="A712" s="4" t="s">
        <v>42</v>
      </c>
      <c r="B712" s="4" t="s">
        <v>368</v>
      </c>
      <c r="C712" s="47" t="n">
        <v>14658.23</v>
      </c>
      <c r="D712" s="48" t="n">
        <v>1516.2</v>
      </c>
      <c r="E712" s="49" t="n">
        <f aca="false">D712-cover</f>
        <v>1515</v>
      </c>
      <c r="F712" s="50" t="n">
        <f aca="false">'Z5 Ikana-Nkangamo'!S12-'Z5 Ikana-Nkangamo'!P12*C712/'Z5 Ikana-Nkangamo'!G12</f>
        <v>1643.8655963024</v>
      </c>
      <c r="G712" s="51" t="n">
        <f aca="false">'Z5 Ikana-Nkangamo'!$B$8-E712</f>
        <v>153</v>
      </c>
      <c r="H712" s="52" t="n">
        <f aca="false">F712-E712</f>
        <v>128.865596302401</v>
      </c>
      <c r="I712" s="52" t="n">
        <f aca="false">MAX(H712,G712)</f>
        <v>153</v>
      </c>
      <c r="J712" s="4" t="str">
        <f aca="false">IFERROR("PN"&amp;SMALL(PN_list,COUNTIF(PN_list,"&lt;"&amp;I712*bar_per_m)+1),"&gt; max PN")</f>
        <v>PN16</v>
      </c>
      <c r="K712" s="4" t="str">
        <f aca="false">IF(L712="no","end at tank",IF(H712&lt;0,"NEGATIVE",IF(H712&lt;p_min-0.005,"low","OK")))</f>
        <v>OK</v>
      </c>
      <c r="L712" s="4" t="s">
        <v>414</v>
      </c>
    </row>
    <row r="713" customFormat="false" ht="15" hidden="false" customHeight="false" outlineLevel="0" collapsed="false">
      <c r="A713" s="4" t="s">
        <v>42</v>
      </c>
      <c r="B713" s="4" t="s">
        <v>368</v>
      </c>
      <c r="C713" s="47" t="n">
        <v>14708.23</v>
      </c>
      <c r="D713" s="48" t="n">
        <v>1516.33</v>
      </c>
      <c r="E713" s="49" t="n">
        <f aca="false">D713-cover</f>
        <v>1515.13</v>
      </c>
      <c r="F713" s="50" t="n">
        <f aca="false">'Z5 Ikana-Nkangamo'!S12-'Z5 Ikana-Nkangamo'!P12*C713/'Z5 Ikana-Nkangamo'!G12</f>
        <v>1643.79930452059</v>
      </c>
      <c r="G713" s="51" t="n">
        <f aca="false">'Z5 Ikana-Nkangamo'!$B$8-E713</f>
        <v>152.87</v>
      </c>
      <c r="H713" s="52" t="n">
        <f aca="false">F713-E713</f>
        <v>128.669304520591</v>
      </c>
      <c r="I713" s="52" t="n">
        <f aca="false">MAX(H713,G713)</f>
        <v>152.87</v>
      </c>
      <c r="J713" s="4" t="str">
        <f aca="false">IFERROR("PN"&amp;SMALL(PN_list,COUNTIF(PN_list,"&lt;"&amp;I713*bar_per_m)+1),"&gt; max PN")</f>
        <v>PN16</v>
      </c>
      <c r="K713" s="4" t="str">
        <f aca="false">IF(L713="no","end at tank",IF(H713&lt;0,"NEGATIVE",IF(H713&lt;p_min-0.005,"low","OK")))</f>
        <v>OK</v>
      </c>
      <c r="L713" s="4" t="s">
        <v>414</v>
      </c>
    </row>
    <row r="714" customFormat="false" ht="15" hidden="false" customHeight="false" outlineLevel="0" collapsed="false">
      <c r="A714" s="4" t="s">
        <v>42</v>
      </c>
      <c r="B714" s="4" t="s">
        <v>368</v>
      </c>
      <c r="C714" s="47" t="n">
        <v>14758.23</v>
      </c>
      <c r="D714" s="48" t="n">
        <v>1516.4</v>
      </c>
      <c r="E714" s="49" t="n">
        <f aca="false">D714-cover</f>
        <v>1515.2</v>
      </c>
      <c r="F714" s="50" t="n">
        <f aca="false">'Z5 Ikana-Nkangamo'!S12-'Z5 Ikana-Nkangamo'!P12*C714/'Z5 Ikana-Nkangamo'!G12</f>
        <v>1643.73301273878</v>
      </c>
      <c r="G714" s="51" t="n">
        <f aca="false">'Z5 Ikana-Nkangamo'!$B$8-E714</f>
        <v>152.8</v>
      </c>
      <c r="H714" s="52" t="n">
        <f aca="false">F714-E714</f>
        <v>128.533012738781</v>
      </c>
      <c r="I714" s="52" t="n">
        <f aca="false">MAX(H714,G714)</f>
        <v>152.8</v>
      </c>
      <c r="J714" s="4" t="str">
        <f aca="false">IFERROR("PN"&amp;SMALL(PN_list,COUNTIF(PN_list,"&lt;"&amp;I714*bar_per_m)+1),"&gt; max PN")</f>
        <v>PN16</v>
      </c>
      <c r="K714" s="4" t="str">
        <f aca="false">IF(L714="no","end at tank",IF(H714&lt;0,"NEGATIVE",IF(H714&lt;p_min-0.005,"low","OK")))</f>
        <v>OK</v>
      </c>
      <c r="L714" s="4" t="s">
        <v>414</v>
      </c>
    </row>
    <row r="715" customFormat="false" ht="15" hidden="false" customHeight="false" outlineLevel="0" collapsed="false">
      <c r="A715" s="4" t="s">
        <v>42</v>
      </c>
      <c r="B715" s="4" t="s">
        <v>368</v>
      </c>
      <c r="C715" s="47" t="n">
        <v>14808.25</v>
      </c>
      <c r="D715" s="48" t="n">
        <v>1515.58</v>
      </c>
      <c r="E715" s="49" t="n">
        <f aca="false">D715-cover</f>
        <v>1514.38</v>
      </c>
      <c r="F715" s="50" t="n">
        <f aca="false">'Z5 Ikana-Nkangamo'!S12-'Z5 Ikana-Nkangamo'!P12*C715/'Z5 Ikana-Nkangamo'!G12</f>
        <v>1643.66669444026</v>
      </c>
      <c r="G715" s="51" t="n">
        <f aca="false">'Z5 Ikana-Nkangamo'!$B$8-E715</f>
        <v>153.62</v>
      </c>
      <c r="H715" s="52" t="n">
        <f aca="false">F715-E715</f>
        <v>129.286694440258</v>
      </c>
      <c r="I715" s="52" t="n">
        <f aca="false">MAX(H715,G715)</f>
        <v>153.62</v>
      </c>
      <c r="J715" s="4" t="str">
        <f aca="false">IFERROR("PN"&amp;SMALL(PN_list,COUNTIF(PN_list,"&lt;"&amp;I715*bar_per_m)+1),"&gt; max PN")</f>
        <v>PN16</v>
      </c>
      <c r="K715" s="4" t="str">
        <f aca="false">IF(L715="no","end at tank",IF(H715&lt;0,"NEGATIVE",IF(H715&lt;p_min-0.005,"low","OK")))</f>
        <v>OK</v>
      </c>
      <c r="L715" s="4" t="s">
        <v>414</v>
      </c>
    </row>
    <row r="716" customFormat="false" ht="15" hidden="false" customHeight="false" outlineLevel="0" collapsed="false">
      <c r="A716" s="4" t="s">
        <v>42</v>
      </c>
      <c r="B716" s="4" t="s">
        <v>368</v>
      </c>
      <c r="C716" s="47" t="n">
        <v>14858.25</v>
      </c>
      <c r="D716" s="48" t="n">
        <v>1514.99</v>
      </c>
      <c r="E716" s="49" t="n">
        <f aca="false">D716-cover</f>
        <v>1513.79</v>
      </c>
      <c r="F716" s="50" t="n">
        <f aca="false">'Z5 Ikana-Nkangamo'!S12-'Z5 Ikana-Nkangamo'!P12*C716/'Z5 Ikana-Nkangamo'!G12</f>
        <v>1643.60040265845</v>
      </c>
      <c r="G716" s="51" t="n">
        <f aca="false">'Z5 Ikana-Nkangamo'!$B$8-E716</f>
        <v>154.21</v>
      </c>
      <c r="H716" s="52" t="n">
        <f aca="false">F716-E716</f>
        <v>129.810402658448</v>
      </c>
      <c r="I716" s="52" t="n">
        <f aca="false">MAX(H716,G716)</f>
        <v>154.21</v>
      </c>
      <c r="J716" s="4" t="str">
        <f aca="false">IFERROR("PN"&amp;SMALL(PN_list,COUNTIF(PN_list,"&lt;"&amp;I716*bar_per_m)+1),"&gt; max PN")</f>
        <v>PN16</v>
      </c>
      <c r="K716" s="4" t="str">
        <f aca="false">IF(L716="no","end at tank",IF(H716&lt;0,"NEGATIVE",IF(H716&lt;p_min-0.005,"low","OK")))</f>
        <v>OK</v>
      </c>
      <c r="L716" s="4" t="s">
        <v>414</v>
      </c>
    </row>
    <row r="717" customFormat="false" ht="15" hidden="false" customHeight="false" outlineLevel="0" collapsed="false">
      <c r="A717" s="4" t="s">
        <v>42</v>
      </c>
      <c r="B717" s="4" t="s">
        <v>368</v>
      </c>
      <c r="C717" s="47" t="n">
        <v>14908.25</v>
      </c>
      <c r="D717" s="48" t="n">
        <v>1515.41</v>
      </c>
      <c r="E717" s="49" t="n">
        <f aca="false">D717-cover</f>
        <v>1514.21</v>
      </c>
      <c r="F717" s="50" t="n">
        <f aca="false">'Z5 Ikana-Nkangamo'!S12-'Z5 Ikana-Nkangamo'!P12*C717/'Z5 Ikana-Nkangamo'!G12</f>
        <v>1643.53411087664</v>
      </c>
      <c r="G717" s="51" t="n">
        <f aca="false">'Z5 Ikana-Nkangamo'!$B$8-E717</f>
        <v>153.79</v>
      </c>
      <c r="H717" s="52" t="n">
        <f aca="false">F717-E717</f>
        <v>129.324110876638</v>
      </c>
      <c r="I717" s="52" t="n">
        <f aca="false">MAX(H717,G717)</f>
        <v>153.79</v>
      </c>
      <c r="J717" s="4" t="str">
        <f aca="false">IFERROR("PN"&amp;SMALL(PN_list,COUNTIF(PN_list,"&lt;"&amp;I717*bar_per_m)+1),"&gt; max PN")</f>
        <v>PN16</v>
      </c>
      <c r="K717" s="4" t="str">
        <f aca="false">IF(L717="no","end at tank",IF(H717&lt;0,"NEGATIVE",IF(H717&lt;p_min-0.005,"low","OK")))</f>
        <v>OK</v>
      </c>
      <c r="L717" s="4" t="s">
        <v>414</v>
      </c>
    </row>
    <row r="718" customFormat="false" ht="15" hidden="false" customHeight="false" outlineLevel="0" collapsed="false">
      <c r="A718" s="4" t="s">
        <v>42</v>
      </c>
      <c r="B718" s="4" t="s">
        <v>368</v>
      </c>
      <c r="C718" s="47" t="n">
        <v>14958.28</v>
      </c>
      <c r="D718" s="48" t="n">
        <v>1513.65</v>
      </c>
      <c r="E718" s="49" t="n">
        <f aca="false">D718-cover</f>
        <v>1512.45</v>
      </c>
      <c r="F718" s="50" t="n">
        <f aca="false">'Z5 Ikana-Nkangamo'!S12-'Z5 Ikana-Nkangamo'!P12*C718/'Z5 Ikana-Nkangamo'!G12</f>
        <v>1643.46777931976</v>
      </c>
      <c r="G718" s="51" t="n">
        <f aca="false">'Z5 Ikana-Nkangamo'!$B$8-E718</f>
        <v>155.55</v>
      </c>
      <c r="H718" s="52" t="n">
        <f aca="false">F718-E718</f>
        <v>131.017779319759</v>
      </c>
      <c r="I718" s="52" t="n">
        <f aca="false">MAX(H718,G718)</f>
        <v>155.55</v>
      </c>
      <c r="J718" s="4" t="str">
        <f aca="false">IFERROR("PN"&amp;SMALL(PN_list,COUNTIF(PN_list,"&lt;"&amp;I718*bar_per_m)+1),"&gt; max PN")</f>
        <v>PN16</v>
      </c>
      <c r="K718" s="4" t="str">
        <f aca="false">IF(L718="no","end at tank",IF(H718&lt;0,"NEGATIVE",IF(H718&lt;p_min-0.005,"low","OK")))</f>
        <v>OK</v>
      </c>
      <c r="L718" s="4" t="s">
        <v>414</v>
      </c>
    </row>
    <row r="719" customFormat="false" ht="15" hidden="false" customHeight="false" outlineLevel="0" collapsed="false">
      <c r="A719" s="4" t="s">
        <v>42</v>
      </c>
      <c r="B719" s="4" t="s">
        <v>368</v>
      </c>
      <c r="C719" s="47" t="n">
        <v>15008.28</v>
      </c>
      <c r="D719" s="48" t="n">
        <v>1513.48</v>
      </c>
      <c r="E719" s="49" t="n">
        <f aca="false">D719-cover</f>
        <v>1512.28</v>
      </c>
      <c r="F719" s="50" t="n">
        <f aca="false">'Z5 Ikana-Nkangamo'!S12-'Z5 Ikana-Nkangamo'!P12*C719/'Z5 Ikana-Nkangamo'!G12</f>
        <v>1643.40148753795</v>
      </c>
      <c r="G719" s="51" t="n">
        <f aca="false">'Z5 Ikana-Nkangamo'!$B$8-E719</f>
        <v>155.72</v>
      </c>
      <c r="H719" s="52" t="n">
        <f aca="false">F719-E719</f>
        <v>131.121487537949</v>
      </c>
      <c r="I719" s="52" t="n">
        <f aca="false">MAX(H719,G719)</f>
        <v>155.72</v>
      </c>
      <c r="J719" s="4" t="str">
        <f aca="false">IFERROR("PN"&amp;SMALL(PN_list,COUNTIF(PN_list,"&lt;"&amp;I719*bar_per_m)+1),"&gt; max PN")</f>
        <v>PN16</v>
      </c>
      <c r="K719" s="4" t="str">
        <f aca="false">IF(L719="no","end at tank",IF(H719&lt;0,"NEGATIVE",IF(H719&lt;p_min-0.005,"low","OK")))</f>
        <v>OK</v>
      </c>
      <c r="L719" s="4" t="s">
        <v>414</v>
      </c>
    </row>
    <row r="720" customFormat="false" ht="15" hidden="false" customHeight="false" outlineLevel="0" collapsed="false">
      <c r="A720" s="4" t="s">
        <v>42</v>
      </c>
      <c r="B720" s="4" t="s">
        <v>368</v>
      </c>
      <c r="C720" s="47" t="n">
        <v>15058.29</v>
      </c>
      <c r="D720" s="48" t="n">
        <v>1514.47</v>
      </c>
      <c r="E720" s="49" t="n">
        <f aca="false">D720-cover</f>
        <v>1513.27</v>
      </c>
      <c r="F720" s="50" t="n">
        <f aca="false">'Z5 Ikana-Nkangamo'!S12-'Z5 Ikana-Nkangamo'!P12*C720/'Z5 Ikana-Nkangamo'!G12</f>
        <v>1643.33518249778</v>
      </c>
      <c r="G720" s="51" t="n">
        <f aca="false">'Z5 Ikana-Nkangamo'!$B$8-E720</f>
        <v>154.73</v>
      </c>
      <c r="H720" s="52" t="n">
        <f aca="false">F720-E720</f>
        <v>130.065182497783</v>
      </c>
      <c r="I720" s="52" t="n">
        <f aca="false">MAX(H720,G720)</f>
        <v>154.73</v>
      </c>
      <c r="J720" s="4" t="str">
        <f aca="false">IFERROR("PN"&amp;SMALL(PN_list,COUNTIF(PN_list,"&lt;"&amp;I720*bar_per_m)+1),"&gt; max PN")</f>
        <v>PN16</v>
      </c>
      <c r="K720" s="4" t="str">
        <f aca="false">IF(L720="no","end at tank",IF(H720&lt;0,"NEGATIVE",IF(H720&lt;p_min-0.005,"low","OK")))</f>
        <v>OK</v>
      </c>
      <c r="L720" s="4" t="s">
        <v>414</v>
      </c>
    </row>
    <row r="721" customFormat="false" ht="15" hidden="false" customHeight="false" outlineLevel="0" collapsed="false">
      <c r="A721" s="4" t="s">
        <v>42</v>
      </c>
      <c r="B721" s="4" t="s">
        <v>368</v>
      </c>
      <c r="C721" s="47" t="n">
        <v>15108.31</v>
      </c>
      <c r="D721" s="48" t="n">
        <v>1515.56</v>
      </c>
      <c r="E721" s="49" t="n">
        <f aca="false">D721-cover</f>
        <v>1514.36</v>
      </c>
      <c r="F721" s="50" t="n">
        <f aca="false">'Z5 Ikana-Nkangamo'!S12-'Z5 Ikana-Nkangamo'!P12*C721/'Z5 Ikana-Nkangamo'!G12</f>
        <v>1643.26886419926</v>
      </c>
      <c r="G721" s="51" t="n">
        <f aca="false">'Z5 Ikana-Nkangamo'!$B$8-E721</f>
        <v>153.64</v>
      </c>
      <c r="H721" s="52" t="n">
        <f aca="false">F721-E721</f>
        <v>128.90886419926</v>
      </c>
      <c r="I721" s="52" t="n">
        <f aca="false">MAX(H721,G721)</f>
        <v>153.64</v>
      </c>
      <c r="J721" s="4" t="str">
        <f aca="false">IFERROR("PN"&amp;SMALL(PN_list,COUNTIF(PN_list,"&lt;"&amp;I721*bar_per_m)+1),"&gt; max PN")</f>
        <v>PN16</v>
      </c>
      <c r="K721" s="4" t="str">
        <f aca="false">IF(L721="no","end at tank",IF(H721&lt;0,"NEGATIVE",IF(H721&lt;p_min-0.005,"low","OK")))</f>
        <v>OK</v>
      </c>
      <c r="L721" s="4" t="s">
        <v>414</v>
      </c>
    </row>
    <row r="722" customFormat="false" ht="15" hidden="false" customHeight="false" outlineLevel="0" collapsed="false">
      <c r="A722" s="4" t="s">
        <v>42</v>
      </c>
      <c r="B722" s="4" t="s">
        <v>368</v>
      </c>
      <c r="C722" s="47" t="n">
        <v>15158.31</v>
      </c>
      <c r="D722" s="48" t="n">
        <v>1516.21</v>
      </c>
      <c r="E722" s="49" t="n">
        <f aca="false">D722-cover</f>
        <v>1515.01</v>
      </c>
      <c r="F722" s="50" t="n">
        <f aca="false">'Z5 Ikana-Nkangamo'!S12-'Z5 Ikana-Nkangamo'!P12*C722/'Z5 Ikana-Nkangamo'!G12</f>
        <v>1643.20257241745</v>
      </c>
      <c r="G722" s="51" t="n">
        <f aca="false">'Z5 Ikana-Nkangamo'!$B$8-E722</f>
        <v>152.99</v>
      </c>
      <c r="H722" s="52" t="n">
        <f aca="false">F722-E722</f>
        <v>128.19257241745</v>
      </c>
      <c r="I722" s="52" t="n">
        <f aca="false">MAX(H722,G722)</f>
        <v>152.99</v>
      </c>
      <c r="J722" s="4" t="str">
        <f aca="false">IFERROR("PN"&amp;SMALL(PN_list,COUNTIF(PN_list,"&lt;"&amp;I722*bar_per_m)+1),"&gt; max PN")</f>
        <v>PN16</v>
      </c>
      <c r="K722" s="4" t="str">
        <f aca="false">IF(L722="no","end at tank",IF(H722&lt;0,"NEGATIVE",IF(H722&lt;p_min-0.005,"low","OK")))</f>
        <v>OK</v>
      </c>
      <c r="L722" s="4" t="s">
        <v>414</v>
      </c>
    </row>
    <row r="723" customFormat="false" ht="15" hidden="false" customHeight="false" outlineLevel="0" collapsed="false">
      <c r="A723" s="4" t="s">
        <v>42</v>
      </c>
      <c r="B723" s="4" t="s">
        <v>368</v>
      </c>
      <c r="C723" s="47" t="n">
        <v>15208.33</v>
      </c>
      <c r="D723" s="48" t="n">
        <v>1517.7</v>
      </c>
      <c r="E723" s="49" t="n">
        <f aca="false">D723-cover</f>
        <v>1516.5</v>
      </c>
      <c r="F723" s="50" t="n">
        <f aca="false">'Z5 Ikana-Nkangamo'!S12-'Z5 Ikana-Nkangamo'!P12*C723/'Z5 Ikana-Nkangamo'!G12</f>
        <v>1643.13625411893</v>
      </c>
      <c r="G723" s="51" t="n">
        <f aca="false">'Z5 Ikana-Nkangamo'!$B$8-E723</f>
        <v>151.5</v>
      </c>
      <c r="H723" s="52" t="n">
        <f aca="false">F723-E723</f>
        <v>126.636254118928</v>
      </c>
      <c r="I723" s="52" t="n">
        <f aca="false">MAX(H723,G723)</f>
        <v>151.5</v>
      </c>
      <c r="J723" s="4" t="str">
        <f aca="false">IFERROR("PN"&amp;SMALL(PN_list,COUNTIF(PN_list,"&lt;"&amp;I723*bar_per_m)+1),"&gt; max PN")</f>
        <v>PN16</v>
      </c>
      <c r="K723" s="4" t="str">
        <f aca="false">IF(L723="no","end at tank",IF(H723&lt;0,"NEGATIVE",IF(H723&lt;p_min-0.005,"low","OK")))</f>
        <v>OK</v>
      </c>
      <c r="L723" s="4" t="s">
        <v>414</v>
      </c>
    </row>
    <row r="724" customFormat="false" ht="15" hidden="false" customHeight="false" outlineLevel="0" collapsed="false">
      <c r="A724" s="4" t="s">
        <v>42</v>
      </c>
      <c r="B724" s="4" t="s">
        <v>368</v>
      </c>
      <c r="C724" s="47" t="n">
        <v>15258.35</v>
      </c>
      <c r="D724" s="48" t="n">
        <v>1518.87</v>
      </c>
      <c r="E724" s="49" t="n">
        <f aca="false">D724-cover</f>
        <v>1517.67</v>
      </c>
      <c r="F724" s="50" t="n">
        <f aca="false">'Z5 Ikana-Nkangamo'!S12-'Z5 Ikana-Nkangamo'!P12*C724/'Z5 Ikana-Nkangamo'!G12</f>
        <v>1643.06993582041</v>
      </c>
      <c r="G724" s="51" t="n">
        <f aca="false">'Z5 Ikana-Nkangamo'!$B$8-E724</f>
        <v>150.33</v>
      </c>
      <c r="H724" s="52" t="n">
        <f aca="false">F724-E724</f>
        <v>125.399935820405</v>
      </c>
      <c r="I724" s="52" t="n">
        <f aca="false">MAX(H724,G724)</f>
        <v>150.33</v>
      </c>
      <c r="J724" s="4" t="str">
        <f aca="false">IFERROR("PN"&amp;SMALL(PN_list,COUNTIF(PN_list,"&lt;"&amp;I724*bar_per_m)+1),"&gt; max PN")</f>
        <v>PN16</v>
      </c>
      <c r="K724" s="4" t="str">
        <f aca="false">IF(L724="no","end at tank",IF(H724&lt;0,"NEGATIVE",IF(H724&lt;p_min-0.005,"low","OK")))</f>
        <v>OK</v>
      </c>
      <c r="L724" s="4" t="s">
        <v>414</v>
      </c>
    </row>
    <row r="725" customFormat="false" ht="15" hidden="false" customHeight="false" outlineLevel="0" collapsed="false">
      <c r="A725" s="4" t="s">
        <v>42</v>
      </c>
      <c r="B725" s="4" t="s">
        <v>368</v>
      </c>
      <c r="C725" s="47" t="n">
        <v>15308.35</v>
      </c>
      <c r="D725" s="48" t="n">
        <v>1519.48</v>
      </c>
      <c r="E725" s="49" t="n">
        <f aca="false">D725-cover</f>
        <v>1518.28</v>
      </c>
      <c r="F725" s="50" t="n">
        <f aca="false">'Z5 Ikana-Nkangamo'!S12-'Z5 Ikana-Nkangamo'!P12*C725/'Z5 Ikana-Nkangamo'!G12</f>
        <v>1643.0036440386</v>
      </c>
      <c r="G725" s="51" t="n">
        <f aca="false">'Z5 Ikana-Nkangamo'!$B$8-E725</f>
        <v>149.72</v>
      </c>
      <c r="H725" s="52" t="n">
        <f aca="false">F725-E725</f>
        <v>124.723644038595</v>
      </c>
      <c r="I725" s="52" t="n">
        <f aca="false">MAX(H725,G725)</f>
        <v>149.72</v>
      </c>
      <c r="J725" s="4" t="str">
        <f aca="false">IFERROR("PN"&amp;SMALL(PN_list,COUNTIF(PN_list,"&lt;"&amp;I725*bar_per_m)+1),"&gt; max PN")</f>
        <v>PN16</v>
      </c>
      <c r="K725" s="4" t="str">
        <f aca="false">IF(L725="no","end at tank",IF(H725&lt;0,"NEGATIVE",IF(H725&lt;p_min-0.005,"low","OK")))</f>
        <v>OK</v>
      </c>
      <c r="L725" s="4" t="s">
        <v>414</v>
      </c>
    </row>
    <row r="726" customFormat="false" ht="15" hidden="false" customHeight="false" outlineLevel="0" collapsed="false">
      <c r="A726" s="4" t="s">
        <v>42</v>
      </c>
      <c r="B726" s="4" t="s">
        <v>368</v>
      </c>
      <c r="C726" s="47" t="n">
        <v>15358.38</v>
      </c>
      <c r="D726" s="48" t="n">
        <v>1520.88</v>
      </c>
      <c r="E726" s="49" t="n">
        <f aca="false">D726-cover</f>
        <v>1519.68</v>
      </c>
      <c r="F726" s="50" t="n">
        <f aca="false">'Z5 Ikana-Nkangamo'!S12-'Z5 Ikana-Nkangamo'!P12*C726/'Z5 Ikana-Nkangamo'!G12</f>
        <v>1642.93731248172</v>
      </c>
      <c r="G726" s="51" t="n">
        <f aca="false">'Z5 Ikana-Nkangamo'!$B$8-E726</f>
        <v>148.32</v>
      </c>
      <c r="H726" s="52" t="n">
        <f aca="false">F726-E726</f>
        <v>123.257312481716</v>
      </c>
      <c r="I726" s="52" t="n">
        <f aca="false">MAX(H726,G726)</f>
        <v>148.32</v>
      </c>
      <c r="J726" s="4" t="str">
        <f aca="false">IFERROR("PN"&amp;SMALL(PN_list,COUNTIF(PN_list,"&lt;"&amp;I726*bar_per_m)+1),"&gt; max PN")</f>
        <v>PN16</v>
      </c>
      <c r="K726" s="4" t="str">
        <f aca="false">IF(L726="no","end at tank",IF(H726&lt;0,"NEGATIVE",IF(H726&lt;p_min-0.005,"low","OK")))</f>
        <v>OK</v>
      </c>
      <c r="L726" s="4" t="s">
        <v>414</v>
      </c>
    </row>
    <row r="727" customFormat="false" ht="15" hidden="false" customHeight="false" outlineLevel="0" collapsed="false">
      <c r="A727" s="4" t="s">
        <v>42</v>
      </c>
      <c r="B727" s="4" t="s">
        <v>368</v>
      </c>
      <c r="C727" s="47" t="n">
        <v>15408.38</v>
      </c>
      <c r="D727" s="48" t="n">
        <v>1520.84</v>
      </c>
      <c r="E727" s="49" t="n">
        <f aca="false">D727-cover</f>
        <v>1519.64</v>
      </c>
      <c r="F727" s="50" t="n">
        <f aca="false">'Z5 Ikana-Nkangamo'!S12-'Z5 Ikana-Nkangamo'!P12*C727/'Z5 Ikana-Nkangamo'!G12</f>
        <v>1642.87102069991</v>
      </c>
      <c r="G727" s="51" t="n">
        <f aca="false">'Z5 Ikana-Nkangamo'!$B$8-E727</f>
        <v>148.36</v>
      </c>
      <c r="H727" s="52" t="n">
        <f aca="false">F727-E727</f>
        <v>123.231020699906</v>
      </c>
      <c r="I727" s="52" t="n">
        <f aca="false">MAX(H727,G727)</f>
        <v>148.36</v>
      </c>
      <c r="J727" s="4" t="str">
        <f aca="false">IFERROR("PN"&amp;SMALL(PN_list,COUNTIF(PN_list,"&lt;"&amp;I727*bar_per_m)+1),"&gt; max PN")</f>
        <v>PN16</v>
      </c>
      <c r="K727" s="4" t="str">
        <f aca="false">IF(L727="no","end at tank",IF(H727&lt;0,"NEGATIVE",IF(H727&lt;p_min-0.005,"low","OK")))</f>
        <v>OK</v>
      </c>
      <c r="L727" s="4" t="s">
        <v>414</v>
      </c>
    </row>
    <row r="728" customFormat="false" ht="15" hidden="false" customHeight="false" outlineLevel="0" collapsed="false">
      <c r="A728" s="4" t="s">
        <v>42</v>
      </c>
      <c r="B728" s="4" t="s">
        <v>368</v>
      </c>
      <c r="C728" s="47" t="n">
        <v>15458.38</v>
      </c>
      <c r="D728" s="48" t="n">
        <v>1521.5</v>
      </c>
      <c r="E728" s="49" t="n">
        <f aca="false">D728-cover</f>
        <v>1520.3</v>
      </c>
      <c r="F728" s="50" t="n">
        <f aca="false">'Z5 Ikana-Nkangamo'!S12-'Z5 Ikana-Nkangamo'!P12*C728/'Z5 Ikana-Nkangamo'!G12</f>
        <v>1642.8047289181</v>
      </c>
      <c r="G728" s="51" t="n">
        <f aca="false">'Z5 Ikana-Nkangamo'!$B$8-E728</f>
        <v>147.7</v>
      </c>
      <c r="H728" s="52" t="n">
        <f aca="false">F728-E728</f>
        <v>122.504728918096</v>
      </c>
      <c r="I728" s="52" t="n">
        <f aca="false">MAX(H728,G728)</f>
        <v>147.7</v>
      </c>
      <c r="J728" s="4" t="str">
        <f aca="false">IFERROR("PN"&amp;SMALL(PN_list,COUNTIF(PN_list,"&lt;"&amp;I728*bar_per_m)+1),"&gt; max PN")</f>
        <v>PN16</v>
      </c>
      <c r="K728" s="4" t="str">
        <f aca="false">IF(L728="no","end at tank",IF(H728&lt;0,"NEGATIVE",IF(H728&lt;p_min-0.005,"low","OK")))</f>
        <v>OK</v>
      </c>
      <c r="L728" s="4" t="s">
        <v>414</v>
      </c>
    </row>
    <row r="729" customFormat="false" ht="15" hidden="false" customHeight="false" outlineLevel="0" collapsed="false">
      <c r="A729" s="4" t="s">
        <v>42</v>
      </c>
      <c r="B729" s="4" t="s">
        <v>368</v>
      </c>
      <c r="C729" s="47" t="n">
        <v>15508.44</v>
      </c>
      <c r="D729" s="48" t="n">
        <v>1523.84</v>
      </c>
      <c r="E729" s="49" t="n">
        <f aca="false">D729-cover</f>
        <v>1522.64</v>
      </c>
      <c r="F729" s="50" t="n">
        <f aca="false">'Z5 Ikana-Nkangamo'!S12-'Z5 Ikana-Nkangamo'!P12*C729/'Z5 Ikana-Nkangamo'!G12</f>
        <v>1642.73835758615</v>
      </c>
      <c r="G729" s="51" t="n">
        <f aca="false">'Z5 Ikana-Nkangamo'!$B$8-E729</f>
        <v>145.36</v>
      </c>
      <c r="H729" s="52" t="n">
        <f aca="false">F729-E729</f>
        <v>120.098357586148</v>
      </c>
      <c r="I729" s="52" t="n">
        <f aca="false">MAX(H729,G729)</f>
        <v>145.36</v>
      </c>
      <c r="J729" s="4" t="str">
        <f aca="false">IFERROR("PN"&amp;SMALL(PN_list,COUNTIF(PN_list,"&lt;"&amp;I729*bar_per_m)+1),"&gt; max PN")</f>
        <v>PN16</v>
      </c>
      <c r="K729" s="4" t="str">
        <f aca="false">IF(L729="no","end at tank",IF(H729&lt;0,"NEGATIVE",IF(H729&lt;p_min-0.005,"low","OK")))</f>
        <v>OK</v>
      </c>
      <c r="L729" s="4" t="s">
        <v>414</v>
      </c>
    </row>
    <row r="730" customFormat="false" ht="15" hidden="false" customHeight="false" outlineLevel="0" collapsed="false">
      <c r="A730" s="4" t="s">
        <v>42</v>
      </c>
      <c r="B730" s="4" t="s">
        <v>368</v>
      </c>
      <c r="C730" s="47" t="n">
        <v>15558.46</v>
      </c>
      <c r="D730" s="48" t="n">
        <v>1525.15</v>
      </c>
      <c r="E730" s="49" t="n">
        <f aca="false">D730-cover</f>
        <v>1523.95</v>
      </c>
      <c r="F730" s="50" t="n">
        <f aca="false">'Z5 Ikana-Nkangamo'!S12-'Z5 Ikana-Nkangamo'!P12*C730/'Z5 Ikana-Nkangamo'!G12</f>
        <v>1642.67203928763</v>
      </c>
      <c r="G730" s="51" t="n">
        <f aca="false">'Z5 Ikana-Nkangamo'!$B$8-E730</f>
        <v>144.05</v>
      </c>
      <c r="H730" s="52" t="n">
        <f aca="false">F730-E730</f>
        <v>118.722039287625</v>
      </c>
      <c r="I730" s="52" t="n">
        <f aca="false">MAX(H730,G730)</f>
        <v>144.05</v>
      </c>
      <c r="J730" s="4" t="str">
        <f aca="false">IFERROR("PN"&amp;SMALL(PN_list,COUNTIF(PN_list,"&lt;"&amp;I730*bar_per_m)+1),"&gt; max PN")</f>
        <v>PN16</v>
      </c>
      <c r="K730" s="4" t="str">
        <f aca="false">IF(L730="no","end at tank",IF(H730&lt;0,"NEGATIVE",IF(H730&lt;p_min-0.005,"low","OK")))</f>
        <v>OK</v>
      </c>
      <c r="L730" s="4" t="s">
        <v>414</v>
      </c>
    </row>
    <row r="731" customFormat="false" ht="15" hidden="false" customHeight="false" outlineLevel="0" collapsed="false">
      <c r="A731" s="4" t="s">
        <v>42</v>
      </c>
      <c r="B731" s="4" t="s">
        <v>368</v>
      </c>
      <c r="C731" s="47" t="n">
        <v>15608.49</v>
      </c>
      <c r="D731" s="48" t="n">
        <v>1527.14</v>
      </c>
      <c r="E731" s="49" t="n">
        <f aca="false">D731-cover</f>
        <v>1525.94</v>
      </c>
      <c r="F731" s="50" t="n">
        <f aca="false">'Z5 Ikana-Nkangamo'!S12-'Z5 Ikana-Nkangamo'!P12*C731/'Z5 Ikana-Nkangamo'!G12</f>
        <v>1642.60570773075</v>
      </c>
      <c r="G731" s="51" t="n">
        <f aca="false">'Z5 Ikana-Nkangamo'!$B$8-E731</f>
        <v>142.06</v>
      </c>
      <c r="H731" s="52" t="n">
        <f aca="false">F731-E731</f>
        <v>116.665707730746</v>
      </c>
      <c r="I731" s="52" t="n">
        <f aca="false">MAX(H731,G731)</f>
        <v>142.06</v>
      </c>
      <c r="J731" s="4" t="str">
        <f aca="false">IFERROR("PN"&amp;SMALL(PN_list,COUNTIF(PN_list,"&lt;"&amp;I731*bar_per_m)+1),"&gt; max PN")</f>
        <v>PN16</v>
      </c>
      <c r="K731" s="4" t="str">
        <f aca="false">IF(L731="no","end at tank",IF(H731&lt;0,"NEGATIVE",IF(H731&lt;p_min-0.005,"low","OK")))</f>
        <v>OK</v>
      </c>
      <c r="L731" s="4" t="s">
        <v>414</v>
      </c>
    </row>
    <row r="732" customFormat="false" ht="15" hidden="false" customHeight="false" outlineLevel="0" collapsed="false">
      <c r="A732" s="4" t="s">
        <v>42</v>
      </c>
      <c r="B732" s="4" t="s">
        <v>368</v>
      </c>
      <c r="C732" s="47" t="n">
        <v>15658.5</v>
      </c>
      <c r="D732" s="48" t="n">
        <v>1527.97</v>
      </c>
      <c r="E732" s="49" t="n">
        <f aca="false">D732-cover</f>
        <v>1526.77</v>
      </c>
      <c r="F732" s="50" t="n">
        <f aca="false">'Z5 Ikana-Nkangamo'!S12-'Z5 Ikana-Nkangamo'!P12*C732/'Z5 Ikana-Nkangamo'!G12</f>
        <v>1642.53940269058</v>
      </c>
      <c r="G732" s="51" t="n">
        <f aca="false">'Z5 Ikana-Nkangamo'!$B$8-E732</f>
        <v>141.23</v>
      </c>
      <c r="H732" s="52" t="n">
        <f aca="false">F732-E732</f>
        <v>115.76940269058</v>
      </c>
      <c r="I732" s="52" t="n">
        <f aca="false">MAX(H732,G732)</f>
        <v>141.23</v>
      </c>
      <c r="J732" s="4" t="str">
        <f aca="false">IFERROR("PN"&amp;SMALL(PN_list,COUNTIF(PN_list,"&lt;"&amp;I732*bar_per_m)+1),"&gt; max PN")</f>
        <v>PN16</v>
      </c>
      <c r="K732" s="4" t="str">
        <f aca="false">IF(L732="no","end at tank",IF(H732&lt;0,"NEGATIVE",IF(H732&lt;p_min-0.005,"low","OK")))</f>
        <v>OK</v>
      </c>
      <c r="L732" s="4" t="s">
        <v>414</v>
      </c>
    </row>
    <row r="733" customFormat="false" ht="15" hidden="false" customHeight="false" outlineLevel="0" collapsed="false">
      <c r="A733" s="4" t="s">
        <v>42</v>
      </c>
      <c r="B733" s="4" t="s">
        <v>368</v>
      </c>
      <c r="C733" s="47" t="n">
        <v>15708.54</v>
      </c>
      <c r="D733" s="48" t="n">
        <v>1529.94</v>
      </c>
      <c r="E733" s="49" t="n">
        <f aca="false">D733-cover</f>
        <v>1528.74</v>
      </c>
      <c r="F733" s="50" t="n">
        <f aca="false">'Z5 Ikana-Nkangamo'!S12-'Z5 Ikana-Nkangamo'!P12*C733/'Z5 Ikana-Nkangamo'!G12</f>
        <v>1642.47305787534</v>
      </c>
      <c r="G733" s="51" t="n">
        <f aca="false">'Z5 Ikana-Nkangamo'!$B$8-E733</f>
        <v>139.26</v>
      </c>
      <c r="H733" s="52" t="n">
        <f aca="false">F733-E733</f>
        <v>113.733057875345</v>
      </c>
      <c r="I733" s="52" t="n">
        <f aca="false">MAX(H733,G733)</f>
        <v>139.26</v>
      </c>
      <c r="J733" s="4" t="str">
        <f aca="false">IFERROR("PN"&amp;SMALL(PN_list,COUNTIF(PN_list,"&lt;"&amp;I733*bar_per_m)+1),"&gt; max PN")</f>
        <v>PN16</v>
      </c>
      <c r="K733" s="4" t="str">
        <f aca="false">IF(L733="no","end at tank",IF(H733&lt;0,"NEGATIVE",IF(H733&lt;p_min-0.005,"low","OK")))</f>
        <v>OK</v>
      </c>
      <c r="L733" s="4" t="s">
        <v>414</v>
      </c>
    </row>
    <row r="734" customFormat="false" ht="15" hidden="false" customHeight="false" outlineLevel="0" collapsed="false">
      <c r="A734" s="4" t="s">
        <v>42</v>
      </c>
      <c r="B734" s="4" t="s">
        <v>368</v>
      </c>
      <c r="C734" s="47" t="n">
        <v>15758.55</v>
      </c>
      <c r="D734" s="48" t="n">
        <v>1530.98</v>
      </c>
      <c r="E734" s="49" t="n">
        <f aca="false">D734-cover</f>
        <v>1529.78</v>
      </c>
      <c r="F734" s="50" t="n">
        <f aca="false">'Z5 Ikana-Nkangamo'!S12-'Z5 Ikana-Nkangamo'!P12*C734/'Z5 Ikana-Nkangamo'!G12</f>
        <v>1642.40675283518</v>
      </c>
      <c r="G734" s="51" t="n">
        <f aca="false">'Z5 Ikana-Nkangamo'!$B$8-E734</f>
        <v>138.22</v>
      </c>
      <c r="H734" s="52" t="n">
        <f aca="false">F734-E734</f>
        <v>112.626752835178</v>
      </c>
      <c r="I734" s="52" t="n">
        <f aca="false">MAX(H734,G734)</f>
        <v>138.22</v>
      </c>
      <c r="J734" s="4" t="str">
        <f aca="false">IFERROR("PN"&amp;SMALL(PN_list,COUNTIF(PN_list,"&lt;"&amp;I734*bar_per_m)+1),"&gt; max PN")</f>
        <v>PN16</v>
      </c>
      <c r="K734" s="4" t="str">
        <f aca="false">IF(L734="no","end at tank",IF(H734&lt;0,"NEGATIVE",IF(H734&lt;p_min-0.005,"low","OK")))</f>
        <v>OK</v>
      </c>
      <c r="L734" s="4" t="s">
        <v>414</v>
      </c>
    </row>
    <row r="735" customFormat="false" ht="15" hidden="false" customHeight="false" outlineLevel="0" collapsed="false">
      <c r="A735" s="4" t="s">
        <v>42</v>
      </c>
      <c r="B735" s="4" t="s">
        <v>368</v>
      </c>
      <c r="C735" s="47" t="n">
        <v>15808.57</v>
      </c>
      <c r="D735" s="48" t="n">
        <v>1532.16</v>
      </c>
      <c r="E735" s="49" t="n">
        <f aca="false">D735-cover</f>
        <v>1530.96</v>
      </c>
      <c r="F735" s="50" t="n">
        <f aca="false">'Z5 Ikana-Nkangamo'!S12-'Z5 Ikana-Nkangamo'!P12*C735/'Z5 Ikana-Nkangamo'!G12</f>
        <v>1642.34043453666</v>
      </c>
      <c r="G735" s="51" t="n">
        <f aca="false">'Z5 Ikana-Nkangamo'!$B$8-E735</f>
        <v>137.04</v>
      </c>
      <c r="H735" s="52" t="n">
        <f aca="false">F735-E735</f>
        <v>111.380434536656</v>
      </c>
      <c r="I735" s="52" t="n">
        <f aca="false">MAX(H735,G735)</f>
        <v>137.04</v>
      </c>
      <c r="J735" s="4" t="str">
        <f aca="false">IFERROR("PN"&amp;SMALL(PN_list,COUNTIF(PN_list,"&lt;"&amp;I735*bar_per_m)+1),"&gt; max PN")</f>
        <v>PN16</v>
      </c>
      <c r="K735" s="4" t="str">
        <f aca="false">IF(L735="no","end at tank",IF(H735&lt;0,"NEGATIVE",IF(H735&lt;p_min-0.005,"low","OK")))</f>
        <v>OK</v>
      </c>
      <c r="L735" s="4" t="s">
        <v>414</v>
      </c>
    </row>
    <row r="736" customFormat="false" ht="15" hidden="false" customHeight="false" outlineLevel="0" collapsed="false">
      <c r="A736" s="4" t="s">
        <v>42</v>
      </c>
      <c r="B736" s="4" t="s">
        <v>368</v>
      </c>
      <c r="C736" s="47" t="n">
        <v>15858.58</v>
      </c>
      <c r="D736" s="48" t="n">
        <v>1533.19</v>
      </c>
      <c r="E736" s="49" t="n">
        <f aca="false">D736-cover</f>
        <v>1531.99</v>
      </c>
      <c r="F736" s="50" t="n">
        <f aca="false">'Z5 Ikana-Nkangamo'!S12-'Z5 Ikana-Nkangamo'!P12*C736/'Z5 Ikana-Nkangamo'!G12</f>
        <v>1642.27412949649</v>
      </c>
      <c r="G736" s="51" t="n">
        <f aca="false">'Z5 Ikana-Nkangamo'!$B$8-E736</f>
        <v>136.01</v>
      </c>
      <c r="H736" s="52" t="n">
        <f aca="false">F736-E736</f>
        <v>110.284129496489</v>
      </c>
      <c r="I736" s="52" t="n">
        <f aca="false">MAX(H736,G736)</f>
        <v>136.01</v>
      </c>
      <c r="J736" s="4" t="str">
        <f aca="false">IFERROR("PN"&amp;SMALL(PN_list,COUNTIF(PN_list,"&lt;"&amp;I736*bar_per_m)+1),"&gt; max PN")</f>
        <v>PN16</v>
      </c>
      <c r="K736" s="4" t="str">
        <f aca="false">IF(L736="no","end at tank",IF(H736&lt;0,"NEGATIVE",IF(H736&lt;p_min-0.005,"low","OK")))</f>
        <v>OK</v>
      </c>
      <c r="L736" s="4" t="s">
        <v>414</v>
      </c>
    </row>
    <row r="737" customFormat="false" ht="15" hidden="false" customHeight="false" outlineLevel="0" collapsed="false">
      <c r="A737" s="4" t="s">
        <v>42</v>
      </c>
      <c r="B737" s="4" t="s">
        <v>368</v>
      </c>
      <c r="C737" s="47" t="n">
        <v>15908.58</v>
      </c>
      <c r="D737" s="48" t="n">
        <v>1533.96</v>
      </c>
      <c r="E737" s="49" t="n">
        <f aca="false">D737-cover</f>
        <v>1532.76</v>
      </c>
      <c r="F737" s="50" t="n">
        <f aca="false">'Z5 Ikana-Nkangamo'!S12-'Z5 Ikana-Nkangamo'!P12*C737/'Z5 Ikana-Nkangamo'!G12</f>
        <v>1642.20783771468</v>
      </c>
      <c r="G737" s="51" t="n">
        <f aca="false">'Z5 Ikana-Nkangamo'!$B$8-E737</f>
        <v>135.24</v>
      </c>
      <c r="H737" s="52" t="n">
        <f aca="false">F737-E737</f>
        <v>109.447837714679</v>
      </c>
      <c r="I737" s="52" t="n">
        <f aca="false">MAX(H737,G737)</f>
        <v>135.24</v>
      </c>
      <c r="J737" s="4" t="str">
        <f aca="false">IFERROR("PN"&amp;SMALL(PN_list,COUNTIF(PN_list,"&lt;"&amp;I737*bar_per_m)+1),"&gt; max PN")</f>
        <v>PN16</v>
      </c>
      <c r="K737" s="4" t="str">
        <f aca="false">IF(L737="no","end at tank",IF(H737&lt;0,"NEGATIVE",IF(H737&lt;p_min-0.005,"low","OK")))</f>
        <v>OK</v>
      </c>
      <c r="L737" s="4" t="s">
        <v>414</v>
      </c>
    </row>
    <row r="738" customFormat="false" ht="15" hidden="false" customHeight="false" outlineLevel="0" collapsed="false">
      <c r="A738" s="4" t="s">
        <v>42</v>
      </c>
      <c r="B738" s="4" t="s">
        <v>368</v>
      </c>
      <c r="C738" s="47" t="n">
        <v>15958.58</v>
      </c>
      <c r="D738" s="48" t="n">
        <v>1534.41</v>
      </c>
      <c r="E738" s="49" t="n">
        <f aca="false">D738-cover</f>
        <v>1533.21</v>
      </c>
      <c r="F738" s="50" t="n">
        <f aca="false">'Z5 Ikana-Nkangamo'!S12-'Z5 Ikana-Nkangamo'!P12*C738/'Z5 Ikana-Nkangamo'!G12</f>
        <v>1642.14154593287</v>
      </c>
      <c r="G738" s="51" t="n">
        <f aca="false">'Z5 Ikana-Nkangamo'!$B$8-E738</f>
        <v>134.79</v>
      </c>
      <c r="H738" s="52" t="n">
        <f aca="false">F738-E738</f>
        <v>108.931545932869</v>
      </c>
      <c r="I738" s="52" t="n">
        <f aca="false">MAX(H738,G738)</f>
        <v>134.79</v>
      </c>
      <c r="J738" s="4" t="str">
        <f aca="false">IFERROR("PN"&amp;SMALL(PN_list,COUNTIF(PN_list,"&lt;"&amp;I738*bar_per_m)+1),"&gt; max PN")</f>
        <v>PN16</v>
      </c>
      <c r="K738" s="4" t="str">
        <f aca="false">IF(L738="no","end at tank",IF(H738&lt;0,"NEGATIVE",IF(H738&lt;p_min-0.005,"low","OK")))</f>
        <v>OK</v>
      </c>
      <c r="L738" s="4" t="s">
        <v>414</v>
      </c>
    </row>
    <row r="739" customFormat="false" ht="15" hidden="false" customHeight="false" outlineLevel="0" collapsed="false">
      <c r="A739" s="4" t="s">
        <v>42</v>
      </c>
      <c r="B739" s="4" t="s">
        <v>368</v>
      </c>
      <c r="C739" s="47" t="n">
        <v>16008.59</v>
      </c>
      <c r="D739" s="48" t="n">
        <v>1535.06</v>
      </c>
      <c r="E739" s="49" t="n">
        <f aca="false">D739-cover</f>
        <v>1533.86</v>
      </c>
      <c r="F739" s="50" t="n">
        <f aca="false">'Z5 Ikana-Nkangamo'!S12-'Z5 Ikana-Nkangamo'!P12*C739/'Z5 Ikana-Nkangamo'!G12</f>
        <v>1642.0752408927</v>
      </c>
      <c r="G739" s="51" t="n">
        <f aca="false">'Z5 Ikana-Nkangamo'!$B$8-E739</f>
        <v>134.14</v>
      </c>
      <c r="H739" s="52" t="n">
        <f aca="false">F739-E739</f>
        <v>108.215240892703</v>
      </c>
      <c r="I739" s="52" t="n">
        <f aca="false">MAX(H739,G739)</f>
        <v>134.14</v>
      </c>
      <c r="J739" s="4" t="str">
        <f aca="false">IFERROR("PN"&amp;SMALL(PN_list,COUNTIF(PN_list,"&lt;"&amp;I739*bar_per_m)+1),"&gt; max PN")</f>
        <v>PN16</v>
      </c>
      <c r="K739" s="4" t="str">
        <f aca="false">IF(L739="no","end at tank",IF(H739&lt;0,"NEGATIVE",IF(H739&lt;p_min-0.005,"low","OK")))</f>
        <v>OK</v>
      </c>
      <c r="L739" s="4" t="s">
        <v>414</v>
      </c>
    </row>
    <row r="740" customFormat="false" ht="15" hidden="false" customHeight="false" outlineLevel="0" collapsed="false">
      <c r="A740" s="4" t="s">
        <v>42</v>
      </c>
      <c r="B740" s="4" t="s">
        <v>368</v>
      </c>
      <c r="C740" s="47" t="n">
        <v>16058.59</v>
      </c>
      <c r="D740" s="48" t="n">
        <v>1535.45</v>
      </c>
      <c r="E740" s="49" t="n">
        <f aca="false">D740-cover</f>
        <v>1534.25</v>
      </c>
      <c r="F740" s="50" t="n">
        <f aca="false">'Z5 Ikana-Nkangamo'!S12-'Z5 Ikana-Nkangamo'!P12*C740/'Z5 Ikana-Nkangamo'!G12</f>
        <v>1642.00894911089</v>
      </c>
      <c r="G740" s="51" t="n">
        <f aca="false">'Z5 Ikana-Nkangamo'!$B$8-E740</f>
        <v>133.75</v>
      </c>
      <c r="H740" s="52" t="n">
        <f aca="false">F740-E740</f>
        <v>107.758949110893</v>
      </c>
      <c r="I740" s="52" t="n">
        <f aca="false">MAX(H740,G740)</f>
        <v>133.75</v>
      </c>
      <c r="J740" s="4" t="str">
        <f aca="false">IFERROR("PN"&amp;SMALL(PN_list,COUNTIF(PN_list,"&lt;"&amp;I740*bar_per_m)+1),"&gt; max PN")</f>
        <v>PN16</v>
      </c>
      <c r="K740" s="4" t="str">
        <f aca="false">IF(L740="no","end at tank",IF(H740&lt;0,"NEGATIVE",IF(H740&lt;p_min-0.005,"low","OK")))</f>
        <v>OK</v>
      </c>
      <c r="L740" s="4" t="s">
        <v>414</v>
      </c>
    </row>
    <row r="741" customFormat="false" ht="15" hidden="false" customHeight="false" outlineLevel="0" collapsed="false">
      <c r="A741" s="4" t="s">
        <v>42</v>
      </c>
      <c r="B741" s="4" t="s">
        <v>368</v>
      </c>
      <c r="C741" s="47" t="n">
        <v>16108.67</v>
      </c>
      <c r="D741" s="48" t="n">
        <v>1538.34</v>
      </c>
      <c r="E741" s="49" t="n">
        <f aca="false">D741-cover</f>
        <v>1537.14</v>
      </c>
      <c r="F741" s="50" t="n">
        <f aca="false">'Z5 Ikana-Nkangamo'!S12-'Z5 Ikana-Nkangamo'!P12*C741/'Z5 Ikana-Nkangamo'!G12</f>
        <v>1641.94255126223</v>
      </c>
      <c r="G741" s="51" t="n">
        <f aca="false">'Z5 Ikana-Nkangamo'!$B$8-E741</f>
        <v>130.86</v>
      </c>
      <c r="H741" s="52" t="n">
        <f aca="false">F741-E741</f>
        <v>104.802551262233</v>
      </c>
      <c r="I741" s="52" t="n">
        <f aca="false">MAX(H741,G741)</f>
        <v>130.86</v>
      </c>
      <c r="J741" s="4" t="str">
        <f aca="false">IFERROR("PN"&amp;SMALL(PN_list,COUNTIF(PN_list,"&lt;"&amp;I741*bar_per_m)+1),"&gt; max PN")</f>
        <v>PN16</v>
      </c>
      <c r="K741" s="4" t="str">
        <f aca="false">IF(L741="no","end at tank",IF(H741&lt;0,"NEGATIVE",IF(H741&lt;p_min-0.005,"low","OK")))</f>
        <v>OK</v>
      </c>
      <c r="L741" s="4" t="s">
        <v>414</v>
      </c>
    </row>
    <row r="742" customFormat="false" ht="15" hidden="false" customHeight="false" outlineLevel="0" collapsed="false">
      <c r="A742" s="4" t="s">
        <v>42</v>
      </c>
      <c r="B742" s="4" t="s">
        <v>368</v>
      </c>
      <c r="C742" s="47" t="n">
        <v>16158.72</v>
      </c>
      <c r="D742" s="48" t="n">
        <v>1540.43</v>
      </c>
      <c r="E742" s="49" t="n">
        <f aca="false">D742-cover</f>
        <v>1539.23</v>
      </c>
      <c r="F742" s="50" t="n">
        <f aca="false">'Z5 Ikana-Nkangamo'!S12-'Z5 Ikana-Nkangamo'!P12*C742/'Z5 Ikana-Nkangamo'!G12</f>
        <v>1641.87619318864</v>
      </c>
      <c r="G742" s="51" t="n">
        <f aca="false">'Z5 Ikana-Nkangamo'!$B$8-E742</f>
        <v>128.77</v>
      </c>
      <c r="H742" s="52" t="n">
        <f aca="false">F742-E742</f>
        <v>102.646193188641</v>
      </c>
      <c r="I742" s="52" t="n">
        <f aca="false">MAX(H742,G742)</f>
        <v>128.77</v>
      </c>
      <c r="J742" s="4" t="str">
        <f aca="false">IFERROR("PN"&amp;SMALL(PN_list,COUNTIF(PN_list,"&lt;"&amp;I742*bar_per_m)+1),"&gt; max PN")</f>
        <v>PN16</v>
      </c>
      <c r="K742" s="4" t="str">
        <f aca="false">IF(L742="no","end at tank",IF(H742&lt;0,"NEGATIVE",IF(H742&lt;p_min-0.005,"low","OK")))</f>
        <v>OK</v>
      </c>
      <c r="L742" s="4" t="s">
        <v>414</v>
      </c>
    </row>
    <row r="743" customFormat="false" ht="15" hidden="false" customHeight="false" outlineLevel="0" collapsed="false">
      <c r="A743" s="4" t="s">
        <v>42</v>
      </c>
      <c r="B743" s="4" t="s">
        <v>368</v>
      </c>
      <c r="C743" s="47" t="n">
        <v>16208.78</v>
      </c>
      <c r="D743" s="48" t="n">
        <v>1542.92</v>
      </c>
      <c r="E743" s="49" t="n">
        <f aca="false">D743-cover</f>
        <v>1541.72</v>
      </c>
      <c r="F743" s="50" t="n">
        <f aca="false">'Z5 Ikana-Nkangamo'!S12-'Z5 Ikana-Nkangamo'!P12*C743/'Z5 Ikana-Nkangamo'!G12</f>
        <v>1641.80982185669</v>
      </c>
      <c r="G743" s="51" t="n">
        <f aca="false">'Z5 Ikana-Nkangamo'!$B$8-E743</f>
        <v>126.28</v>
      </c>
      <c r="H743" s="52" t="n">
        <f aca="false">F743-E743</f>
        <v>100.089821856692</v>
      </c>
      <c r="I743" s="52" t="n">
        <f aca="false">MAX(H743,G743)</f>
        <v>126.28</v>
      </c>
      <c r="J743" s="4" t="str">
        <f aca="false">IFERROR("PN"&amp;SMALL(PN_list,COUNTIF(PN_list,"&lt;"&amp;I743*bar_per_m)+1),"&gt; max PN")</f>
        <v>PN16</v>
      </c>
      <c r="K743" s="4" t="str">
        <f aca="false">IF(L743="no","end at tank",IF(H743&lt;0,"NEGATIVE",IF(H743&lt;p_min-0.005,"low","OK")))</f>
        <v>OK</v>
      </c>
      <c r="L743" s="4" t="s">
        <v>414</v>
      </c>
    </row>
    <row r="744" customFormat="false" ht="15" hidden="false" customHeight="false" outlineLevel="0" collapsed="false">
      <c r="A744" s="4" t="s">
        <v>42</v>
      </c>
      <c r="B744" s="4" t="s">
        <v>368</v>
      </c>
      <c r="C744" s="47" t="n">
        <v>16258.87</v>
      </c>
      <c r="D744" s="48" t="n">
        <v>1545.92</v>
      </c>
      <c r="E744" s="49" t="n">
        <f aca="false">D744-cover</f>
        <v>1544.72</v>
      </c>
      <c r="F744" s="50" t="n">
        <f aca="false">'Z5 Ikana-Nkangamo'!S12-'Z5 Ikana-Nkangamo'!P12*C744/'Z5 Ikana-Nkangamo'!G12</f>
        <v>1641.74341074968</v>
      </c>
      <c r="G744" s="51" t="n">
        <f aca="false">'Z5 Ikana-Nkangamo'!$B$8-E744</f>
        <v>123.28</v>
      </c>
      <c r="H744" s="52" t="n">
        <f aca="false">F744-E744</f>
        <v>97.0234107496754</v>
      </c>
      <c r="I744" s="52" t="n">
        <f aca="false">MAX(H744,G744)</f>
        <v>123.28</v>
      </c>
      <c r="J744" s="4" t="str">
        <f aca="false">IFERROR("PN"&amp;SMALL(PN_list,COUNTIF(PN_list,"&lt;"&amp;I744*bar_per_m)+1),"&gt; max PN")</f>
        <v>PN16</v>
      </c>
      <c r="K744" s="4" t="str">
        <f aca="false">IF(L744="no","end at tank",IF(H744&lt;0,"NEGATIVE",IF(H744&lt;p_min-0.005,"low","OK")))</f>
        <v>OK</v>
      </c>
      <c r="L744" s="4" t="s">
        <v>414</v>
      </c>
    </row>
    <row r="745" customFormat="false" ht="15" hidden="false" customHeight="false" outlineLevel="0" collapsed="false">
      <c r="A745" s="4" t="s">
        <v>42</v>
      </c>
      <c r="B745" s="4" t="s">
        <v>368</v>
      </c>
      <c r="C745" s="47" t="n">
        <v>16308.9</v>
      </c>
      <c r="D745" s="48" t="n">
        <v>1547.55</v>
      </c>
      <c r="E745" s="49" t="n">
        <f aca="false">D745-cover</f>
        <v>1546.35</v>
      </c>
      <c r="F745" s="50" t="n">
        <f aca="false">'Z5 Ikana-Nkangamo'!S12-'Z5 Ikana-Nkangamo'!P12*C745/'Z5 Ikana-Nkangamo'!G12</f>
        <v>1641.6770791928</v>
      </c>
      <c r="G745" s="51" t="n">
        <f aca="false">'Z5 Ikana-Nkangamo'!$B$8-E745</f>
        <v>121.65</v>
      </c>
      <c r="H745" s="52" t="n">
        <f aca="false">F745-E745</f>
        <v>95.3270791927964</v>
      </c>
      <c r="I745" s="52" t="n">
        <f aca="false">MAX(H745,G745)</f>
        <v>121.65</v>
      </c>
      <c r="J745" s="4" t="str">
        <f aca="false">IFERROR("PN"&amp;SMALL(PN_list,COUNTIF(PN_list,"&lt;"&amp;I745*bar_per_m)+1),"&gt; max PN")</f>
        <v>PN16</v>
      </c>
      <c r="K745" s="4" t="str">
        <f aca="false">IF(L745="no","end at tank",IF(H745&lt;0,"NEGATIVE",IF(H745&lt;p_min-0.005,"low","OK")))</f>
        <v>OK</v>
      </c>
      <c r="L745" s="4" t="s">
        <v>414</v>
      </c>
    </row>
    <row r="746" customFormat="false" ht="15" hidden="false" customHeight="false" outlineLevel="0" collapsed="false">
      <c r="A746" s="4" t="s">
        <v>42</v>
      </c>
      <c r="B746" s="4" t="s">
        <v>368</v>
      </c>
      <c r="C746" s="47" t="n">
        <v>16358.96</v>
      </c>
      <c r="D746" s="48" t="n">
        <v>1550.09</v>
      </c>
      <c r="E746" s="49" t="n">
        <f aca="false">D746-cover</f>
        <v>1548.89</v>
      </c>
      <c r="F746" s="50" t="n">
        <f aca="false">'Z5 Ikana-Nkangamo'!S12-'Z5 Ikana-Nkangamo'!P12*C746/'Z5 Ikana-Nkangamo'!G12</f>
        <v>1641.61070786085</v>
      </c>
      <c r="G746" s="51" t="n">
        <f aca="false">'Z5 Ikana-Nkangamo'!$B$8-E746</f>
        <v>119.11</v>
      </c>
      <c r="H746" s="52" t="n">
        <f aca="false">F746-E746</f>
        <v>92.7207078608483</v>
      </c>
      <c r="I746" s="52" t="n">
        <f aca="false">MAX(H746,G746)</f>
        <v>119.11</v>
      </c>
      <c r="J746" s="4" t="str">
        <f aca="false">IFERROR("PN"&amp;SMALL(PN_list,COUNTIF(PN_list,"&lt;"&amp;I746*bar_per_m)+1),"&gt; max PN")</f>
        <v>PN16</v>
      </c>
      <c r="K746" s="4" t="str">
        <f aca="false">IF(L746="no","end at tank",IF(H746&lt;0,"NEGATIVE",IF(H746&lt;p_min-0.005,"low","OK")))</f>
        <v>OK</v>
      </c>
      <c r="L746" s="4" t="s">
        <v>414</v>
      </c>
    </row>
    <row r="747" customFormat="false" ht="15" hidden="false" customHeight="false" outlineLevel="0" collapsed="false">
      <c r="A747" s="4" t="s">
        <v>42</v>
      </c>
      <c r="B747" s="4" t="s">
        <v>368</v>
      </c>
      <c r="C747" s="47" t="n">
        <v>16408.99</v>
      </c>
      <c r="D747" s="48" t="n">
        <v>1551.83</v>
      </c>
      <c r="E747" s="49" t="n">
        <f aca="false">D747-cover</f>
        <v>1550.63</v>
      </c>
      <c r="F747" s="50" t="n">
        <f aca="false">'Z5 Ikana-Nkangamo'!S12-'Z5 Ikana-Nkangamo'!P12*C747/'Z5 Ikana-Nkangamo'!G12</f>
        <v>1641.54437630397</v>
      </c>
      <c r="G747" s="51" t="n">
        <f aca="false">'Z5 Ikana-Nkangamo'!$B$8-E747</f>
        <v>117.37</v>
      </c>
      <c r="H747" s="52" t="n">
        <f aca="false">F747-E747</f>
        <v>90.9143763039692</v>
      </c>
      <c r="I747" s="52" t="n">
        <f aca="false">MAX(H747,G747)</f>
        <v>117.37</v>
      </c>
      <c r="J747" s="4" t="str">
        <f aca="false">IFERROR("PN"&amp;SMALL(PN_list,COUNTIF(PN_list,"&lt;"&amp;I747*bar_per_m)+1),"&gt; max PN")</f>
        <v>PN16</v>
      </c>
      <c r="K747" s="4" t="str">
        <f aca="false">IF(L747="no","end at tank",IF(H747&lt;0,"NEGATIVE",IF(H747&lt;p_min-0.005,"low","OK")))</f>
        <v>OK</v>
      </c>
      <c r="L747" s="4" t="s">
        <v>414</v>
      </c>
    </row>
    <row r="748" customFormat="false" ht="15" hidden="false" customHeight="false" outlineLevel="0" collapsed="false">
      <c r="A748" s="4" t="s">
        <v>42</v>
      </c>
      <c r="B748" s="4" t="s">
        <v>368</v>
      </c>
      <c r="C748" s="47" t="n">
        <v>16459.01</v>
      </c>
      <c r="D748" s="48" t="n">
        <v>1553.22</v>
      </c>
      <c r="E748" s="49" t="n">
        <f aca="false">D748-cover</f>
        <v>1552.02</v>
      </c>
      <c r="F748" s="50" t="n">
        <f aca="false">'Z5 Ikana-Nkangamo'!S12-'Z5 Ikana-Nkangamo'!P12*C748/'Z5 Ikana-Nkangamo'!G12</f>
        <v>1641.47805800545</v>
      </c>
      <c r="G748" s="51" t="n">
        <f aca="false">'Z5 Ikana-Nkangamo'!$B$8-E748</f>
        <v>115.98</v>
      </c>
      <c r="H748" s="52" t="n">
        <f aca="false">F748-E748</f>
        <v>89.4580580054465</v>
      </c>
      <c r="I748" s="52" t="n">
        <f aca="false">MAX(H748,G748)</f>
        <v>115.98</v>
      </c>
      <c r="J748" s="4" t="str">
        <f aca="false">IFERROR("PN"&amp;SMALL(PN_list,COUNTIF(PN_list,"&lt;"&amp;I748*bar_per_m)+1),"&gt; max PN")</f>
        <v>PN16</v>
      </c>
      <c r="K748" s="4" t="str">
        <f aca="false">IF(L748="no","end at tank",IF(H748&lt;0,"NEGATIVE",IF(H748&lt;p_min-0.005,"low","OK")))</f>
        <v>OK</v>
      </c>
      <c r="L748" s="4" t="s">
        <v>414</v>
      </c>
    </row>
    <row r="749" customFormat="false" ht="15" hidden="false" customHeight="false" outlineLevel="0" collapsed="false">
      <c r="A749" s="4" t="s">
        <v>42</v>
      </c>
      <c r="B749" s="4" t="s">
        <v>368</v>
      </c>
      <c r="C749" s="47" t="n">
        <v>16509.04</v>
      </c>
      <c r="D749" s="48" t="n">
        <v>1554.97</v>
      </c>
      <c r="E749" s="49" t="n">
        <f aca="false">D749-cover</f>
        <v>1553.77</v>
      </c>
      <c r="F749" s="50" t="n">
        <f aca="false">'Z5 Ikana-Nkangamo'!S12-'Z5 Ikana-Nkangamo'!P12*C749/'Z5 Ikana-Nkangamo'!G12</f>
        <v>1641.41172644857</v>
      </c>
      <c r="G749" s="51" t="n">
        <f aca="false">'Z5 Ikana-Nkangamo'!$B$8-E749</f>
        <v>114.23</v>
      </c>
      <c r="H749" s="52" t="n">
        <f aca="false">F749-E749</f>
        <v>87.6417264485674</v>
      </c>
      <c r="I749" s="52" t="n">
        <f aca="false">MAX(H749,G749)</f>
        <v>114.23</v>
      </c>
      <c r="J749" s="4" t="str">
        <f aca="false">IFERROR("PN"&amp;SMALL(PN_list,COUNTIF(PN_list,"&lt;"&amp;I749*bar_per_m)+1),"&gt; max PN")</f>
        <v>PN16</v>
      </c>
      <c r="K749" s="4" t="str">
        <f aca="false">IF(L749="no","end at tank",IF(H749&lt;0,"NEGATIVE",IF(H749&lt;p_min-0.005,"low","OK")))</f>
        <v>OK</v>
      </c>
      <c r="L749" s="4" t="s">
        <v>414</v>
      </c>
    </row>
    <row r="750" customFormat="false" ht="15" hidden="false" customHeight="false" outlineLevel="0" collapsed="false">
      <c r="A750" s="4" t="s">
        <v>42</v>
      </c>
      <c r="B750" s="4" t="s">
        <v>368</v>
      </c>
      <c r="C750" s="47" t="n">
        <v>16559.06</v>
      </c>
      <c r="D750" s="48" t="n">
        <v>1556.26</v>
      </c>
      <c r="E750" s="49" t="n">
        <f aca="false">D750-cover</f>
        <v>1555.06</v>
      </c>
      <c r="F750" s="50" t="n">
        <f aca="false">'Z5 Ikana-Nkangamo'!S12-'Z5 Ikana-Nkangamo'!P12*C750/'Z5 Ikana-Nkangamo'!G12</f>
        <v>1641.34540815004</v>
      </c>
      <c r="G750" s="51" t="n">
        <f aca="false">'Z5 Ikana-Nkangamo'!$B$8-E750</f>
        <v>112.94</v>
      </c>
      <c r="H750" s="52" t="n">
        <f aca="false">F750-E750</f>
        <v>86.2854081500448</v>
      </c>
      <c r="I750" s="52" t="n">
        <f aca="false">MAX(H750,G750)</f>
        <v>112.94</v>
      </c>
      <c r="J750" s="4" t="str">
        <f aca="false">IFERROR("PN"&amp;SMALL(PN_list,COUNTIF(PN_list,"&lt;"&amp;I750*bar_per_m)+1),"&gt; max PN")</f>
        <v>PN16</v>
      </c>
      <c r="K750" s="4" t="str">
        <f aca="false">IF(L750="no","end at tank",IF(H750&lt;0,"NEGATIVE",IF(H750&lt;p_min-0.005,"low","OK")))</f>
        <v>OK</v>
      </c>
      <c r="L750" s="4" t="s">
        <v>414</v>
      </c>
    </row>
    <row r="751" customFormat="false" ht="15" hidden="false" customHeight="false" outlineLevel="0" collapsed="false">
      <c r="A751" s="4" t="s">
        <v>42</v>
      </c>
      <c r="B751" s="4" t="s">
        <v>368</v>
      </c>
      <c r="C751" s="47" t="n">
        <v>16609.07</v>
      </c>
      <c r="D751" s="48" t="n">
        <v>1557.5</v>
      </c>
      <c r="E751" s="49" t="n">
        <f aca="false">D751-cover</f>
        <v>1556.3</v>
      </c>
      <c r="F751" s="50" t="n">
        <f aca="false">'Z5 Ikana-Nkangamo'!S12-'Z5 Ikana-Nkangamo'!P12*C751/'Z5 Ikana-Nkangamo'!G12</f>
        <v>1641.27910310988</v>
      </c>
      <c r="G751" s="51" t="n">
        <f aca="false">'Z5 Ikana-Nkangamo'!$B$8-E751</f>
        <v>111.7</v>
      </c>
      <c r="H751" s="52" t="n">
        <f aca="false">F751-E751</f>
        <v>84.9791031098785</v>
      </c>
      <c r="I751" s="52" t="n">
        <f aca="false">MAX(H751,G751)</f>
        <v>111.7</v>
      </c>
      <c r="J751" s="4" t="str">
        <f aca="false">IFERROR("PN"&amp;SMALL(PN_list,COUNTIF(PN_list,"&lt;"&amp;I751*bar_per_m)+1),"&gt; max PN")</f>
        <v>PN16</v>
      </c>
      <c r="K751" s="4" t="str">
        <f aca="false">IF(L751="no","end at tank",IF(H751&lt;0,"NEGATIVE",IF(H751&lt;p_min-0.005,"low","OK")))</f>
        <v>OK</v>
      </c>
      <c r="L751" s="4" t="s">
        <v>414</v>
      </c>
    </row>
    <row r="752" customFormat="false" ht="15" hidden="false" customHeight="false" outlineLevel="0" collapsed="false">
      <c r="A752" s="4" t="s">
        <v>42</v>
      </c>
      <c r="B752" s="4" t="s">
        <v>368</v>
      </c>
      <c r="C752" s="47" t="n">
        <v>16659.07</v>
      </c>
      <c r="D752" s="48" t="n">
        <v>1557.62</v>
      </c>
      <c r="E752" s="49" t="n">
        <f aca="false">D752-cover</f>
        <v>1556.42</v>
      </c>
      <c r="F752" s="50" t="n">
        <f aca="false">'Z5 Ikana-Nkangamo'!S12-'Z5 Ikana-Nkangamo'!P12*C752/'Z5 Ikana-Nkangamo'!G12</f>
        <v>1641.21281132807</v>
      </c>
      <c r="G752" s="51" t="n">
        <f aca="false">'Z5 Ikana-Nkangamo'!$B$8-E752</f>
        <v>111.58</v>
      </c>
      <c r="H752" s="52" t="n">
        <f aca="false">F752-E752</f>
        <v>84.7928113280686</v>
      </c>
      <c r="I752" s="52" t="n">
        <f aca="false">MAX(H752,G752)</f>
        <v>111.58</v>
      </c>
      <c r="J752" s="4" t="str">
        <f aca="false">IFERROR("PN"&amp;SMALL(PN_list,COUNTIF(PN_list,"&lt;"&amp;I752*bar_per_m)+1),"&gt; max PN")</f>
        <v>PN16</v>
      </c>
      <c r="K752" s="4" t="str">
        <f aca="false">IF(L752="no","end at tank",IF(H752&lt;0,"NEGATIVE",IF(H752&lt;p_min-0.005,"low","OK")))</f>
        <v>OK</v>
      </c>
      <c r="L752" s="4" t="s">
        <v>414</v>
      </c>
    </row>
    <row r="753" customFormat="false" ht="15" hidden="false" customHeight="false" outlineLevel="0" collapsed="false">
      <c r="A753" s="4" t="s">
        <v>42</v>
      </c>
      <c r="B753" s="4" t="s">
        <v>368</v>
      </c>
      <c r="C753" s="47" t="n">
        <v>16709.07</v>
      </c>
      <c r="D753" s="48" t="n">
        <v>1557.46</v>
      </c>
      <c r="E753" s="49" t="n">
        <f aca="false">D753-cover</f>
        <v>1556.26</v>
      </c>
      <c r="F753" s="50" t="n">
        <f aca="false">'Z5 Ikana-Nkangamo'!S12-'Z5 Ikana-Nkangamo'!P12*C753/'Z5 Ikana-Nkangamo'!G12</f>
        <v>1641.14651954626</v>
      </c>
      <c r="G753" s="51" t="n">
        <f aca="false">'Z5 Ikana-Nkangamo'!$B$8-E753</f>
        <v>111.74</v>
      </c>
      <c r="H753" s="52" t="n">
        <f aca="false">F753-E753</f>
        <v>84.8865195462586</v>
      </c>
      <c r="I753" s="52" t="n">
        <f aca="false">MAX(H753,G753)</f>
        <v>111.74</v>
      </c>
      <c r="J753" s="4" t="str">
        <f aca="false">IFERROR("PN"&amp;SMALL(PN_list,COUNTIF(PN_list,"&lt;"&amp;I753*bar_per_m)+1),"&gt; max PN")</f>
        <v>PN16</v>
      </c>
      <c r="K753" s="4" t="str">
        <f aca="false">IF(L753="no","end at tank",IF(H753&lt;0,"NEGATIVE",IF(H753&lt;p_min-0.005,"low","OK")))</f>
        <v>OK</v>
      </c>
      <c r="L753" s="4" t="s">
        <v>414</v>
      </c>
    </row>
    <row r="754" customFormat="false" ht="15" hidden="false" customHeight="false" outlineLevel="0" collapsed="false">
      <c r="A754" s="4" t="s">
        <v>42</v>
      </c>
      <c r="B754" s="4" t="s">
        <v>368</v>
      </c>
      <c r="C754" s="47" t="n">
        <v>16759.09</v>
      </c>
      <c r="D754" s="48" t="n">
        <v>1556.31</v>
      </c>
      <c r="E754" s="49" t="n">
        <f aca="false">D754-cover</f>
        <v>1555.11</v>
      </c>
      <c r="F754" s="50" t="n">
        <f aca="false">'Z5 Ikana-Nkangamo'!S12-'Z5 Ikana-Nkangamo'!P12*C754/'Z5 Ikana-Nkangamo'!G12</f>
        <v>1641.08020124774</v>
      </c>
      <c r="G754" s="51" t="n">
        <f aca="false">'Z5 Ikana-Nkangamo'!$B$8-E754</f>
        <v>112.89</v>
      </c>
      <c r="H754" s="52" t="n">
        <f aca="false">F754-E754</f>
        <v>85.970201247736</v>
      </c>
      <c r="I754" s="52" t="n">
        <f aca="false">MAX(H754,G754)</f>
        <v>112.89</v>
      </c>
      <c r="J754" s="4" t="str">
        <f aca="false">IFERROR("PN"&amp;SMALL(PN_list,COUNTIF(PN_list,"&lt;"&amp;I754*bar_per_m)+1),"&gt; max PN")</f>
        <v>PN16</v>
      </c>
      <c r="K754" s="4" t="str">
        <f aca="false">IF(L754="no","end at tank",IF(H754&lt;0,"NEGATIVE",IF(H754&lt;p_min-0.005,"low","OK")))</f>
        <v>OK</v>
      </c>
      <c r="L754" s="4" t="s">
        <v>414</v>
      </c>
    </row>
    <row r="755" customFormat="false" ht="15" hidden="false" customHeight="false" outlineLevel="0" collapsed="false">
      <c r="A755" s="4" t="s">
        <v>42</v>
      </c>
      <c r="B755" s="4" t="s">
        <v>368</v>
      </c>
      <c r="C755" s="47" t="n">
        <v>16809.07</v>
      </c>
      <c r="D755" s="48" t="n">
        <v>1555.58</v>
      </c>
      <c r="E755" s="49" t="n">
        <f aca="false">D755-cover</f>
        <v>1554.38</v>
      </c>
      <c r="F755" s="50" t="n">
        <f aca="false">'Z5 Ikana-Nkangamo'!S12-'Z5 Ikana-Nkangamo'!P12*C755/'Z5 Ikana-Nkangamo'!G12</f>
        <v>1641.01393598264</v>
      </c>
      <c r="G755" s="51" t="n">
        <f aca="false">'Z5 Ikana-Nkangamo'!$B$8-E755</f>
        <v>113.62</v>
      </c>
      <c r="H755" s="52" t="n">
        <f aca="false">F755-E755</f>
        <v>86.6339359826388</v>
      </c>
      <c r="I755" s="52" t="n">
        <f aca="false">MAX(H755,G755)</f>
        <v>113.62</v>
      </c>
      <c r="J755" s="4" t="str">
        <f aca="false">IFERROR("PN"&amp;SMALL(PN_list,COUNTIF(PN_list,"&lt;"&amp;I755*bar_per_m)+1),"&gt; max PN")</f>
        <v>PN16</v>
      </c>
      <c r="K755" s="4" t="str">
        <f aca="false">IF(L755="no","end at tank",IF(H755&lt;0,"NEGATIVE",IF(H755&lt;p_min-0.005,"low","OK")))</f>
        <v>OK</v>
      </c>
      <c r="L755" s="4" t="s">
        <v>414</v>
      </c>
    </row>
    <row r="756" customFormat="false" ht="15" hidden="false" customHeight="false" outlineLevel="0" collapsed="false">
      <c r="A756" s="4" t="s">
        <v>42</v>
      </c>
      <c r="B756" s="4" t="s">
        <v>368</v>
      </c>
      <c r="C756" s="47" t="n">
        <v>16859.08</v>
      </c>
      <c r="D756" s="48" t="n">
        <v>1554.69</v>
      </c>
      <c r="E756" s="49" t="n">
        <f aca="false">D756-cover</f>
        <v>1553.49</v>
      </c>
      <c r="F756" s="50" t="n">
        <f aca="false">'Z5 Ikana-Nkangamo'!S12-'Z5 Ikana-Nkangamo'!P12*C756/'Z5 Ikana-Nkangamo'!G12</f>
        <v>1640.94763094247</v>
      </c>
      <c r="G756" s="51" t="n">
        <f aca="false">'Z5 Ikana-Nkangamo'!$B$8-E756</f>
        <v>114.51</v>
      </c>
      <c r="H756" s="52" t="n">
        <f aca="false">F756-E756</f>
        <v>87.4576309424724</v>
      </c>
      <c r="I756" s="52" t="n">
        <f aca="false">MAX(H756,G756)</f>
        <v>114.51</v>
      </c>
      <c r="J756" s="4" t="str">
        <f aca="false">IFERROR("PN"&amp;SMALL(PN_list,COUNTIF(PN_list,"&lt;"&amp;I756*bar_per_m)+1),"&gt; max PN")</f>
        <v>PN16</v>
      </c>
      <c r="K756" s="4" t="str">
        <f aca="false">IF(L756="no","end at tank",IF(H756&lt;0,"NEGATIVE",IF(H756&lt;p_min-0.005,"low","OK")))</f>
        <v>OK</v>
      </c>
      <c r="L756" s="4" t="s">
        <v>414</v>
      </c>
    </row>
    <row r="757" customFormat="false" ht="15" hidden="false" customHeight="false" outlineLevel="0" collapsed="false">
      <c r="A757" s="4" t="s">
        <v>42</v>
      </c>
      <c r="B757" s="4" t="s">
        <v>368</v>
      </c>
      <c r="C757" s="47" t="n">
        <v>16909.1</v>
      </c>
      <c r="D757" s="48" t="n">
        <v>1553.18</v>
      </c>
      <c r="E757" s="49" t="n">
        <f aca="false">D757-cover</f>
        <v>1551.98</v>
      </c>
      <c r="F757" s="50" t="n">
        <f aca="false">'Z5 Ikana-Nkangamo'!S12-'Z5 Ikana-Nkangamo'!P12*C757/'Z5 Ikana-Nkangamo'!G12</f>
        <v>1640.88131264395</v>
      </c>
      <c r="G757" s="51" t="n">
        <f aca="false">'Z5 Ikana-Nkangamo'!$B$8-E757</f>
        <v>116.02</v>
      </c>
      <c r="H757" s="52" t="n">
        <f aca="false">F757-E757</f>
        <v>88.9013126439497</v>
      </c>
      <c r="I757" s="52" t="n">
        <f aca="false">MAX(H757,G757)</f>
        <v>116.02</v>
      </c>
      <c r="J757" s="4" t="str">
        <f aca="false">IFERROR("PN"&amp;SMALL(PN_list,COUNTIF(PN_list,"&lt;"&amp;I757*bar_per_m)+1),"&gt; max PN")</f>
        <v>PN16</v>
      </c>
      <c r="K757" s="4" t="str">
        <f aca="false">IF(L757="no","end at tank",IF(H757&lt;0,"NEGATIVE",IF(H757&lt;p_min-0.005,"low","OK")))</f>
        <v>OK</v>
      </c>
      <c r="L757" s="4" t="s">
        <v>414</v>
      </c>
    </row>
    <row r="758" customFormat="false" ht="15" hidden="false" customHeight="false" outlineLevel="0" collapsed="false">
      <c r="A758" s="4" t="s">
        <v>42</v>
      </c>
      <c r="B758" s="4" t="s">
        <v>368</v>
      </c>
      <c r="C758" s="47" t="n">
        <v>16959.1</v>
      </c>
      <c r="D758" s="48" t="n">
        <v>1553.02</v>
      </c>
      <c r="E758" s="49" t="n">
        <f aca="false">D758-cover</f>
        <v>1551.82</v>
      </c>
      <c r="F758" s="50" t="n">
        <f aca="false">'Z5 Ikana-Nkangamo'!S12-'Z5 Ikana-Nkangamo'!P12*C758/'Z5 Ikana-Nkangamo'!G12</f>
        <v>1640.81502086214</v>
      </c>
      <c r="G758" s="51" t="n">
        <f aca="false">'Z5 Ikana-Nkangamo'!$B$8-E758</f>
        <v>116.18</v>
      </c>
      <c r="H758" s="52" t="n">
        <f aca="false">F758-E758</f>
        <v>88.9950208621399</v>
      </c>
      <c r="I758" s="52" t="n">
        <f aca="false">MAX(H758,G758)</f>
        <v>116.18</v>
      </c>
      <c r="J758" s="4" t="str">
        <f aca="false">IFERROR("PN"&amp;SMALL(PN_list,COUNTIF(PN_list,"&lt;"&amp;I758*bar_per_m)+1),"&gt; max PN")</f>
        <v>PN16</v>
      </c>
      <c r="K758" s="4" t="str">
        <f aca="false">IF(L758="no","end at tank",IF(H758&lt;0,"NEGATIVE",IF(H758&lt;p_min-0.005,"low","OK")))</f>
        <v>OK</v>
      </c>
      <c r="L758" s="4" t="s">
        <v>414</v>
      </c>
    </row>
    <row r="759" customFormat="false" ht="15" hidden="false" customHeight="false" outlineLevel="0" collapsed="false">
      <c r="A759" s="4" t="s">
        <v>42</v>
      </c>
      <c r="B759" s="4" t="s">
        <v>368</v>
      </c>
      <c r="C759" s="47" t="n">
        <v>17009.1</v>
      </c>
      <c r="D759" s="48" t="n">
        <v>1552.82</v>
      </c>
      <c r="E759" s="49" t="n">
        <f aca="false">D759-cover</f>
        <v>1551.62</v>
      </c>
      <c r="F759" s="50" t="n">
        <f aca="false">'Z5 Ikana-Nkangamo'!S12-'Z5 Ikana-Nkangamo'!P12*C759/'Z5 Ikana-Nkangamo'!G12</f>
        <v>1640.74872908033</v>
      </c>
      <c r="G759" s="51" t="n">
        <f aca="false">'Z5 Ikana-Nkangamo'!$B$8-E759</f>
        <v>116.38</v>
      </c>
      <c r="H759" s="52" t="n">
        <f aca="false">F759-E759</f>
        <v>89.12872908033</v>
      </c>
      <c r="I759" s="52" t="n">
        <f aca="false">MAX(H759,G759)</f>
        <v>116.38</v>
      </c>
      <c r="J759" s="4" t="str">
        <f aca="false">IFERROR("PN"&amp;SMALL(PN_list,COUNTIF(PN_list,"&lt;"&amp;I759*bar_per_m)+1),"&gt; max PN")</f>
        <v>PN16</v>
      </c>
      <c r="K759" s="4" t="str">
        <f aca="false">IF(L759="no","end at tank",IF(H759&lt;0,"NEGATIVE",IF(H759&lt;p_min-0.005,"low","OK")))</f>
        <v>OK</v>
      </c>
      <c r="L759" s="4" t="s">
        <v>414</v>
      </c>
    </row>
    <row r="760" customFormat="false" ht="15" hidden="false" customHeight="false" outlineLevel="0" collapsed="false">
      <c r="A760" s="4" t="s">
        <v>42</v>
      </c>
      <c r="B760" s="4" t="s">
        <v>368</v>
      </c>
      <c r="C760" s="47" t="n">
        <v>17059.1</v>
      </c>
      <c r="D760" s="48" t="n">
        <v>1552.72</v>
      </c>
      <c r="E760" s="49" t="n">
        <f aca="false">D760-cover</f>
        <v>1551.52</v>
      </c>
      <c r="F760" s="50" t="n">
        <f aca="false">'Z5 Ikana-Nkangamo'!S12-'Z5 Ikana-Nkangamo'!P12*C760/'Z5 Ikana-Nkangamo'!G12</f>
        <v>1640.68243729852</v>
      </c>
      <c r="G760" s="51" t="n">
        <f aca="false">'Z5 Ikana-Nkangamo'!$B$8-E760</f>
        <v>116.48</v>
      </c>
      <c r="H760" s="52" t="n">
        <f aca="false">F760-E760</f>
        <v>89.16243729852</v>
      </c>
      <c r="I760" s="52" t="n">
        <f aca="false">MAX(H760,G760)</f>
        <v>116.48</v>
      </c>
      <c r="J760" s="4" t="str">
        <f aca="false">IFERROR("PN"&amp;SMALL(PN_list,COUNTIF(PN_list,"&lt;"&amp;I760*bar_per_m)+1),"&gt; max PN")</f>
        <v>PN16</v>
      </c>
      <c r="K760" s="4" t="str">
        <f aca="false">IF(L760="no","end at tank",IF(H760&lt;0,"NEGATIVE",IF(H760&lt;p_min-0.005,"low","OK")))</f>
        <v>OK</v>
      </c>
      <c r="L760" s="4" t="s">
        <v>414</v>
      </c>
    </row>
    <row r="761" customFormat="false" ht="15" hidden="false" customHeight="false" outlineLevel="0" collapsed="false">
      <c r="A761" s="4" t="s">
        <v>42</v>
      </c>
      <c r="B761" s="4" t="s">
        <v>368</v>
      </c>
      <c r="C761" s="47" t="n">
        <v>17109.1</v>
      </c>
      <c r="D761" s="48" t="n">
        <v>1552.64</v>
      </c>
      <c r="E761" s="49" t="n">
        <f aca="false">D761-cover</f>
        <v>1551.44</v>
      </c>
      <c r="F761" s="50" t="n">
        <f aca="false">'Z5 Ikana-Nkangamo'!S12-'Z5 Ikana-Nkangamo'!P12*C761/'Z5 Ikana-Nkangamo'!G12</f>
        <v>1640.61614551671</v>
      </c>
      <c r="G761" s="51" t="n">
        <f aca="false">'Z5 Ikana-Nkangamo'!$B$8-E761</f>
        <v>116.56</v>
      </c>
      <c r="H761" s="52" t="n">
        <f aca="false">F761-E761</f>
        <v>89.1761455167098</v>
      </c>
      <c r="I761" s="52" t="n">
        <f aca="false">MAX(H761,G761)</f>
        <v>116.56</v>
      </c>
      <c r="J761" s="4" t="str">
        <f aca="false">IFERROR("PN"&amp;SMALL(PN_list,COUNTIF(PN_list,"&lt;"&amp;I761*bar_per_m)+1),"&gt; max PN")</f>
        <v>PN16</v>
      </c>
      <c r="K761" s="4" t="str">
        <f aca="false">IF(L761="no","end at tank",IF(H761&lt;0,"NEGATIVE",IF(H761&lt;p_min-0.005,"low","OK")))</f>
        <v>OK</v>
      </c>
      <c r="L761" s="4" t="s">
        <v>414</v>
      </c>
    </row>
    <row r="762" customFormat="false" ht="15" hidden="false" customHeight="false" outlineLevel="0" collapsed="false">
      <c r="A762" s="4" t="s">
        <v>42</v>
      </c>
      <c r="B762" s="4" t="s">
        <v>368</v>
      </c>
      <c r="C762" s="47" t="n">
        <v>17159.1</v>
      </c>
      <c r="D762" s="48" t="n">
        <v>1552.68</v>
      </c>
      <c r="E762" s="49" t="n">
        <f aca="false">D762-cover</f>
        <v>1551.48</v>
      </c>
      <c r="F762" s="50" t="n">
        <f aca="false">'Z5 Ikana-Nkangamo'!S12-'Z5 Ikana-Nkangamo'!P12*C762/'Z5 Ikana-Nkangamo'!G12</f>
        <v>1640.5498537349</v>
      </c>
      <c r="G762" s="51" t="n">
        <f aca="false">'Z5 Ikana-Nkangamo'!$B$8-E762</f>
        <v>116.52</v>
      </c>
      <c r="H762" s="52" t="n">
        <f aca="false">F762-E762</f>
        <v>89.0698537348999</v>
      </c>
      <c r="I762" s="52" t="n">
        <f aca="false">MAX(H762,G762)</f>
        <v>116.52</v>
      </c>
      <c r="J762" s="4" t="str">
        <f aca="false">IFERROR("PN"&amp;SMALL(PN_list,COUNTIF(PN_list,"&lt;"&amp;I762*bar_per_m)+1),"&gt; max PN")</f>
        <v>PN16</v>
      </c>
      <c r="K762" s="4" t="str">
        <f aca="false">IF(L762="no","end at tank",IF(H762&lt;0,"NEGATIVE",IF(H762&lt;p_min-0.005,"low","OK")))</f>
        <v>OK</v>
      </c>
      <c r="L762" s="4" t="s">
        <v>414</v>
      </c>
    </row>
    <row r="763" customFormat="false" ht="15" hidden="false" customHeight="false" outlineLevel="0" collapsed="false">
      <c r="A763" s="4" t="s">
        <v>42</v>
      </c>
      <c r="B763" s="4" t="s">
        <v>368</v>
      </c>
      <c r="C763" s="47" t="n">
        <v>17209.1</v>
      </c>
      <c r="D763" s="48" t="n">
        <v>1552.71</v>
      </c>
      <c r="E763" s="49" t="n">
        <f aca="false">D763-cover</f>
        <v>1551.51</v>
      </c>
      <c r="F763" s="50" t="n">
        <f aca="false">'Z5 Ikana-Nkangamo'!S12-'Z5 Ikana-Nkangamo'!P12*C763/'Z5 Ikana-Nkangamo'!G12</f>
        <v>1640.48356195309</v>
      </c>
      <c r="G763" s="51" t="n">
        <f aca="false">'Z5 Ikana-Nkangamo'!$B$8-E763</f>
        <v>116.49</v>
      </c>
      <c r="H763" s="52" t="n">
        <f aca="false">F763-E763</f>
        <v>88.97356195309</v>
      </c>
      <c r="I763" s="52" t="n">
        <f aca="false">MAX(H763,G763)</f>
        <v>116.49</v>
      </c>
      <c r="J763" s="4" t="str">
        <f aca="false">IFERROR("PN"&amp;SMALL(PN_list,COUNTIF(PN_list,"&lt;"&amp;I763*bar_per_m)+1),"&gt; max PN")</f>
        <v>PN16</v>
      </c>
      <c r="K763" s="4" t="str">
        <f aca="false">IF(L763="no","end at tank",IF(H763&lt;0,"NEGATIVE",IF(H763&lt;p_min-0.005,"low","OK")))</f>
        <v>OK</v>
      </c>
      <c r="L763" s="4" t="s">
        <v>414</v>
      </c>
    </row>
    <row r="764" customFormat="false" ht="15" hidden="false" customHeight="false" outlineLevel="0" collapsed="false">
      <c r="A764" s="4" t="s">
        <v>42</v>
      </c>
      <c r="B764" s="4" t="s">
        <v>368</v>
      </c>
      <c r="C764" s="47" t="n">
        <v>17259.12</v>
      </c>
      <c r="D764" s="48" t="n">
        <v>1554.1</v>
      </c>
      <c r="E764" s="49" t="n">
        <f aca="false">D764-cover</f>
        <v>1552.9</v>
      </c>
      <c r="F764" s="50" t="n">
        <f aca="false">'Z5 Ikana-Nkangamo'!S12-'Z5 Ikana-Nkangamo'!P12*C764/'Z5 Ikana-Nkangamo'!G12</f>
        <v>1640.41724365457</v>
      </c>
      <c r="G764" s="51" t="n">
        <f aca="false">'Z5 Ikana-Nkangamo'!$B$8-E764</f>
        <v>115.1</v>
      </c>
      <c r="H764" s="52" t="n">
        <f aca="false">F764-E764</f>
        <v>87.5172436545674</v>
      </c>
      <c r="I764" s="52" t="n">
        <f aca="false">MAX(H764,G764)</f>
        <v>115.1</v>
      </c>
      <c r="J764" s="4" t="str">
        <f aca="false">IFERROR("PN"&amp;SMALL(PN_list,COUNTIF(PN_list,"&lt;"&amp;I764*bar_per_m)+1),"&gt; max PN")</f>
        <v>PN16</v>
      </c>
      <c r="K764" s="4" t="str">
        <f aca="false">IF(L764="no","end at tank",IF(H764&lt;0,"NEGATIVE",IF(H764&lt;p_min-0.005,"low","OK")))</f>
        <v>OK</v>
      </c>
      <c r="L764" s="4" t="s">
        <v>414</v>
      </c>
    </row>
    <row r="765" customFormat="false" ht="15" hidden="false" customHeight="false" outlineLevel="0" collapsed="false">
      <c r="A765" s="4" t="s">
        <v>42</v>
      </c>
      <c r="B765" s="4" t="s">
        <v>368</v>
      </c>
      <c r="C765" s="47" t="n">
        <v>17309.13</v>
      </c>
      <c r="D765" s="48" t="n">
        <v>1554.85</v>
      </c>
      <c r="E765" s="49" t="n">
        <f aca="false">D765-cover</f>
        <v>1553.65</v>
      </c>
      <c r="F765" s="50" t="n">
        <f aca="false">'Z5 Ikana-Nkangamo'!S12-'Z5 Ikana-Nkangamo'!P12*C765/'Z5 Ikana-Nkangamo'!G12</f>
        <v>1640.3509386144</v>
      </c>
      <c r="G765" s="51" t="n">
        <f aca="false">'Z5 Ikana-Nkangamo'!$B$8-E765</f>
        <v>114.35</v>
      </c>
      <c r="H765" s="52" t="n">
        <f aca="false">F765-E765</f>
        <v>86.7009386144011</v>
      </c>
      <c r="I765" s="52" t="n">
        <f aca="false">MAX(H765,G765)</f>
        <v>114.35</v>
      </c>
      <c r="J765" s="4" t="str">
        <f aca="false">IFERROR("PN"&amp;SMALL(PN_list,COUNTIF(PN_list,"&lt;"&amp;I765*bar_per_m)+1),"&gt; max PN")</f>
        <v>PN16</v>
      </c>
      <c r="K765" s="4" t="str">
        <f aca="false">IF(L765="no","end at tank",IF(H765&lt;0,"NEGATIVE",IF(H765&lt;p_min-0.005,"low","OK")))</f>
        <v>OK</v>
      </c>
      <c r="L765" s="4" t="s">
        <v>414</v>
      </c>
    </row>
    <row r="766" customFormat="false" ht="15" hidden="false" customHeight="false" outlineLevel="0" collapsed="false">
      <c r="A766" s="4" t="s">
        <v>42</v>
      </c>
      <c r="B766" s="4" t="s">
        <v>368</v>
      </c>
      <c r="C766" s="47" t="n">
        <v>17359.13</v>
      </c>
      <c r="D766" s="48" t="n">
        <v>1555.38</v>
      </c>
      <c r="E766" s="49" t="n">
        <f aca="false">D766-cover</f>
        <v>1554.18</v>
      </c>
      <c r="F766" s="50" t="n">
        <f aca="false">'Z5 Ikana-Nkangamo'!S12-'Z5 Ikana-Nkangamo'!P12*C766/'Z5 Ikana-Nkangamo'!G12</f>
        <v>1640.28464683259</v>
      </c>
      <c r="G766" s="51" t="n">
        <f aca="false">'Z5 Ikana-Nkangamo'!$B$8-E766</f>
        <v>113.82</v>
      </c>
      <c r="H766" s="52" t="n">
        <f aca="false">F766-E766</f>
        <v>86.104646832591</v>
      </c>
      <c r="I766" s="52" t="n">
        <f aca="false">MAX(H766,G766)</f>
        <v>113.82</v>
      </c>
      <c r="J766" s="4" t="str">
        <f aca="false">IFERROR("PN"&amp;SMALL(PN_list,COUNTIF(PN_list,"&lt;"&amp;I766*bar_per_m)+1),"&gt; max PN")</f>
        <v>PN16</v>
      </c>
      <c r="K766" s="4" t="str">
        <f aca="false">IF(L766="no","end at tank",IF(H766&lt;0,"NEGATIVE",IF(H766&lt;p_min-0.005,"low","OK")))</f>
        <v>OK</v>
      </c>
      <c r="L766" s="4" t="s">
        <v>414</v>
      </c>
    </row>
    <row r="767" customFormat="false" ht="15" hidden="false" customHeight="false" outlineLevel="0" collapsed="false">
      <c r="A767" s="4" t="s">
        <v>42</v>
      </c>
      <c r="B767" s="4" t="s">
        <v>368</v>
      </c>
      <c r="C767" s="47" t="n">
        <v>17409.14</v>
      </c>
      <c r="D767" s="48" t="n">
        <v>1556.56</v>
      </c>
      <c r="E767" s="49" t="n">
        <f aca="false">D767-cover</f>
        <v>1555.36</v>
      </c>
      <c r="F767" s="50" t="n">
        <f aca="false">'Z5 Ikana-Nkangamo'!S12-'Z5 Ikana-Nkangamo'!P12*C767/'Z5 Ikana-Nkangamo'!G12</f>
        <v>1640.21834179242</v>
      </c>
      <c r="G767" s="51" t="n">
        <f aca="false">'Z5 Ikana-Nkangamo'!$B$8-E767</f>
        <v>112.64</v>
      </c>
      <c r="H767" s="52" t="n">
        <f aca="false">F767-E767</f>
        <v>84.8583417924249</v>
      </c>
      <c r="I767" s="52" t="n">
        <f aca="false">MAX(H767,G767)</f>
        <v>112.64</v>
      </c>
      <c r="J767" s="4" t="str">
        <f aca="false">IFERROR("PN"&amp;SMALL(PN_list,COUNTIF(PN_list,"&lt;"&amp;I767*bar_per_m)+1),"&gt; max PN")</f>
        <v>PN16</v>
      </c>
      <c r="K767" s="4" t="str">
        <f aca="false">IF(L767="no","end at tank",IF(H767&lt;0,"NEGATIVE",IF(H767&lt;p_min-0.005,"low","OK")))</f>
        <v>OK</v>
      </c>
      <c r="L767" s="4" t="s">
        <v>414</v>
      </c>
    </row>
    <row r="768" customFormat="false" ht="15" hidden="false" customHeight="false" outlineLevel="0" collapsed="false">
      <c r="A768" s="4" t="s">
        <v>42</v>
      </c>
      <c r="B768" s="4" t="s">
        <v>368</v>
      </c>
      <c r="C768" s="47" t="n">
        <v>17459.14</v>
      </c>
      <c r="D768" s="48" t="n">
        <v>1556.56</v>
      </c>
      <c r="E768" s="49" t="n">
        <f aca="false">D768-cover</f>
        <v>1555.36</v>
      </c>
      <c r="F768" s="50" t="n">
        <f aca="false">'Z5 Ikana-Nkangamo'!S12-'Z5 Ikana-Nkangamo'!P12*C768/'Z5 Ikana-Nkangamo'!G12</f>
        <v>1640.15205001061</v>
      </c>
      <c r="G768" s="51" t="n">
        <f aca="false">'Z5 Ikana-Nkangamo'!$B$8-E768</f>
        <v>112.64</v>
      </c>
      <c r="H768" s="52" t="n">
        <f aca="false">F768-E768</f>
        <v>84.792050010615</v>
      </c>
      <c r="I768" s="52" t="n">
        <f aca="false">MAX(H768,G768)</f>
        <v>112.64</v>
      </c>
      <c r="J768" s="4" t="str">
        <f aca="false">IFERROR("PN"&amp;SMALL(PN_list,COUNTIF(PN_list,"&lt;"&amp;I768*bar_per_m)+1),"&gt; max PN")</f>
        <v>PN16</v>
      </c>
      <c r="K768" s="4" t="str">
        <f aca="false">IF(L768="no","end at tank",IF(H768&lt;0,"NEGATIVE",IF(H768&lt;p_min-0.005,"low","OK")))</f>
        <v>OK</v>
      </c>
      <c r="L768" s="4" t="s">
        <v>414</v>
      </c>
    </row>
    <row r="769" customFormat="false" ht="15" hidden="false" customHeight="false" outlineLevel="0" collapsed="false">
      <c r="A769" s="4" t="s">
        <v>42</v>
      </c>
      <c r="B769" s="4" t="s">
        <v>368</v>
      </c>
      <c r="C769" s="47" t="n">
        <v>17509.15</v>
      </c>
      <c r="D769" s="48" t="n">
        <v>1557.08</v>
      </c>
      <c r="E769" s="49" t="n">
        <f aca="false">D769-cover</f>
        <v>1555.88</v>
      </c>
      <c r="F769" s="50" t="n">
        <f aca="false">'Z5 Ikana-Nkangamo'!S12-'Z5 Ikana-Nkangamo'!P12*C769/'Z5 Ikana-Nkangamo'!G12</f>
        <v>1640.08574497045</v>
      </c>
      <c r="G769" s="51" t="n">
        <f aca="false">'Z5 Ikana-Nkangamo'!$B$8-E769</f>
        <v>112.12</v>
      </c>
      <c r="H769" s="52" t="n">
        <f aca="false">F769-E769</f>
        <v>84.2057449704487</v>
      </c>
      <c r="I769" s="52" t="n">
        <f aca="false">MAX(H769,G769)</f>
        <v>112.12</v>
      </c>
      <c r="J769" s="4" t="str">
        <f aca="false">IFERROR("PN"&amp;SMALL(PN_list,COUNTIF(PN_list,"&lt;"&amp;I769*bar_per_m)+1),"&gt; max PN")</f>
        <v>PN16</v>
      </c>
      <c r="K769" s="4" t="str">
        <f aca="false">IF(L769="no","end at tank",IF(H769&lt;0,"NEGATIVE",IF(H769&lt;p_min-0.005,"low","OK")))</f>
        <v>OK</v>
      </c>
      <c r="L769" s="4" t="s">
        <v>414</v>
      </c>
    </row>
    <row r="770" customFormat="false" ht="15" hidden="false" customHeight="false" outlineLevel="0" collapsed="false">
      <c r="A770" s="4" t="s">
        <v>42</v>
      </c>
      <c r="B770" s="4" t="s">
        <v>368</v>
      </c>
      <c r="C770" s="47" t="n">
        <v>17559.15</v>
      </c>
      <c r="D770" s="48" t="n">
        <v>1557.54</v>
      </c>
      <c r="E770" s="49" t="n">
        <f aca="false">D770-cover</f>
        <v>1556.34</v>
      </c>
      <c r="F770" s="50" t="n">
        <f aca="false">'Z5 Ikana-Nkangamo'!S12-'Z5 Ikana-Nkangamo'!P12*C770/'Z5 Ikana-Nkangamo'!G12</f>
        <v>1640.01945318864</v>
      </c>
      <c r="G770" s="51" t="n">
        <f aca="false">'Z5 Ikana-Nkangamo'!$B$8-E770</f>
        <v>111.66</v>
      </c>
      <c r="H770" s="52" t="n">
        <f aca="false">F770-E770</f>
        <v>83.6794531886387</v>
      </c>
      <c r="I770" s="52" t="n">
        <f aca="false">MAX(H770,G770)</f>
        <v>111.66</v>
      </c>
      <c r="J770" s="4" t="str">
        <f aca="false">IFERROR("PN"&amp;SMALL(PN_list,COUNTIF(PN_list,"&lt;"&amp;I770*bar_per_m)+1),"&gt; max PN")</f>
        <v>PN16</v>
      </c>
      <c r="K770" s="4" t="str">
        <f aca="false">IF(L770="no","end at tank",IF(H770&lt;0,"NEGATIVE",IF(H770&lt;p_min-0.005,"low","OK")))</f>
        <v>OK</v>
      </c>
      <c r="L770" s="4" t="s">
        <v>414</v>
      </c>
    </row>
    <row r="771" customFormat="false" ht="15" hidden="false" customHeight="false" outlineLevel="0" collapsed="false">
      <c r="A771" s="4" t="s">
        <v>42</v>
      </c>
      <c r="B771" s="4" t="s">
        <v>368</v>
      </c>
      <c r="C771" s="47" t="n">
        <v>17609.15</v>
      </c>
      <c r="D771" s="48" t="n">
        <v>1558.01</v>
      </c>
      <c r="E771" s="49" t="n">
        <f aca="false">D771-cover</f>
        <v>1556.81</v>
      </c>
      <c r="F771" s="50" t="n">
        <f aca="false">'Z5 Ikana-Nkangamo'!S12-'Z5 Ikana-Nkangamo'!P12*C771/'Z5 Ikana-Nkangamo'!G12</f>
        <v>1639.95316140683</v>
      </c>
      <c r="G771" s="51" t="n">
        <f aca="false">'Z5 Ikana-Nkangamo'!$B$8-E771</f>
        <v>111.19</v>
      </c>
      <c r="H771" s="52" t="n">
        <f aca="false">F771-E771</f>
        <v>83.1431614068288</v>
      </c>
      <c r="I771" s="52" t="n">
        <f aca="false">MAX(H771,G771)</f>
        <v>111.19</v>
      </c>
      <c r="J771" s="4" t="str">
        <f aca="false">IFERROR("PN"&amp;SMALL(PN_list,COUNTIF(PN_list,"&lt;"&amp;I771*bar_per_m)+1),"&gt; max PN")</f>
        <v>PN16</v>
      </c>
      <c r="K771" s="4" t="str">
        <f aca="false">IF(L771="no","end at tank",IF(H771&lt;0,"NEGATIVE",IF(H771&lt;p_min-0.005,"low","OK")))</f>
        <v>OK</v>
      </c>
      <c r="L771" s="4" t="s">
        <v>414</v>
      </c>
    </row>
    <row r="772" customFormat="false" ht="15" hidden="false" customHeight="false" outlineLevel="0" collapsed="false">
      <c r="A772" s="4" t="s">
        <v>42</v>
      </c>
      <c r="B772" s="4" t="s">
        <v>368</v>
      </c>
      <c r="C772" s="47" t="n">
        <v>17659.15</v>
      </c>
      <c r="D772" s="48" t="n">
        <v>1558.23</v>
      </c>
      <c r="E772" s="49" t="n">
        <f aca="false">D772-cover</f>
        <v>1557.03</v>
      </c>
      <c r="F772" s="50" t="n">
        <f aca="false">'Z5 Ikana-Nkangamo'!S12-'Z5 Ikana-Nkangamo'!P12*C772/'Z5 Ikana-Nkangamo'!G12</f>
        <v>1639.88686962502</v>
      </c>
      <c r="G772" s="51" t="n">
        <f aca="false">'Z5 Ikana-Nkangamo'!$B$8-E772</f>
        <v>110.97</v>
      </c>
      <c r="H772" s="52" t="n">
        <f aca="false">F772-E772</f>
        <v>82.8568696250188</v>
      </c>
      <c r="I772" s="52" t="n">
        <f aca="false">MAX(H772,G772)</f>
        <v>110.97</v>
      </c>
      <c r="J772" s="4" t="str">
        <f aca="false">IFERROR("PN"&amp;SMALL(PN_list,COUNTIF(PN_list,"&lt;"&amp;I772*bar_per_m)+1),"&gt; max PN")</f>
        <v>PN16</v>
      </c>
      <c r="K772" s="4" t="str">
        <f aca="false">IF(L772="no","end at tank",IF(H772&lt;0,"NEGATIVE",IF(H772&lt;p_min-0.005,"low","OK")))</f>
        <v>OK</v>
      </c>
      <c r="L772" s="4" t="s">
        <v>414</v>
      </c>
    </row>
    <row r="773" customFormat="false" ht="15" hidden="false" customHeight="false" outlineLevel="0" collapsed="false">
      <c r="A773" s="4" t="s">
        <v>42</v>
      </c>
      <c r="B773" s="4" t="s">
        <v>368</v>
      </c>
      <c r="C773" s="47" t="n">
        <v>17709.15</v>
      </c>
      <c r="D773" s="48" t="n">
        <v>1558.01</v>
      </c>
      <c r="E773" s="49" t="n">
        <f aca="false">D773-cover</f>
        <v>1556.81</v>
      </c>
      <c r="F773" s="50" t="n">
        <f aca="false">'Z5 Ikana-Nkangamo'!S12-'Z5 Ikana-Nkangamo'!P12*C773/'Z5 Ikana-Nkangamo'!G12</f>
        <v>1639.82057784321</v>
      </c>
      <c r="G773" s="51" t="n">
        <f aca="false">'Z5 Ikana-Nkangamo'!$B$8-E773</f>
        <v>111.19</v>
      </c>
      <c r="H773" s="52" t="n">
        <f aca="false">F773-E773</f>
        <v>83.0105778432089</v>
      </c>
      <c r="I773" s="52" t="n">
        <f aca="false">MAX(H773,G773)</f>
        <v>111.19</v>
      </c>
      <c r="J773" s="4" t="str">
        <f aca="false">IFERROR("PN"&amp;SMALL(PN_list,COUNTIF(PN_list,"&lt;"&amp;I773*bar_per_m)+1),"&gt; max PN")</f>
        <v>PN16</v>
      </c>
      <c r="K773" s="4" t="str">
        <f aca="false">IF(L773="no","end at tank",IF(H773&lt;0,"NEGATIVE",IF(H773&lt;p_min-0.005,"low","OK")))</f>
        <v>OK</v>
      </c>
      <c r="L773" s="4" t="s">
        <v>414</v>
      </c>
    </row>
    <row r="774" customFormat="false" ht="15" hidden="false" customHeight="false" outlineLevel="0" collapsed="false">
      <c r="A774" s="4" t="s">
        <v>42</v>
      </c>
      <c r="B774" s="4" t="s">
        <v>368</v>
      </c>
      <c r="C774" s="47" t="n">
        <v>17759.16</v>
      </c>
      <c r="D774" s="48" t="n">
        <v>1557.42</v>
      </c>
      <c r="E774" s="49" t="n">
        <f aca="false">D774-cover</f>
        <v>1556.22</v>
      </c>
      <c r="F774" s="50" t="n">
        <f aca="false">'Z5 Ikana-Nkangamo'!S12-'Z5 Ikana-Nkangamo'!P12*C774/'Z5 Ikana-Nkangamo'!G12</f>
        <v>1639.75427280304</v>
      </c>
      <c r="G774" s="51" t="n">
        <f aca="false">'Z5 Ikana-Nkangamo'!$B$8-E774</f>
        <v>111.78</v>
      </c>
      <c r="H774" s="52" t="n">
        <f aca="false">F774-E774</f>
        <v>83.5342728030425</v>
      </c>
      <c r="I774" s="52" t="n">
        <f aca="false">MAX(H774,G774)</f>
        <v>111.78</v>
      </c>
      <c r="J774" s="4" t="str">
        <f aca="false">IFERROR("PN"&amp;SMALL(PN_list,COUNTIF(PN_list,"&lt;"&amp;I774*bar_per_m)+1),"&gt; max PN")</f>
        <v>PN16</v>
      </c>
      <c r="K774" s="4" t="str">
        <f aca="false">IF(L774="no","end at tank",IF(H774&lt;0,"NEGATIVE",IF(H774&lt;p_min-0.005,"low","OK")))</f>
        <v>OK</v>
      </c>
      <c r="L774" s="4" t="s">
        <v>414</v>
      </c>
    </row>
    <row r="775" customFormat="false" ht="15" hidden="false" customHeight="false" outlineLevel="0" collapsed="false">
      <c r="A775" s="4" t="s">
        <v>42</v>
      </c>
      <c r="B775" s="4" t="s">
        <v>368</v>
      </c>
      <c r="C775" s="47" t="n">
        <v>17809.16</v>
      </c>
      <c r="D775" s="48" t="n">
        <v>1556.96</v>
      </c>
      <c r="E775" s="49" t="n">
        <f aca="false">D775-cover</f>
        <v>1555.76</v>
      </c>
      <c r="F775" s="50" t="n">
        <f aca="false">'Z5 Ikana-Nkangamo'!S12-'Z5 Ikana-Nkangamo'!P12*C775/'Z5 Ikana-Nkangamo'!G12</f>
        <v>1639.68798102123</v>
      </c>
      <c r="G775" s="51" t="n">
        <f aca="false">'Z5 Ikana-Nkangamo'!$B$8-E775</f>
        <v>112.24</v>
      </c>
      <c r="H775" s="52" t="n">
        <f aca="false">F775-E775</f>
        <v>83.9279810212327</v>
      </c>
      <c r="I775" s="52" t="n">
        <f aca="false">MAX(H775,G775)</f>
        <v>112.24</v>
      </c>
      <c r="J775" s="4" t="str">
        <f aca="false">IFERROR("PN"&amp;SMALL(PN_list,COUNTIF(PN_list,"&lt;"&amp;I775*bar_per_m)+1),"&gt; max PN")</f>
        <v>PN16</v>
      </c>
      <c r="K775" s="4" t="str">
        <f aca="false">IF(L775="no","end at tank",IF(H775&lt;0,"NEGATIVE",IF(H775&lt;p_min-0.005,"low","OK")))</f>
        <v>OK</v>
      </c>
      <c r="L775" s="4" t="s">
        <v>414</v>
      </c>
    </row>
    <row r="776" customFormat="false" ht="15" hidden="false" customHeight="false" outlineLevel="0" collapsed="false">
      <c r="A776" s="4" t="s">
        <v>42</v>
      </c>
      <c r="B776" s="4" t="s">
        <v>368</v>
      </c>
      <c r="C776" s="47" t="n">
        <v>17859.16</v>
      </c>
      <c r="D776" s="48" t="n">
        <v>1556.66</v>
      </c>
      <c r="E776" s="49" t="n">
        <f aca="false">D776-cover</f>
        <v>1555.46</v>
      </c>
      <c r="F776" s="50" t="n">
        <f aca="false">'Z5 Ikana-Nkangamo'!S12-'Z5 Ikana-Nkangamo'!P12*C776/'Z5 Ikana-Nkangamo'!G12</f>
        <v>1639.62168923942</v>
      </c>
      <c r="G776" s="51" t="n">
        <f aca="false">'Z5 Ikana-Nkangamo'!$B$8-E776</f>
        <v>112.54</v>
      </c>
      <c r="H776" s="52" t="n">
        <f aca="false">F776-E776</f>
        <v>84.1616892394225</v>
      </c>
      <c r="I776" s="52" t="n">
        <f aca="false">MAX(H776,G776)</f>
        <v>112.54</v>
      </c>
      <c r="J776" s="4" t="str">
        <f aca="false">IFERROR("PN"&amp;SMALL(PN_list,COUNTIF(PN_list,"&lt;"&amp;I776*bar_per_m)+1),"&gt; max PN")</f>
        <v>PN16</v>
      </c>
      <c r="K776" s="4" t="str">
        <f aca="false">IF(L776="no","end at tank",IF(H776&lt;0,"NEGATIVE",IF(H776&lt;p_min-0.005,"low","OK")))</f>
        <v>OK</v>
      </c>
      <c r="L776" s="4" t="s">
        <v>414</v>
      </c>
    </row>
    <row r="777" customFormat="false" ht="15" hidden="false" customHeight="false" outlineLevel="0" collapsed="false">
      <c r="A777" s="4" t="s">
        <v>42</v>
      </c>
      <c r="B777" s="4" t="s">
        <v>368</v>
      </c>
      <c r="C777" s="47" t="n">
        <v>17909.16</v>
      </c>
      <c r="D777" s="48" t="n">
        <v>1556.64</v>
      </c>
      <c r="E777" s="49" t="n">
        <f aca="false">D777-cover</f>
        <v>1555.44</v>
      </c>
      <c r="F777" s="50" t="n">
        <f aca="false">'Z5 Ikana-Nkangamo'!S12-'Z5 Ikana-Nkangamo'!P12*C777/'Z5 Ikana-Nkangamo'!G12</f>
        <v>1639.55539745761</v>
      </c>
      <c r="G777" s="51" t="n">
        <f aca="false">'Z5 Ikana-Nkangamo'!$B$8-E777</f>
        <v>112.56</v>
      </c>
      <c r="H777" s="52" t="n">
        <f aca="false">F777-E777</f>
        <v>84.1153974576125</v>
      </c>
      <c r="I777" s="52" t="n">
        <f aca="false">MAX(H777,G777)</f>
        <v>112.56</v>
      </c>
      <c r="J777" s="4" t="str">
        <f aca="false">IFERROR("PN"&amp;SMALL(PN_list,COUNTIF(PN_list,"&lt;"&amp;I777*bar_per_m)+1),"&gt; max PN")</f>
        <v>PN16</v>
      </c>
      <c r="K777" s="4" t="str">
        <f aca="false">IF(L777="no","end at tank",IF(H777&lt;0,"NEGATIVE",IF(H777&lt;p_min-0.005,"low","OK")))</f>
        <v>OK</v>
      </c>
      <c r="L777" s="4" t="s">
        <v>414</v>
      </c>
    </row>
    <row r="778" customFormat="false" ht="15" hidden="false" customHeight="false" outlineLevel="0" collapsed="false">
      <c r="A778" s="4" t="s">
        <v>42</v>
      </c>
      <c r="B778" s="4" t="s">
        <v>368</v>
      </c>
      <c r="C778" s="47" t="n">
        <v>17959.19</v>
      </c>
      <c r="D778" s="48" t="n">
        <v>1554.8</v>
      </c>
      <c r="E778" s="49" t="n">
        <f aca="false">D778-cover</f>
        <v>1553.6</v>
      </c>
      <c r="F778" s="50" t="n">
        <f aca="false">'Z5 Ikana-Nkangamo'!S12-'Z5 Ikana-Nkangamo'!P12*C778/'Z5 Ikana-Nkangamo'!G12</f>
        <v>1639.48906590073</v>
      </c>
      <c r="G778" s="51" t="n">
        <f aca="false">'Z5 Ikana-Nkangamo'!$B$8-E778</f>
        <v>114.4</v>
      </c>
      <c r="H778" s="52" t="n">
        <f aca="false">F778-E778</f>
        <v>85.8890659007336</v>
      </c>
      <c r="I778" s="52" t="n">
        <f aca="false">MAX(H778,G778)</f>
        <v>114.4</v>
      </c>
      <c r="J778" s="4" t="str">
        <f aca="false">IFERROR("PN"&amp;SMALL(PN_list,COUNTIF(PN_list,"&lt;"&amp;I778*bar_per_m)+1),"&gt; max PN")</f>
        <v>PN16</v>
      </c>
      <c r="K778" s="4" t="str">
        <f aca="false">IF(L778="no","end at tank",IF(H778&lt;0,"NEGATIVE",IF(H778&lt;p_min-0.005,"low","OK")))</f>
        <v>OK</v>
      </c>
      <c r="L778" s="4" t="s">
        <v>414</v>
      </c>
    </row>
    <row r="779" customFormat="false" ht="15" hidden="false" customHeight="false" outlineLevel="0" collapsed="false">
      <c r="A779" s="4" t="s">
        <v>42</v>
      </c>
      <c r="B779" s="4" t="s">
        <v>368</v>
      </c>
      <c r="C779" s="47" t="n">
        <v>18009.19</v>
      </c>
      <c r="D779" s="48" t="n">
        <v>1554.54</v>
      </c>
      <c r="E779" s="49" t="n">
        <f aca="false">D779-cover</f>
        <v>1553.34</v>
      </c>
      <c r="F779" s="50" t="n">
        <f aca="false">'Z5 Ikana-Nkangamo'!S12-'Z5 Ikana-Nkangamo'!P12*C779/'Z5 Ikana-Nkangamo'!G12</f>
        <v>1639.42277411892</v>
      </c>
      <c r="G779" s="51" t="n">
        <f aca="false">'Z5 Ikana-Nkangamo'!$B$8-E779</f>
        <v>114.66</v>
      </c>
      <c r="H779" s="52" t="n">
        <f aca="false">F779-E779</f>
        <v>86.0827741189237</v>
      </c>
      <c r="I779" s="52" t="n">
        <f aca="false">MAX(H779,G779)</f>
        <v>114.66</v>
      </c>
      <c r="J779" s="4" t="str">
        <f aca="false">IFERROR("PN"&amp;SMALL(PN_list,COUNTIF(PN_list,"&lt;"&amp;I779*bar_per_m)+1),"&gt; max PN")</f>
        <v>PN16</v>
      </c>
      <c r="K779" s="4" t="str">
        <f aca="false">IF(L779="no","end at tank",IF(H779&lt;0,"NEGATIVE",IF(H779&lt;p_min-0.005,"low","OK")))</f>
        <v>OK</v>
      </c>
      <c r="L779" s="4" t="s">
        <v>414</v>
      </c>
    </row>
    <row r="780" customFormat="false" ht="15" hidden="false" customHeight="false" outlineLevel="0" collapsed="false">
      <c r="A780" s="4" t="s">
        <v>42</v>
      </c>
      <c r="B780" s="4" t="s">
        <v>368</v>
      </c>
      <c r="C780" s="47" t="n">
        <v>18059.2</v>
      </c>
      <c r="D780" s="48" t="n">
        <v>1554.04</v>
      </c>
      <c r="E780" s="49" t="n">
        <f aca="false">D780-cover</f>
        <v>1552.84</v>
      </c>
      <c r="F780" s="50" t="n">
        <f aca="false">'Z5 Ikana-Nkangamo'!S12-'Z5 Ikana-Nkangamo'!P12*C780/'Z5 Ikana-Nkangamo'!G12</f>
        <v>1639.35646907876</v>
      </c>
      <c r="G780" s="51" t="n">
        <f aca="false">'Z5 Ikana-Nkangamo'!$B$8-E780</f>
        <v>115.16</v>
      </c>
      <c r="H780" s="52" t="n">
        <f aca="false">F780-E780</f>
        <v>86.5164690787574</v>
      </c>
      <c r="I780" s="52" t="n">
        <f aca="false">MAX(H780,G780)</f>
        <v>115.16</v>
      </c>
      <c r="J780" s="4" t="str">
        <f aca="false">IFERROR("PN"&amp;SMALL(PN_list,COUNTIF(PN_list,"&lt;"&amp;I780*bar_per_m)+1),"&gt; max PN")</f>
        <v>PN16</v>
      </c>
      <c r="K780" s="4" t="str">
        <f aca="false">IF(L780="no","end at tank",IF(H780&lt;0,"NEGATIVE",IF(H780&lt;p_min-0.005,"low","OK")))</f>
        <v>OK</v>
      </c>
      <c r="L780" s="4" t="s">
        <v>414</v>
      </c>
    </row>
    <row r="781" customFormat="false" ht="15" hidden="false" customHeight="false" outlineLevel="0" collapsed="false">
      <c r="A781" s="4" t="s">
        <v>42</v>
      </c>
      <c r="B781" s="4" t="s">
        <v>368</v>
      </c>
      <c r="C781" s="47" t="n">
        <v>18109.23</v>
      </c>
      <c r="D781" s="48" t="n">
        <v>1552.27</v>
      </c>
      <c r="E781" s="49" t="n">
        <f aca="false">D781-cover</f>
        <v>1551.07</v>
      </c>
      <c r="F781" s="50" t="n">
        <f aca="false">'Z5 Ikana-Nkangamo'!S12-'Z5 Ikana-Nkangamo'!P12*C781/'Z5 Ikana-Nkangamo'!G12</f>
        <v>1639.29013752188</v>
      </c>
      <c r="G781" s="51" t="n">
        <f aca="false">'Z5 Ikana-Nkangamo'!$B$8-E781</f>
        <v>116.93</v>
      </c>
      <c r="H781" s="52" t="n">
        <f aca="false">F781-E781</f>
        <v>88.2201375218783</v>
      </c>
      <c r="I781" s="52" t="n">
        <f aca="false">MAX(H781,G781)</f>
        <v>116.93</v>
      </c>
      <c r="J781" s="4" t="str">
        <f aca="false">IFERROR("PN"&amp;SMALL(PN_list,COUNTIF(PN_list,"&lt;"&amp;I781*bar_per_m)+1),"&gt; max PN")</f>
        <v>PN16</v>
      </c>
      <c r="K781" s="4" t="str">
        <f aca="false">IF(L781="no","end at tank",IF(H781&lt;0,"NEGATIVE",IF(H781&lt;p_min-0.005,"low","OK")))</f>
        <v>OK</v>
      </c>
      <c r="L781" s="4" t="s">
        <v>414</v>
      </c>
    </row>
    <row r="782" customFormat="false" ht="15" hidden="false" customHeight="false" outlineLevel="0" collapsed="false">
      <c r="A782" s="4" t="s">
        <v>42</v>
      </c>
      <c r="B782" s="4" t="s">
        <v>368</v>
      </c>
      <c r="C782" s="47" t="n">
        <v>18159.24</v>
      </c>
      <c r="D782" s="48" t="n">
        <v>1553.3</v>
      </c>
      <c r="E782" s="49" t="n">
        <f aca="false">D782-cover</f>
        <v>1552.1</v>
      </c>
      <c r="F782" s="50" t="n">
        <f aca="false">'Z5 Ikana-Nkangamo'!S12-'Z5 Ikana-Nkangamo'!P12*C782/'Z5 Ikana-Nkangamo'!G12</f>
        <v>1639.22383248171</v>
      </c>
      <c r="G782" s="51" t="n">
        <f aca="false">'Z5 Ikana-Nkangamo'!$B$8-E782</f>
        <v>115.9</v>
      </c>
      <c r="H782" s="52" t="n">
        <f aca="false">F782-E782</f>
        <v>87.123832481712</v>
      </c>
      <c r="I782" s="52" t="n">
        <f aca="false">MAX(H782,G782)</f>
        <v>115.9</v>
      </c>
      <c r="J782" s="4" t="str">
        <f aca="false">IFERROR("PN"&amp;SMALL(PN_list,COUNTIF(PN_list,"&lt;"&amp;I782*bar_per_m)+1),"&gt; max PN")</f>
        <v>PN16</v>
      </c>
      <c r="K782" s="4" t="str">
        <f aca="false">IF(L782="no","end at tank",IF(H782&lt;0,"NEGATIVE",IF(H782&lt;p_min-0.005,"low","OK")))</f>
        <v>OK</v>
      </c>
      <c r="L782" s="4" t="s">
        <v>414</v>
      </c>
    </row>
    <row r="783" customFormat="false" ht="15" hidden="false" customHeight="false" outlineLevel="0" collapsed="false">
      <c r="A783" s="4" t="s">
        <v>42</v>
      </c>
      <c r="B783" s="4" t="s">
        <v>368</v>
      </c>
      <c r="C783" s="47" t="n">
        <v>18209.4</v>
      </c>
      <c r="D783" s="48" t="n">
        <v>1549.3</v>
      </c>
      <c r="E783" s="49" t="n">
        <f aca="false">D783-cover</f>
        <v>1548.1</v>
      </c>
      <c r="F783" s="50" t="n">
        <f aca="false">'Z5 Ikana-Nkangamo'!S12-'Z5 Ikana-Nkangamo'!P12*C783/'Z5 Ikana-Nkangamo'!G12</f>
        <v>1639.1573285662</v>
      </c>
      <c r="G783" s="51" t="n">
        <f aca="false">'Z5 Ikana-Nkangamo'!$B$8-E783</f>
        <v>119.9</v>
      </c>
      <c r="H783" s="52" t="n">
        <f aca="false">F783-E783</f>
        <v>91.0573285662003</v>
      </c>
      <c r="I783" s="52" t="n">
        <f aca="false">MAX(H783,G783)</f>
        <v>119.9</v>
      </c>
      <c r="J783" s="4" t="str">
        <f aca="false">IFERROR("PN"&amp;SMALL(PN_list,COUNTIF(PN_list,"&lt;"&amp;I783*bar_per_m)+1),"&gt; max PN")</f>
        <v>PN16</v>
      </c>
      <c r="K783" s="4" t="str">
        <f aca="false">IF(L783="no","end at tank",IF(H783&lt;0,"NEGATIVE",IF(H783&lt;p_min-0.005,"low","OK")))</f>
        <v>OK</v>
      </c>
      <c r="L783" s="4" t="s">
        <v>414</v>
      </c>
    </row>
    <row r="784" customFormat="false" ht="15" hidden="false" customHeight="false" outlineLevel="0" collapsed="false">
      <c r="A784" s="4" t="s">
        <v>42</v>
      </c>
      <c r="B784" s="4" t="s">
        <v>368</v>
      </c>
      <c r="C784" s="47" t="n">
        <v>18259.4</v>
      </c>
      <c r="D784" s="48" t="n">
        <v>1549.47</v>
      </c>
      <c r="E784" s="49" t="n">
        <f aca="false">D784-cover</f>
        <v>1548.27</v>
      </c>
      <c r="F784" s="50" t="n">
        <f aca="false">'Z5 Ikana-Nkangamo'!S12-'Z5 Ikana-Nkangamo'!P12*C784/'Z5 Ikana-Nkangamo'!G12</f>
        <v>1639.09103678439</v>
      </c>
      <c r="G784" s="51" t="n">
        <f aca="false">'Z5 Ikana-Nkangamo'!$B$8-E784</f>
        <v>119.73</v>
      </c>
      <c r="H784" s="52" t="n">
        <f aca="false">F784-E784</f>
        <v>90.8210367843903</v>
      </c>
      <c r="I784" s="52" t="n">
        <f aca="false">MAX(H784,G784)</f>
        <v>119.73</v>
      </c>
      <c r="J784" s="4" t="str">
        <f aca="false">IFERROR("PN"&amp;SMALL(PN_list,COUNTIF(PN_list,"&lt;"&amp;I784*bar_per_m)+1),"&gt; max PN")</f>
        <v>PN16</v>
      </c>
      <c r="K784" s="4" t="str">
        <f aca="false">IF(L784="no","end at tank",IF(H784&lt;0,"NEGATIVE",IF(H784&lt;p_min-0.005,"low","OK")))</f>
        <v>OK</v>
      </c>
      <c r="L784" s="4" t="s">
        <v>414</v>
      </c>
    </row>
    <row r="785" customFormat="false" ht="15" hidden="false" customHeight="false" outlineLevel="0" collapsed="false">
      <c r="A785" s="4" t="s">
        <v>42</v>
      </c>
      <c r="B785" s="4" t="s">
        <v>368</v>
      </c>
      <c r="C785" s="47" t="n">
        <v>18309.4</v>
      </c>
      <c r="D785" s="48" t="n">
        <v>1549.49</v>
      </c>
      <c r="E785" s="49" t="n">
        <f aca="false">D785-cover</f>
        <v>1548.29</v>
      </c>
      <c r="F785" s="50" t="n">
        <f aca="false">'Z5 Ikana-Nkangamo'!S12-'Z5 Ikana-Nkangamo'!P12*C785/'Z5 Ikana-Nkangamo'!G12</f>
        <v>1639.02474500258</v>
      </c>
      <c r="G785" s="51" t="n">
        <f aca="false">'Z5 Ikana-Nkangamo'!$B$8-E785</f>
        <v>119.71</v>
      </c>
      <c r="H785" s="52" t="n">
        <f aca="false">F785-E785</f>
        <v>90.7347450025804</v>
      </c>
      <c r="I785" s="52" t="n">
        <f aca="false">MAX(H785,G785)</f>
        <v>119.71</v>
      </c>
      <c r="J785" s="4" t="str">
        <f aca="false">IFERROR("PN"&amp;SMALL(PN_list,COUNTIF(PN_list,"&lt;"&amp;I785*bar_per_m)+1),"&gt; max PN")</f>
        <v>PN16</v>
      </c>
      <c r="K785" s="4" t="str">
        <f aca="false">IF(L785="no","end at tank",IF(H785&lt;0,"NEGATIVE",IF(H785&lt;p_min-0.005,"low","OK")))</f>
        <v>OK</v>
      </c>
      <c r="L785" s="4" t="s">
        <v>414</v>
      </c>
    </row>
    <row r="786" customFormat="false" ht="15" hidden="false" customHeight="false" outlineLevel="0" collapsed="false">
      <c r="A786" s="4" t="s">
        <v>42</v>
      </c>
      <c r="B786" s="4" t="s">
        <v>368</v>
      </c>
      <c r="C786" s="47" t="n">
        <v>18359.4</v>
      </c>
      <c r="D786" s="48" t="n">
        <v>1549.23</v>
      </c>
      <c r="E786" s="49" t="n">
        <f aca="false">D786-cover</f>
        <v>1548.03</v>
      </c>
      <c r="F786" s="50" t="n">
        <f aca="false">'Z5 Ikana-Nkangamo'!S12-'Z5 Ikana-Nkangamo'!P12*C786/'Z5 Ikana-Nkangamo'!G12</f>
        <v>1638.95845322077</v>
      </c>
      <c r="G786" s="51" t="n">
        <f aca="false">'Z5 Ikana-Nkangamo'!$B$8-E786</f>
        <v>119.97</v>
      </c>
      <c r="H786" s="52" t="n">
        <f aca="false">F786-E786</f>
        <v>90.9284532207705</v>
      </c>
      <c r="I786" s="52" t="n">
        <f aca="false">MAX(H786,G786)</f>
        <v>119.97</v>
      </c>
      <c r="J786" s="4" t="str">
        <f aca="false">IFERROR("PN"&amp;SMALL(PN_list,COUNTIF(PN_list,"&lt;"&amp;I786*bar_per_m)+1),"&gt; max PN")</f>
        <v>PN16</v>
      </c>
      <c r="K786" s="4" t="str">
        <f aca="false">IF(L786="no","end at tank",IF(H786&lt;0,"NEGATIVE",IF(H786&lt;p_min-0.005,"low","OK")))</f>
        <v>OK</v>
      </c>
      <c r="L786" s="4" t="s">
        <v>414</v>
      </c>
    </row>
    <row r="787" customFormat="false" ht="15" hidden="false" customHeight="false" outlineLevel="0" collapsed="false">
      <c r="A787" s="4" t="s">
        <v>42</v>
      </c>
      <c r="B787" s="4" t="s">
        <v>368</v>
      </c>
      <c r="C787" s="47" t="n">
        <v>18409.4</v>
      </c>
      <c r="D787" s="48" t="n">
        <v>1549.92</v>
      </c>
      <c r="E787" s="49" t="n">
        <f aca="false">D787-cover</f>
        <v>1548.72</v>
      </c>
      <c r="F787" s="50" t="n">
        <f aca="false">'Z5 Ikana-Nkangamo'!S12-'Z5 Ikana-Nkangamo'!P12*C787/'Z5 Ikana-Nkangamo'!G12</f>
        <v>1638.89216143896</v>
      </c>
      <c r="G787" s="51" t="n">
        <f aca="false">'Z5 Ikana-Nkangamo'!$B$8-E787</f>
        <v>119.28</v>
      </c>
      <c r="H787" s="52" t="n">
        <f aca="false">F787-E787</f>
        <v>90.1721614389605</v>
      </c>
      <c r="I787" s="52" t="n">
        <f aca="false">MAX(H787,G787)</f>
        <v>119.28</v>
      </c>
      <c r="J787" s="4" t="str">
        <f aca="false">IFERROR("PN"&amp;SMALL(PN_list,COUNTIF(PN_list,"&lt;"&amp;I787*bar_per_m)+1),"&gt; max PN")</f>
        <v>PN16</v>
      </c>
      <c r="K787" s="4" t="str">
        <f aca="false">IF(L787="no","end at tank",IF(H787&lt;0,"NEGATIVE",IF(H787&lt;p_min-0.005,"low","OK")))</f>
        <v>OK</v>
      </c>
      <c r="L787" s="4" t="s">
        <v>414</v>
      </c>
    </row>
    <row r="788" customFormat="false" ht="15" hidden="false" customHeight="false" outlineLevel="0" collapsed="false">
      <c r="A788" s="4" t="s">
        <v>42</v>
      </c>
      <c r="B788" s="4" t="s">
        <v>368</v>
      </c>
      <c r="C788" s="47" t="n">
        <v>18459.43</v>
      </c>
      <c r="D788" s="48" t="n">
        <v>1551.45</v>
      </c>
      <c r="E788" s="49" t="n">
        <f aca="false">D788-cover</f>
        <v>1550.25</v>
      </c>
      <c r="F788" s="50" t="n">
        <f aca="false">'Z5 Ikana-Nkangamo'!S12-'Z5 Ikana-Nkangamo'!P12*C788/'Z5 Ikana-Nkangamo'!G12</f>
        <v>1638.82582988208</v>
      </c>
      <c r="G788" s="51" t="n">
        <f aca="false">'Z5 Ikana-Nkangamo'!$B$8-E788</f>
        <v>117.75</v>
      </c>
      <c r="H788" s="52" t="n">
        <f aca="false">F788-E788</f>
        <v>88.5758298820815</v>
      </c>
      <c r="I788" s="52" t="n">
        <f aca="false">MAX(H788,G788)</f>
        <v>117.75</v>
      </c>
      <c r="J788" s="4" t="str">
        <f aca="false">IFERROR("PN"&amp;SMALL(PN_list,COUNTIF(PN_list,"&lt;"&amp;I788*bar_per_m)+1),"&gt; max PN")</f>
        <v>PN16</v>
      </c>
      <c r="K788" s="4" t="str">
        <f aca="false">IF(L788="no","end at tank",IF(H788&lt;0,"NEGATIVE",IF(H788&lt;p_min-0.005,"low","OK")))</f>
        <v>OK</v>
      </c>
      <c r="L788" s="4" t="s">
        <v>414</v>
      </c>
    </row>
    <row r="789" customFormat="false" ht="15" hidden="false" customHeight="false" outlineLevel="0" collapsed="false">
      <c r="A789" s="4" t="s">
        <v>42</v>
      </c>
      <c r="B789" s="4" t="s">
        <v>368</v>
      </c>
      <c r="C789" s="47" t="n">
        <v>18509.53</v>
      </c>
      <c r="D789" s="48" t="n">
        <v>1554.68</v>
      </c>
      <c r="E789" s="49" t="n">
        <f aca="false">D789-cover</f>
        <v>1553.48</v>
      </c>
      <c r="F789" s="50" t="n">
        <f aca="false">'Z5 Ikana-Nkangamo'!S12-'Z5 Ikana-Nkangamo'!P12*C789/'Z5 Ikana-Nkangamo'!G12</f>
        <v>1638.75940551671</v>
      </c>
      <c r="G789" s="51" t="n">
        <f aca="false">'Z5 Ikana-Nkangamo'!$B$8-E789</f>
        <v>114.52</v>
      </c>
      <c r="H789" s="52" t="n">
        <f aca="false">F789-E789</f>
        <v>85.2794055167078</v>
      </c>
      <c r="I789" s="52" t="n">
        <f aca="false">MAX(H789,G789)</f>
        <v>114.52</v>
      </c>
      <c r="J789" s="4" t="str">
        <f aca="false">IFERROR("PN"&amp;SMALL(PN_list,COUNTIF(PN_list,"&lt;"&amp;I789*bar_per_m)+1),"&gt; max PN")</f>
        <v>PN16</v>
      </c>
      <c r="K789" s="4" t="str">
        <f aca="false">IF(L789="no","end at tank",IF(H789&lt;0,"NEGATIVE",IF(H789&lt;p_min-0.005,"low","OK")))</f>
        <v>OK</v>
      </c>
      <c r="L789" s="4" t="s">
        <v>414</v>
      </c>
    </row>
    <row r="790" customFormat="false" ht="15" hidden="false" customHeight="false" outlineLevel="0" collapsed="false">
      <c r="A790" s="4" t="s">
        <v>42</v>
      </c>
      <c r="B790" s="4" t="s">
        <v>368</v>
      </c>
      <c r="C790" s="47" t="n">
        <v>18559.53</v>
      </c>
      <c r="D790" s="48" t="n">
        <v>1555.31</v>
      </c>
      <c r="E790" s="49" t="n">
        <f aca="false">D790-cover</f>
        <v>1554.11</v>
      </c>
      <c r="F790" s="50" t="n">
        <f aca="false">'Z5 Ikana-Nkangamo'!S12-'Z5 Ikana-Nkangamo'!P12*C790/'Z5 Ikana-Nkangamo'!G12</f>
        <v>1638.6931137349</v>
      </c>
      <c r="G790" s="51" t="n">
        <f aca="false">'Z5 Ikana-Nkangamo'!$B$8-E790</f>
        <v>113.89</v>
      </c>
      <c r="H790" s="52" t="n">
        <f aca="false">F790-E790</f>
        <v>84.583113734898</v>
      </c>
      <c r="I790" s="52" t="n">
        <f aca="false">MAX(H790,G790)</f>
        <v>113.89</v>
      </c>
      <c r="J790" s="4" t="str">
        <f aca="false">IFERROR("PN"&amp;SMALL(PN_list,COUNTIF(PN_list,"&lt;"&amp;I790*bar_per_m)+1),"&gt; max PN")</f>
        <v>PN16</v>
      </c>
      <c r="K790" s="4" t="str">
        <f aca="false">IF(L790="no","end at tank",IF(H790&lt;0,"NEGATIVE",IF(H790&lt;p_min-0.005,"low","OK")))</f>
        <v>OK</v>
      </c>
      <c r="L790" s="4" t="s">
        <v>414</v>
      </c>
    </row>
    <row r="791" customFormat="false" ht="15" hidden="false" customHeight="false" outlineLevel="0" collapsed="false">
      <c r="A791" s="4" t="s">
        <v>42</v>
      </c>
      <c r="B791" s="4" t="s">
        <v>368</v>
      </c>
      <c r="C791" s="47" t="n">
        <v>18608.66</v>
      </c>
      <c r="D791" s="48" t="n">
        <v>1556.12</v>
      </c>
      <c r="E791" s="49" t="n">
        <f aca="false">D791-cover</f>
        <v>1554.92</v>
      </c>
      <c r="F791" s="50" t="n">
        <f aca="false">'Z5 Ikana-Nkangamo'!S12-'Z5 Ikana-Nkangamo'!P12*C791/'Z5 Ikana-Nkangamo'!G12</f>
        <v>1638.62797543009</v>
      </c>
      <c r="G791" s="51" t="n">
        <f aca="false">'Z5 Ikana-Nkangamo'!$B$8-E791</f>
        <v>113.08</v>
      </c>
      <c r="H791" s="52" t="n">
        <f aca="false">F791-E791</f>
        <v>83.7079754300917</v>
      </c>
      <c r="I791" s="52" t="n">
        <f aca="false">MAX(H791,G791)</f>
        <v>113.08</v>
      </c>
      <c r="J791" s="4" t="str">
        <f aca="false">IFERROR("PN"&amp;SMALL(PN_list,COUNTIF(PN_list,"&lt;"&amp;I791*bar_per_m)+1),"&gt; max PN")</f>
        <v>PN16</v>
      </c>
      <c r="K791" s="4" t="str">
        <f aca="false">IF(L791="no","end at tank",IF(H791&lt;0,"NEGATIVE",IF(H791&lt;p_min-0.005,"low","OK")))</f>
        <v>OK</v>
      </c>
      <c r="L791" s="4" t="s">
        <v>414</v>
      </c>
    </row>
    <row r="792" customFormat="false" ht="15" hidden="false" customHeight="false" outlineLevel="0" collapsed="false">
      <c r="A792" s="4" t="s">
        <v>42</v>
      </c>
      <c r="B792" s="4" t="s">
        <v>368</v>
      </c>
      <c r="C792" s="47" t="n">
        <v>18658.69</v>
      </c>
      <c r="D792" s="48" t="n">
        <v>1557.85</v>
      </c>
      <c r="E792" s="49" t="n">
        <f aca="false">D792-cover</f>
        <v>1556.65</v>
      </c>
      <c r="F792" s="50" t="n">
        <f aca="false">'Z5 Ikana-Nkangamo'!S12-'Z5 Ikana-Nkangamo'!P12*C792/'Z5 Ikana-Nkangamo'!G12</f>
        <v>1638.56164387321</v>
      </c>
      <c r="G792" s="51" t="n">
        <f aca="false">'Z5 Ikana-Nkangamo'!$B$8-E792</f>
        <v>111.35</v>
      </c>
      <c r="H792" s="52" t="n">
        <f aca="false">F792-E792</f>
        <v>81.9116438732126</v>
      </c>
      <c r="I792" s="52" t="n">
        <f aca="false">MAX(H792,G792)</f>
        <v>111.35</v>
      </c>
      <c r="J792" s="4" t="str">
        <f aca="false">IFERROR("PN"&amp;SMALL(PN_list,COUNTIF(PN_list,"&lt;"&amp;I792*bar_per_m)+1),"&gt; max PN")</f>
        <v>PN16</v>
      </c>
      <c r="K792" s="4" t="str">
        <f aca="false">IF(L792="no","end at tank",IF(H792&lt;0,"NEGATIVE",IF(H792&lt;p_min-0.005,"low","OK")))</f>
        <v>OK</v>
      </c>
      <c r="L792" s="4" t="s">
        <v>414</v>
      </c>
    </row>
    <row r="793" customFormat="false" ht="15" hidden="false" customHeight="false" outlineLevel="0" collapsed="false">
      <c r="A793" s="4" t="s">
        <v>42</v>
      </c>
      <c r="B793" s="4" t="s">
        <v>368</v>
      </c>
      <c r="C793" s="47" t="n">
        <v>18708.7</v>
      </c>
      <c r="D793" s="48" t="n">
        <v>1558.72</v>
      </c>
      <c r="E793" s="49" t="n">
        <f aca="false">D793-cover</f>
        <v>1557.52</v>
      </c>
      <c r="F793" s="50" t="n">
        <f aca="false">'Z5 Ikana-Nkangamo'!S12-'Z5 Ikana-Nkangamo'!P12*C793/'Z5 Ikana-Nkangamo'!G12</f>
        <v>1638.49533883305</v>
      </c>
      <c r="G793" s="51" t="n">
        <f aca="false">'Z5 Ikana-Nkangamo'!$B$8-E793</f>
        <v>110.48</v>
      </c>
      <c r="H793" s="52" t="n">
        <f aca="false">F793-E793</f>
        <v>80.9753388330462</v>
      </c>
      <c r="I793" s="52" t="n">
        <f aca="false">MAX(H793,G793)</f>
        <v>110.48</v>
      </c>
      <c r="J793" s="4" t="str">
        <f aca="false">IFERROR("PN"&amp;SMALL(PN_list,COUNTIF(PN_list,"&lt;"&amp;I793*bar_per_m)+1),"&gt; max PN")</f>
        <v>PN16</v>
      </c>
      <c r="K793" s="4" t="str">
        <f aca="false">IF(L793="no","end at tank",IF(H793&lt;0,"NEGATIVE",IF(H793&lt;p_min-0.005,"low","OK")))</f>
        <v>OK</v>
      </c>
      <c r="L793" s="4" t="s">
        <v>414</v>
      </c>
    </row>
    <row r="794" customFormat="false" ht="15" hidden="false" customHeight="false" outlineLevel="0" collapsed="false">
      <c r="A794" s="4" t="s">
        <v>42</v>
      </c>
      <c r="B794" s="4" t="s">
        <v>368</v>
      </c>
      <c r="C794" s="47" t="n">
        <v>18758.71</v>
      </c>
      <c r="D794" s="48" t="n">
        <v>1559.56</v>
      </c>
      <c r="E794" s="49" t="n">
        <f aca="false">D794-cover</f>
        <v>1558.36</v>
      </c>
      <c r="F794" s="50" t="n">
        <f aca="false">'Z5 Ikana-Nkangamo'!S12-'Z5 Ikana-Nkangamo'!P12*C794/'Z5 Ikana-Nkangamo'!G12</f>
        <v>1638.42903379288</v>
      </c>
      <c r="G794" s="51" t="n">
        <f aca="false">'Z5 Ikana-Nkangamo'!$B$8-E794</f>
        <v>109.64</v>
      </c>
      <c r="H794" s="52" t="n">
        <f aca="false">F794-E794</f>
        <v>80.06903379288</v>
      </c>
      <c r="I794" s="52" t="n">
        <f aca="false">MAX(H794,G794)</f>
        <v>109.64</v>
      </c>
      <c r="J794" s="4" t="str">
        <f aca="false">IFERROR("PN"&amp;SMALL(PN_list,COUNTIF(PN_list,"&lt;"&amp;I794*bar_per_m)+1),"&gt; max PN")</f>
        <v>PN16</v>
      </c>
      <c r="K794" s="4" t="str">
        <f aca="false">IF(L794="no","end at tank",IF(H794&lt;0,"NEGATIVE",IF(H794&lt;p_min-0.005,"low","OK")))</f>
        <v>OK</v>
      </c>
      <c r="L794" s="4" t="s">
        <v>414</v>
      </c>
    </row>
    <row r="795" customFormat="false" ht="15" hidden="false" customHeight="false" outlineLevel="0" collapsed="false">
      <c r="A795" s="4" t="s">
        <v>42</v>
      </c>
      <c r="B795" s="4" t="s">
        <v>368</v>
      </c>
      <c r="C795" s="47" t="n">
        <v>18808.73</v>
      </c>
      <c r="D795" s="48" t="n">
        <v>1560.98</v>
      </c>
      <c r="E795" s="49" t="n">
        <f aca="false">D795-cover</f>
        <v>1559.78</v>
      </c>
      <c r="F795" s="50" t="n">
        <f aca="false">'Z5 Ikana-Nkangamo'!S12-'Z5 Ikana-Nkangamo'!P12*C795/'Z5 Ikana-Nkangamo'!G12</f>
        <v>1638.36271549436</v>
      </c>
      <c r="G795" s="51" t="n">
        <f aca="false">'Z5 Ikana-Nkangamo'!$B$8-E795</f>
        <v>108.22</v>
      </c>
      <c r="H795" s="52" t="n">
        <f aca="false">F795-E795</f>
        <v>78.5827154943572</v>
      </c>
      <c r="I795" s="52" t="n">
        <f aca="false">MAX(H795,G795)</f>
        <v>108.22</v>
      </c>
      <c r="J795" s="4" t="str">
        <f aca="false">IFERROR("PN"&amp;SMALL(PN_list,COUNTIF(PN_list,"&lt;"&amp;I795*bar_per_m)+1),"&gt; max PN")</f>
        <v>PN16</v>
      </c>
      <c r="K795" s="4" t="str">
        <f aca="false">IF(L795="no","end at tank",IF(H795&lt;0,"NEGATIVE",IF(H795&lt;p_min-0.005,"low","OK")))</f>
        <v>OK</v>
      </c>
      <c r="L795" s="4" t="s">
        <v>414</v>
      </c>
    </row>
    <row r="796" customFormat="false" ht="15" hidden="false" customHeight="false" outlineLevel="0" collapsed="false">
      <c r="A796" s="4" t="s">
        <v>42</v>
      </c>
      <c r="B796" s="4" t="s">
        <v>368</v>
      </c>
      <c r="C796" s="47" t="n">
        <v>18858.73</v>
      </c>
      <c r="D796" s="48" t="n">
        <v>1561.8</v>
      </c>
      <c r="E796" s="49" t="n">
        <f aca="false">D796-cover</f>
        <v>1560.6</v>
      </c>
      <c r="F796" s="50" t="n">
        <f aca="false">'Z5 Ikana-Nkangamo'!S12-'Z5 Ikana-Nkangamo'!P12*C796/'Z5 Ikana-Nkangamo'!G12</f>
        <v>1638.29642371255</v>
      </c>
      <c r="G796" s="51" t="n">
        <f aca="false">'Z5 Ikana-Nkangamo'!$B$8-E796</f>
        <v>107.4</v>
      </c>
      <c r="H796" s="52" t="n">
        <f aca="false">F796-E796</f>
        <v>77.6964237125474</v>
      </c>
      <c r="I796" s="52" t="n">
        <f aca="false">MAX(H796,G796)</f>
        <v>107.4</v>
      </c>
      <c r="J796" s="4" t="str">
        <f aca="false">IFERROR("PN"&amp;SMALL(PN_list,COUNTIF(PN_list,"&lt;"&amp;I796*bar_per_m)+1),"&gt; max PN")</f>
        <v>PN16</v>
      </c>
      <c r="K796" s="4" t="str">
        <f aca="false">IF(L796="no","end at tank",IF(H796&lt;0,"NEGATIVE",IF(H796&lt;p_min-0.005,"low","OK")))</f>
        <v>OK</v>
      </c>
      <c r="L796" s="4" t="s">
        <v>414</v>
      </c>
    </row>
    <row r="797" customFormat="false" ht="15" hidden="false" customHeight="false" outlineLevel="0" collapsed="false">
      <c r="A797" s="4" t="s">
        <v>42</v>
      </c>
      <c r="B797" s="4" t="s">
        <v>368</v>
      </c>
      <c r="C797" s="47" t="n">
        <v>18908.74</v>
      </c>
      <c r="D797" s="48" t="n">
        <v>1562.31</v>
      </c>
      <c r="E797" s="49" t="n">
        <f aca="false">D797-cover</f>
        <v>1561.11</v>
      </c>
      <c r="F797" s="50" t="n">
        <f aca="false">'Z5 Ikana-Nkangamo'!S12-'Z5 Ikana-Nkangamo'!P12*C797/'Z5 Ikana-Nkangamo'!G12</f>
        <v>1638.23011867238</v>
      </c>
      <c r="G797" s="51" t="n">
        <f aca="false">'Z5 Ikana-Nkangamo'!$B$8-E797</f>
        <v>106.89</v>
      </c>
      <c r="H797" s="52" t="n">
        <f aca="false">F797-E797</f>
        <v>77.1201186723811</v>
      </c>
      <c r="I797" s="52" t="n">
        <f aca="false">MAX(H797,G797)</f>
        <v>106.89</v>
      </c>
      <c r="J797" s="4" t="str">
        <f aca="false">IFERROR("PN"&amp;SMALL(PN_list,COUNTIF(PN_list,"&lt;"&amp;I797*bar_per_m)+1),"&gt; max PN")</f>
        <v>PN16</v>
      </c>
      <c r="K797" s="4" t="str">
        <f aca="false">IF(L797="no","end at tank",IF(H797&lt;0,"NEGATIVE",IF(H797&lt;p_min-0.005,"low","OK")))</f>
        <v>OK</v>
      </c>
      <c r="L797" s="4" t="s">
        <v>414</v>
      </c>
    </row>
    <row r="798" customFormat="false" ht="15" hidden="false" customHeight="false" outlineLevel="0" collapsed="false">
      <c r="A798" s="4" t="s">
        <v>42</v>
      </c>
      <c r="B798" s="4" t="s">
        <v>368</v>
      </c>
      <c r="C798" s="47" t="n">
        <v>18958.74</v>
      </c>
      <c r="D798" s="48" t="n">
        <v>1563.01</v>
      </c>
      <c r="E798" s="49" t="n">
        <f aca="false">D798-cover</f>
        <v>1561.81</v>
      </c>
      <c r="F798" s="50" t="n">
        <f aca="false">'Z5 Ikana-Nkangamo'!S12-'Z5 Ikana-Nkangamo'!P12*C798/'Z5 Ikana-Nkangamo'!G12</f>
        <v>1638.16382689057</v>
      </c>
      <c r="G798" s="51" t="n">
        <f aca="false">'Z5 Ikana-Nkangamo'!$B$8-E798</f>
        <v>106.19</v>
      </c>
      <c r="H798" s="52" t="n">
        <f aca="false">F798-E798</f>
        <v>76.3538268905711</v>
      </c>
      <c r="I798" s="52" t="n">
        <f aca="false">MAX(H798,G798)</f>
        <v>106.19</v>
      </c>
      <c r="J798" s="4" t="str">
        <f aca="false">IFERROR("PN"&amp;SMALL(PN_list,COUNTIF(PN_list,"&lt;"&amp;I798*bar_per_m)+1),"&gt; max PN")</f>
        <v>PN16</v>
      </c>
      <c r="K798" s="4" t="str">
        <f aca="false">IF(L798="no","end at tank",IF(H798&lt;0,"NEGATIVE",IF(H798&lt;p_min-0.005,"low","OK")))</f>
        <v>OK</v>
      </c>
      <c r="L798" s="4" t="s">
        <v>414</v>
      </c>
    </row>
    <row r="799" customFormat="false" ht="15" hidden="false" customHeight="false" outlineLevel="0" collapsed="false">
      <c r="A799" s="4" t="s">
        <v>42</v>
      </c>
      <c r="B799" s="4" t="s">
        <v>368</v>
      </c>
      <c r="C799" s="47" t="n">
        <v>19008.76</v>
      </c>
      <c r="D799" s="48" t="n">
        <v>1564.44</v>
      </c>
      <c r="E799" s="49" t="n">
        <f aca="false">D799-cover</f>
        <v>1563.24</v>
      </c>
      <c r="F799" s="50" t="n">
        <f aca="false">'Z5 Ikana-Nkangamo'!S12-'Z5 Ikana-Nkangamo'!P12*C799/'Z5 Ikana-Nkangamo'!G12</f>
        <v>1638.09750859205</v>
      </c>
      <c r="G799" s="51" t="n">
        <f aca="false">'Z5 Ikana-Nkangamo'!$B$8-E799</f>
        <v>104.76</v>
      </c>
      <c r="H799" s="52" t="n">
        <f aca="false">F799-E799</f>
        <v>74.8575085920484</v>
      </c>
      <c r="I799" s="52" t="n">
        <f aca="false">MAX(H799,G799)</f>
        <v>104.76</v>
      </c>
      <c r="J799" s="4" t="str">
        <f aca="false">IFERROR("PN"&amp;SMALL(PN_list,COUNTIF(PN_list,"&lt;"&amp;I799*bar_per_m)+1),"&gt; max PN")</f>
        <v>PN16</v>
      </c>
      <c r="K799" s="4" t="str">
        <f aca="false">IF(L799="no","end at tank",IF(H799&lt;0,"NEGATIVE",IF(H799&lt;p_min-0.005,"low","OK")))</f>
        <v>OK</v>
      </c>
      <c r="L799" s="4" t="s">
        <v>414</v>
      </c>
    </row>
    <row r="800" customFormat="false" ht="15" hidden="false" customHeight="false" outlineLevel="0" collapsed="false">
      <c r="A800" s="4" t="s">
        <v>42</v>
      </c>
      <c r="B800" s="4" t="s">
        <v>368</v>
      </c>
      <c r="C800" s="47" t="n">
        <v>19058.77</v>
      </c>
      <c r="D800" s="48" t="n">
        <v>1565.23</v>
      </c>
      <c r="E800" s="49" t="n">
        <f aca="false">D800-cover</f>
        <v>1564.03</v>
      </c>
      <c r="F800" s="50" t="n">
        <f aca="false">'Z5 Ikana-Nkangamo'!S12-'Z5 Ikana-Nkangamo'!P12*C800/'Z5 Ikana-Nkangamo'!G12</f>
        <v>1638.03120355188</v>
      </c>
      <c r="G800" s="51" t="n">
        <f aca="false">'Z5 Ikana-Nkangamo'!$B$8-E800</f>
        <v>103.97</v>
      </c>
      <c r="H800" s="52" t="n">
        <f aca="false">F800-E800</f>
        <v>74.0012035518821</v>
      </c>
      <c r="I800" s="52" t="n">
        <f aca="false">MAX(H800,G800)</f>
        <v>103.97</v>
      </c>
      <c r="J800" s="4" t="str">
        <f aca="false">IFERROR("PN"&amp;SMALL(PN_list,COUNTIF(PN_list,"&lt;"&amp;I800*bar_per_m)+1),"&gt; max PN")</f>
        <v>PN16</v>
      </c>
      <c r="K800" s="4" t="str">
        <f aca="false">IF(L800="no","end at tank",IF(H800&lt;0,"NEGATIVE",IF(H800&lt;p_min-0.005,"low","OK")))</f>
        <v>OK</v>
      </c>
      <c r="L800" s="4" t="s">
        <v>414</v>
      </c>
    </row>
    <row r="801" customFormat="false" ht="15" hidden="false" customHeight="false" outlineLevel="0" collapsed="false">
      <c r="A801" s="4" t="s">
        <v>42</v>
      </c>
      <c r="B801" s="4" t="s">
        <v>368</v>
      </c>
      <c r="C801" s="47" t="n">
        <v>19108.77</v>
      </c>
      <c r="D801" s="48" t="n">
        <v>1565.42</v>
      </c>
      <c r="E801" s="49" t="n">
        <f aca="false">D801-cover</f>
        <v>1564.22</v>
      </c>
      <c r="F801" s="50" t="n">
        <f aca="false">'Z5 Ikana-Nkangamo'!S12-'Z5 Ikana-Nkangamo'!P12*C801/'Z5 Ikana-Nkangamo'!G12</f>
        <v>1637.96491177007</v>
      </c>
      <c r="G801" s="51" t="n">
        <f aca="false">'Z5 Ikana-Nkangamo'!$B$8-E801</f>
        <v>103.78</v>
      </c>
      <c r="H801" s="52" t="n">
        <f aca="false">F801-E801</f>
        <v>73.7449117700721</v>
      </c>
      <c r="I801" s="52" t="n">
        <f aca="false">MAX(H801,G801)</f>
        <v>103.78</v>
      </c>
      <c r="J801" s="4" t="str">
        <f aca="false">IFERROR("PN"&amp;SMALL(PN_list,COUNTIF(PN_list,"&lt;"&amp;I801*bar_per_m)+1),"&gt; max PN")</f>
        <v>PN16</v>
      </c>
      <c r="K801" s="4" t="str">
        <f aca="false">IF(L801="no","end at tank",IF(H801&lt;0,"NEGATIVE",IF(H801&lt;p_min-0.005,"low","OK")))</f>
        <v>OK</v>
      </c>
      <c r="L801" s="4" t="s">
        <v>414</v>
      </c>
    </row>
    <row r="802" customFormat="false" ht="15" hidden="false" customHeight="false" outlineLevel="0" collapsed="false">
      <c r="A802" s="4" t="s">
        <v>42</v>
      </c>
      <c r="B802" s="4" t="s">
        <v>368</v>
      </c>
      <c r="C802" s="47" t="n">
        <v>19158.78</v>
      </c>
      <c r="D802" s="48" t="n">
        <v>1566.4</v>
      </c>
      <c r="E802" s="49" t="n">
        <f aca="false">D802-cover</f>
        <v>1565.2</v>
      </c>
      <c r="F802" s="50" t="n">
        <f aca="false">'Z5 Ikana-Nkangamo'!S12-'Z5 Ikana-Nkangamo'!P12*C802/'Z5 Ikana-Nkangamo'!G12</f>
        <v>1637.89860672991</v>
      </c>
      <c r="G802" s="51" t="n">
        <f aca="false">'Z5 Ikana-Nkangamo'!$B$8-E802</f>
        <v>102.8</v>
      </c>
      <c r="H802" s="52" t="n">
        <f aca="false">F802-E802</f>
        <v>72.6986067299058</v>
      </c>
      <c r="I802" s="52" t="n">
        <f aca="false">MAX(H802,G802)</f>
        <v>102.8</v>
      </c>
      <c r="J802" s="4" t="str">
        <f aca="false">IFERROR("PN"&amp;SMALL(PN_list,COUNTIF(PN_list,"&lt;"&amp;I802*bar_per_m)+1),"&gt; max PN")</f>
        <v>PN16</v>
      </c>
      <c r="K802" s="4" t="str">
        <f aca="false">IF(L802="no","end at tank",IF(H802&lt;0,"NEGATIVE",IF(H802&lt;p_min-0.005,"low","OK")))</f>
        <v>OK</v>
      </c>
      <c r="L802" s="4" t="s">
        <v>414</v>
      </c>
    </row>
    <row r="803" customFormat="false" ht="15" hidden="false" customHeight="false" outlineLevel="0" collapsed="false">
      <c r="A803" s="4" t="s">
        <v>42</v>
      </c>
      <c r="B803" s="4" t="s">
        <v>368</v>
      </c>
      <c r="C803" s="47" t="n">
        <v>19208.78</v>
      </c>
      <c r="D803" s="48" t="n">
        <v>1566.96</v>
      </c>
      <c r="E803" s="49" t="n">
        <f aca="false">D803-cover</f>
        <v>1565.76</v>
      </c>
      <c r="F803" s="50" t="n">
        <f aca="false">'Z5 Ikana-Nkangamo'!S12-'Z5 Ikana-Nkangamo'!P12*C803/'Z5 Ikana-Nkangamo'!G12</f>
        <v>1637.8323149481</v>
      </c>
      <c r="G803" s="51" t="n">
        <f aca="false">'Z5 Ikana-Nkangamo'!$B$8-E803</f>
        <v>102.24</v>
      </c>
      <c r="H803" s="52" t="n">
        <f aca="false">F803-E803</f>
        <v>72.0723149480959</v>
      </c>
      <c r="I803" s="52" t="n">
        <f aca="false">MAX(H803,G803)</f>
        <v>102.24</v>
      </c>
      <c r="J803" s="4" t="str">
        <f aca="false">IFERROR("PN"&amp;SMALL(PN_list,COUNTIF(PN_list,"&lt;"&amp;I803*bar_per_m)+1),"&gt; max PN")</f>
        <v>PN16</v>
      </c>
      <c r="K803" s="4" t="str">
        <f aca="false">IF(L803="no","end at tank",IF(H803&lt;0,"NEGATIVE",IF(H803&lt;p_min-0.005,"low","OK")))</f>
        <v>OK</v>
      </c>
      <c r="L803" s="4" t="s">
        <v>414</v>
      </c>
    </row>
    <row r="804" customFormat="false" ht="15" hidden="false" customHeight="false" outlineLevel="0" collapsed="false">
      <c r="A804" s="4" t="s">
        <v>42</v>
      </c>
      <c r="B804" s="4" t="s">
        <v>368</v>
      </c>
      <c r="C804" s="47" t="n">
        <v>19258.79</v>
      </c>
      <c r="D804" s="48" t="n">
        <v>1567.73</v>
      </c>
      <c r="E804" s="49" t="n">
        <f aca="false">D804-cover</f>
        <v>1566.53</v>
      </c>
      <c r="F804" s="50" t="n">
        <f aca="false">'Z5 Ikana-Nkangamo'!S12-'Z5 Ikana-Nkangamo'!P12*C804/'Z5 Ikana-Nkangamo'!G12</f>
        <v>1637.76600990793</v>
      </c>
      <c r="G804" s="51" t="n">
        <f aca="false">'Z5 Ikana-Nkangamo'!$B$8-E804</f>
        <v>101.47</v>
      </c>
      <c r="H804" s="52" t="n">
        <f aca="false">F804-E804</f>
        <v>71.2360099079297</v>
      </c>
      <c r="I804" s="52" t="n">
        <f aca="false">MAX(H804,G804)</f>
        <v>101.47</v>
      </c>
      <c r="J804" s="4" t="str">
        <f aca="false">IFERROR("PN"&amp;SMALL(PN_list,COUNTIF(PN_list,"&lt;"&amp;I804*bar_per_m)+1),"&gt; max PN")</f>
        <v>PN10</v>
      </c>
      <c r="K804" s="4" t="str">
        <f aca="false">IF(L804="no","end at tank",IF(H804&lt;0,"NEGATIVE",IF(H804&lt;p_min-0.005,"low","OK")))</f>
        <v>OK</v>
      </c>
      <c r="L804" s="4" t="s">
        <v>414</v>
      </c>
    </row>
    <row r="805" customFormat="false" ht="15" hidden="false" customHeight="false" outlineLevel="0" collapsed="false">
      <c r="A805" s="4" t="s">
        <v>42</v>
      </c>
      <c r="B805" s="4" t="s">
        <v>368</v>
      </c>
      <c r="C805" s="47" t="n">
        <v>19308.79</v>
      </c>
      <c r="D805" s="48" t="n">
        <v>1568</v>
      </c>
      <c r="E805" s="49" t="n">
        <f aca="false">D805-cover</f>
        <v>1566.8</v>
      </c>
      <c r="F805" s="50" t="n">
        <f aca="false">'Z5 Ikana-Nkangamo'!S12-'Z5 Ikana-Nkangamo'!P12*C805/'Z5 Ikana-Nkangamo'!G12</f>
        <v>1637.69971812612</v>
      </c>
      <c r="G805" s="51" t="n">
        <f aca="false">'Z5 Ikana-Nkangamo'!$B$8-E805</f>
        <v>101.2</v>
      </c>
      <c r="H805" s="52" t="n">
        <f aca="false">F805-E805</f>
        <v>70.8997181261198</v>
      </c>
      <c r="I805" s="52" t="n">
        <f aca="false">MAX(H805,G805)</f>
        <v>101.2</v>
      </c>
      <c r="J805" s="4" t="str">
        <f aca="false">IFERROR("PN"&amp;SMALL(PN_list,COUNTIF(PN_list,"&lt;"&amp;I805*bar_per_m)+1),"&gt; max PN")</f>
        <v>PN10</v>
      </c>
      <c r="K805" s="4" t="str">
        <f aca="false">IF(L805="no","end at tank",IF(H805&lt;0,"NEGATIVE",IF(H805&lt;p_min-0.005,"low","OK")))</f>
        <v>OK</v>
      </c>
      <c r="L805" s="4" t="s">
        <v>414</v>
      </c>
    </row>
    <row r="806" customFormat="false" ht="15" hidden="false" customHeight="false" outlineLevel="0" collapsed="false">
      <c r="A806" s="4" t="s">
        <v>42</v>
      </c>
      <c r="B806" s="4" t="s">
        <v>368</v>
      </c>
      <c r="C806" s="47" t="n">
        <v>19358.79</v>
      </c>
      <c r="D806" s="48" t="n">
        <v>1568.73</v>
      </c>
      <c r="E806" s="49" t="n">
        <f aca="false">D806-cover</f>
        <v>1567.53</v>
      </c>
      <c r="F806" s="50" t="n">
        <f aca="false">'Z5 Ikana-Nkangamo'!S12-'Z5 Ikana-Nkangamo'!P12*C806/'Z5 Ikana-Nkangamo'!G12</f>
        <v>1637.63342634431</v>
      </c>
      <c r="G806" s="51" t="n">
        <f aca="false">'Z5 Ikana-Nkangamo'!$B$8-E806</f>
        <v>100.47</v>
      </c>
      <c r="H806" s="52" t="n">
        <f aca="false">F806-E806</f>
        <v>70.1034263443098</v>
      </c>
      <c r="I806" s="52" t="n">
        <f aca="false">MAX(H806,G806)</f>
        <v>100.47</v>
      </c>
      <c r="J806" s="4" t="str">
        <f aca="false">IFERROR("PN"&amp;SMALL(PN_list,COUNTIF(PN_list,"&lt;"&amp;I806*bar_per_m)+1),"&gt; max PN")</f>
        <v>PN10</v>
      </c>
      <c r="K806" s="4" t="str">
        <f aca="false">IF(L806="no","end at tank",IF(H806&lt;0,"NEGATIVE",IF(H806&lt;p_min-0.005,"low","OK")))</f>
        <v>OK</v>
      </c>
      <c r="L806" s="4" t="s">
        <v>414</v>
      </c>
    </row>
    <row r="807" customFormat="false" ht="15" hidden="false" customHeight="false" outlineLevel="0" collapsed="false">
      <c r="A807" s="4" t="s">
        <v>42</v>
      </c>
      <c r="B807" s="4" t="s">
        <v>368</v>
      </c>
      <c r="C807" s="47" t="n">
        <v>19408.79</v>
      </c>
      <c r="D807" s="48" t="n">
        <v>1568.84</v>
      </c>
      <c r="E807" s="49" t="n">
        <f aca="false">D807-cover</f>
        <v>1567.64</v>
      </c>
      <c r="F807" s="50" t="n">
        <f aca="false">'Z5 Ikana-Nkangamo'!S12-'Z5 Ikana-Nkangamo'!P12*C807/'Z5 Ikana-Nkangamo'!G12</f>
        <v>1637.5671345625</v>
      </c>
      <c r="G807" s="51" t="n">
        <f aca="false">'Z5 Ikana-Nkangamo'!$B$8-E807</f>
        <v>100.36</v>
      </c>
      <c r="H807" s="52" t="n">
        <f aca="false">F807-E807</f>
        <v>69.9271345624998</v>
      </c>
      <c r="I807" s="52" t="n">
        <f aca="false">MAX(H807,G807)</f>
        <v>100.36</v>
      </c>
      <c r="J807" s="4" t="str">
        <f aca="false">IFERROR("PN"&amp;SMALL(PN_list,COUNTIF(PN_list,"&lt;"&amp;I807*bar_per_m)+1),"&gt; max PN")</f>
        <v>PN10</v>
      </c>
      <c r="K807" s="4" t="str">
        <f aca="false">IF(L807="no","end at tank",IF(H807&lt;0,"NEGATIVE",IF(H807&lt;p_min-0.005,"low","OK")))</f>
        <v>OK</v>
      </c>
      <c r="L807" s="4" t="s">
        <v>414</v>
      </c>
    </row>
    <row r="808" customFormat="false" ht="15" hidden="false" customHeight="false" outlineLevel="0" collapsed="false">
      <c r="A808" s="4" t="s">
        <v>42</v>
      </c>
      <c r="B808" s="4" t="s">
        <v>368</v>
      </c>
      <c r="C808" s="47" t="n">
        <v>19458.79</v>
      </c>
      <c r="D808" s="48" t="n">
        <v>1568.92</v>
      </c>
      <c r="E808" s="49" t="n">
        <f aca="false">D808-cover</f>
        <v>1567.72</v>
      </c>
      <c r="F808" s="50" t="n">
        <f aca="false">'Z5 Ikana-Nkangamo'!S12-'Z5 Ikana-Nkangamo'!P12*C808/'Z5 Ikana-Nkangamo'!G12</f>
        <v>1637.50084278069</v>
      </c>
      <c r="G808" s="51" t="n">
        <f aca="false">'Z5 Ikana-Nkangamo'!$B$8-E808</f>
        <v>100.28</v>
      </c>
      <c r="H808" s="52" t="n">
        <f aca="false">F808-E808</f>
        <v>69.7808427806897</v>
      </c>
      <c r="I808" s="52" t="n">
        <f aca="false">MAX(H808,G808)</f>
        <v>100.28</v>
      </c>
      <c r="J808" s="4" t="str">
        <f aca="false">IFERROR("PN"&amp;SMALL(PN_list,COUNTIF(PN_list,"&lt;"&amp;I808*bar_per_m)+1),"&gt; max PN")</f>
        <v>PN10</v>
      </c>
      <c r="K808" s="4" t="str">
        <f aca="false">IF(L808="no","end at tank",IF(H808&lt;0,"NEGATIVE",IF(H808&lt;p_min-0.005,"low","OK")))</f>
        <v>OK</v>
      </c>
      <c r="L808" s="4" t="s">
        <v>414</v>
      </c>
    </row>
    <row r="809" customFormat="false" ht="15" hidden="false" customHeight="false" outlineLevel="0" collapsed="false">
      <c r="A809" s="4" t="s">
        <v>42</v>
      </c>
      <c r="B809" s="4" t="s">
        <v>368</v>
      </c>
      <c r="C809" s="47" t="n">
        <v>19508.79</v>
      </c>
      <c r="D809" s="48" t="n">
        <v>1568.78</v>
      </c>
      <c r="E809" s="49" t="n">
        <f aca="false">D809-cover</f>
        <v>1567.58</v>
      </c>
      <c r="F809" s="50" t="n">
        <f aca="false">'Z5 Ikana-Nkangamo'!S12-'Z5 Ikana-Nkangamo'!P12*C809/'Z5 Ikana-Nkangamo'!G12</f>
        <v>1637.43455099888</v>
      </c>
      <c r="G809" s="51" t="n">
        <f aca="false">'Z5 Ikana-Nkangamo'!$B$8-E809</f>
        <v>100.42</v>
      </c>
      <c r="H809" s="52" t="n">
        <f aca="false">F809-E809</f>
        <v>69.8545509988799</v>
      </c>
      <c r="I809" s="52" t="n">
        <f aca="false">MAX(H809,G809)</f>
        <v>100.42</v>
      </c>
      <c r="J809" s="4" t="str">
        <f aca="false">IFERROR("PN"&amp;SMALL(PN_list,COUNTIF(PN_list,"&lt;"&amp;I809*bar_per_m)+1),"&gt; max PN")</f>
        <v>PN10</v>
      </c>
      <c r="K809" s="4" t="str">
        <f aca="false">IF(L809="no","end at tank",IF(H809&lt;0,"NEGATIVE",IF(H809&lt;p_min-0.005,"low","OK")))</f>
        <v>OK</v>
      </c>
      <c r="L809" s="4" t="s">
        <v>414</v>
      </c>
    </row>
    <row r="810" customFormat="false" ht="15" hidden="false" customHeight="false" outlineLevel="0" collapsed="false">
      <c r="A810" s="4" t="s">
        <v>42</v>
      </c>
      <c r="B810" s="4" t="s">
        <v>368</v>
      </c>
      <c r="C810" s="47" t="n">
        <v>19558.79</v>
      </c>
      <c r="D810" s="48" t="n">
        <v>1568.78</v>
      </c>
      <c r="E810" s="49" t="n">
        <f aca="false">D810-cover</f>
        <v>1567.58</v>
      </c>
      <c r="F810" s="50" t="n">
        <f aca="false">'Z5 Ikana-Nkangamo'!S12-'Z5 Ikana-Nkangamo'!P12*C810/'Z5 Ikana-Nkangamo'!G12</f>
        <v>1637.36825921707</v>
      </c>
      <c r="G810" s="51" t="n">
        <f aca="false">'Z5 Ikana-Nkangamo'!$B$8-E810</f>
        <v>100.42</v>
      </c>
      <c r="H810" s="52" t="n">
        <f aca="false">F810-E810</f>
        <v>69.7882592170699</v>
      </c>
      <c r="I810" s="52" t="n">
        <f aca="false">MAX(H810,G810)</f>
        <v>100.42</v>
      </c>
      <c r="J810" s="4" t="str">
        <f aca="false">IFERROR("PN"&amp;SMALL(PN_list,COUNTIF(PN_list,"&lt;"&amp;I810*bar_per_m)+1),"&gt; max PN")</f>
        <v>PN10</v>
      </c>
      <c r="K810" s="4" t="str">
        <f aca="false">IF(L810="no","end at tank",IF(H810&lt;0,"NEGATIVE",IF(H810&lt;p_min-0.005,"low","OK")))</f>
        <v>OK</v>
      </c>
      <c r="L810" s="4" t="s">
        <v>414</v>
      </c>
    </row>
    <row r="811" customFormat="false" ht="15" hidden="false" customHeight="false" outlineLevel="0" collapsed="false">
      <c r="A811" s="4" t="s">
        <v>42</v>
      </c>
      <c r="B811" s="4" t="s">
        <v>368</v>
      </c>
      <c r="C811" s="47" t="n">
        <v>19608.79</v>
      </c>
      <c r="D811" s="48" t="n">
        <v>1568.33</v>
      </c>
      <c r="E811" s="49" t="n">
        <f aca="false">D811-cover</f>
        <v>1567.13</v>
      </c>
      <c r="F811" s="50" t="n">
        <f aca="false">'Z5 Ikana-Nkangamo'!S12-'Z5 Ikana-Nkangamo'!P12*C811/'Z5 Ikana-Nkangamo'!G12</f>
        <v>1637.30196743526</v>
      </c>
      <c r="G811" s="51" t="n">
        <f aca="false">'Z5 Ikana-Nkangamo'!$B$8-E811</f>
        <v>100.87</v>
      </c>
      <c r="H811" s="52" t="n">
        <f aca="false">F811-E811</f>
        <v>70.1719674352601</v>
      </c>
      <c r="I811" s="52" t="n">
        <f aca="false">MAX(H811,G811)</f>
        <v>100.87</v>
      </c>
      <c r="J811" s="4" t="str">
        <f aca="false">IFERROR("PN"&amp;SMALL(PN_list,COUNTIF(PN_list,"&lt;"&amp;I811*bar_per_m)+1),"&gt; max PN")</f>
        <v>PN10</v>
      </c>
      <c r="K811" s="4" t="str">
        <f aca="false">IF(L811="no","end at tank",IF(H811&lt;0,"NEGATIVE",IF(H811&lt;p_min-0.005,"low","OK")))</f>
        <v>OK</v>
      </c>
      <c r="L811" s="4" t="s">
        <v>414</v>
      </c>
    </row>
    <row r="812" customFormat="false" ht="15" hidden="false" customHeight="false" outlineLevel="0" collapsed="false">
      <c r="A812" s="4" t="s">
        <v>42</v>
      </c>
      <c r="B812" s="4" t="s">
        <v>368</v>
      </c>
      <c r="C812" s="47" t="n">
        <v>19658.79</v>
      </c>
      <c r="D812" s="48" t="n">
        <v>1568.25</v>
      </c>
      <c r="E812" s="49" t="n">
        <f aca="false">D812-cover</f>
        <v>1567.05</v>
      </c>
      <c r="F812" s="50" t="n">
        <f aca="false">'Z5 Ikana-Nkangamo'!S12-'Z5 Ikana-Nkangamo'!P12*C812/'Z5 Ikana-Nkangamo'!G12</f>
        <v>1637.23567565345</v>
      </c>
      <c r="G812" s="51" t="n">
        <f aca="false">'Z5 Ikana-Nkangamo'!$B$8-E812</f>
        <v>100.95</v>
      </c>
      <c r="H812" s="52" t="n">
        <f aca="false">F812-E812</f>
        <v>70.1856756534501</v>
      </c>
      <c r="I812" s="52" t="n">
        <f aca="false">MAX(H812,G812)</f>
        <v>100.95</v>
      </c>
      <c r="J812" s="4" t="str">
        <f aca="false">IFERROR("PN"&amp;SMALL(PN_list,COUNTIF(PN_list,"&lt;"&amp;I812*bar_per_m)+1),"&gt; max PN")</f>
        <v>PN10</v>
      </c>
      <c r="K812" s="4" t="str">
        <f aca="false">IF(L812="no","end at tank",IF(H812&lt;0,"NEGATIVE",IF(H812&lt;p_min-0.005,"low","OK")))</f>
        <v>OK</v>
      </c>
      <c r="L812" s="4" t="s">
        <v>414</v>
      </c>
    </row>
    <row r="813" customFormat="false" ht="15" hidden="false" customHeight="false" outlineLevel="0" collapsed="false">
      <c r="A813" s="4" t="s">
        <v>42</v>
      </c>
      <c r="B813" s="4" t="s">
        <v>368</v>
      </c>
      <c r="C813" s="47" t="n">
        <v>19708.81</v>
      </c>
      <c r="D813" s="48" t="n">
        <v>1567.07</v>
      </c>
      <c r="E813" s="49" t="n">
        <f aca="false">D813-cover</f>
        <v>1565.87</v>
      </c>
      <c r="F813" s="50" t="n">
        <f aca="false">'Z5 Ikana-Nkangamo'!S12-'Z5 Ikana-Nkangamo'!P12*C813/'Z5 Ikana-Nkangamo'!G12</f>
        <v>1637.16935735493</v>
      </c>
      <c r="G813" s="51" t="n">
        <f aca="false">'Z5 Ikana-Nkangamo'!$B$8-E813</f>
        <v>102.13</v>
      </c>
      <c r="H813" s="52" t="n">
        <f aca="false">F813-E813</f>
        <v>71.2993573549275</v>
      </c>
      <c r="I813" s="52" t="n">
        <f aca="false">MAX(H813,G813)</f>
        <v>102.13</v>
      </c>
      <c r="J813" s="4" t="str">
        <f aca="false">IFERROR("PN"&amp;SMALL(PN_list,COUNTIF(PN_list,"&lt;"&amp;I813*bar_per_m)+1),"&gt; max PN")</f>
        <v>PN16</v>
      </c>
      <c r="K813" s="4" t="str">
        <f aca="false">IF(L813="no","end at tank",IF(H813&lt;0,"NEGATIVE",IF(H813&lt;p_min-0.005,"low","OK")))</f>
        <v>OK</v>
      </c>
      <c r="L813" s="4" t="s">
        <v>414</v>
      </c>
    </row>
    <row r="814" customFormat="false" ht="15" hidden="false" customHeight="false" outlineLevel="0" collapsed="false">
      <c r="A814" s="4" t="s">
        <v>42</v>
      </c>
      <c r="B814" s="4" t="s">
        <v>368</v>
      </c>
      <c r="C814" s="47" t="n">
        <v>19758.82</v>
      </c>
      <c r="D814" s="48" t="n">
        <v>1565.85</v>
      </c>
      <c r="E814" s="49" t="n">
        <f aca="false">D814-cover</f>
        <v>1564.65</v>
      </c>
      <c r="F814" s="50" t="n">
        <f aca="false">'Z5 Ikana-Nkangamo'!S12-'Z5 Ikana-Nkangamo'!P12*C814/'Z5 Ikana-Nkangamo'!G12</f>
        <v>1637.10305231476</v>
      </c>
      <c r="G814" s="51" t="n">
        <f aca="false">'Z5 Ikana-Nkangamo'!$B$8-E814</f>
        <v>103.35</v>
      </c>
      <c r="H814" s="52" t="n">
        <f aca="false">F814-E814</f>
        <v>72.4530523147612</v>
      </c>
      <c r="I814" s="52" t="n">
        <f aca="false">MAX(H814,G814)</f>
        <v>103.35</v>
      </c>
      <c r="J814" s="4" t="str">
        <f aca="false">IFERROR("PN"&amp;SMALL(PN_list,COUNTIF(PN_list,"&lt;"&amp;I814*bar_per_m)+1),"&gt; max PN")</f>
        <v>PN16</v>
      </c>
      <c r="K814" s="4" t="str">
        <f aca="false">IF(L814="no","end at tank",IF(H814&lt;0,"NEGATIVE",IF(H814&lt;p_min-0.005,"low","OK")))</f>
        <v>OK</v>
      </c>
      <c r="L814" s="4" t="s">
        <v>414</v>
      </c>
    </row>
    <row r="815" customFormat="false" ht="15" hidden="false" customHeight="false" outlineLevel="0" collapsed="false">
      <c r="A815" s="4" t="s">
        <v>42</v>
      </c>
      <c r="B815" s="4" t="s">
        <v>368</v>
      </c>
      <c r="C815" s="47" t="n">
        <v>19808.82</v>
      </c>
      <c r="D815" s="48" t="n">
        <v>1565.86</v>
      </c>
      <c r="E815" s="49" t="n">
        <f aca="false">D815-cover</f>
        <v>1564.66</v>
      </c>
      <c r="F815" s="50" t="n">
        <f aca="false">'Z5 Ikana-Nkangamo'!S12-'Z5 Ikana-Nkangamo'!P12*C815/'Z5 Ikana-Nkangamo'!G12</f>
        <v>1637.03676053295</v>
      </c>
      <c r="G815" s="51" t="n">
        <f aca="false">'Z5 Ikana-Nkangamo'!$B$8-E815</f>
        <v>103.34</v>
      </c>
      <c r="H815" s="52" t="n">
        <f aca="false">F815-E815</f>
        <v>72.3767605329513</v>
      </c>
      <c r="I815" s="52" t="n">
        <f aca="false">MAX(H815,G815)</f>
        <v>103.34</v>
      </c>
      <c r="J815" s="4" t="str">
        <f aca="false">IFERROR("PN"&amp;SMALL(PN_list,COUNTIF(PN_list,"&lt;"&amp;I815*bar_per_m)+1),"&gt; max PN")</f>
        <v>PN16</v>
      </c>
      <c r="K815" s="4" t="str">
        <f aca="false">IF(L815="no","end at tank",IF(H815&lt;0,"NEGATIVE",IF(H815&lt;p_min-0.005,"low","OK")))</f>
        <v>OK</v>
      </c>
      <c r="L815" s="4" t="s">
        <v>414</v>
      </c>
    </row>
    <row r="816" customFormat="false" ht="15" hidden="false" customHeight="false" outlineLevel="0" collapsed="false">
      <c r="A816" s="4" t="s">
        <v>42</v>
      </c>
      <c r="B816" s="4" t="s">
        <v>368</v>
      </c>
      <c r="C816" s="47" t="n">
        <v>19858.84</v>
      </c>
      <c r="D816" s="48" t="n">
        <v>1564.67</v>
      </c>
      <c r="E816" s="49" t="n">
        <f aca="false">D816-cover</f>
        <v>1563.47</v>
      </c>
      <c r="F816" s="50" t="n">
        <f aca="false">'Z5 Ikana-Nkangamo'!S12-'Z5 Ikana-Nkangamo'!P12*C816/'Z5 Ikana-Nkangamo'!G12</f>
        <v>1636.97044223443</v>
      </c>
      <c r="G816" s="51" t="n">
        <f aca="false">'Z5 Ikana-Nkangamo'!$B$8-E816</f>
        <v>104.53</v>
      </c>
      <c r="H816" s="52" t="n">
        <f aca="false">F816-E816</f>
        <v>73.5004422344284</v>
      </c>
      <c r="I816" s="52" t="n">
        <f aca="false">MAX(H816,G816)</f>
        <v>104.53</v>
      </c>
      <c r="J816" s="4" t="str">
        <f aca="false">IFERROR("PN"&amp;SMALL(PN_list,COUNTIF(PN_list,"&lt;"&amp;I816*bar_per_m)+1),"&gt; max PN")</f>
        <v>PN16</v>
      </c>
      <c r="K816" s="4" t="str">
        <f aca="false">IF(L816="no","end at tank",IF(H816&lt;0,"NEGATIVE",IF(H816&lt;p_min-0.005,"low","OK")))</f>
        <v>OK</v>
      </c>
      <c r="L816" s="4" t="s">
        <v>414</v>
      </c>
    </row>
    <row r="817" customFormat="false" ht="15" hidden="false" customHeight="false" outlineLevel="0" collapsed="false">
      <c r="A817" s="4" t="s">
        <v>42</v>
      </c>
      <c r="B817" s="4" t="s">
        <v>368</v>
      </c>
      <c r="C817" s="47" t="n">
        <v>19908.84</v>
      </c>
      <c r="D817" s="48" t="n">
        <v>1563.87</v>
      </c>
      <c r="E817" s="49" t="n">
        <f aca="false">D817-cover</f>
        <v>1562.67</v>
      </c>
      <c r="F817" s="50" t="n">
        <f aca="false">'Z5 Ikana-Nkangamo'!S12-'Z5 Ikana-Nkangamo'!P12*C817/'Z5 Ikana-Nkangamo'!G12</f>
        <v>1636.90415045262</v>
      </c>
      <c r="G817" s="51" t="n">
        <f aca="false">'Z5 Ikana-Nkangamo'!$B$8-E817</f>
        <v>105.33</v>
      </c>
      <c r="H817" s="52" t="n">
        <f aca="false">F817-E817</f>
        <v>74.2341504526187</v>
      </c>
      <c r="I817" s="52" t="n">
        <f aca="false">MAX(H817,G817)</f>
        <v>105.33</v>
      </c>
      <c r="J817" s="4" t="str">
        <f aca="false">IFERROR("PN"&amp;SMALL(PN_list,COUNTIF(PN_list,"&lt;"&amp;I817*bar_per_m)+1),"&gt; max PN")</f>
        <v>PN16</v>
      </c>
      <c r="K817" s="4" t="str">
        <f aca="false">IF(L817="no","end at tank",IF(H817&lt;0,"NEGATIVE",IF(H817&lt;p_min-0.005,"low","OK")))</f>
        <v>OK</v>
      </c>
      <c r="L817" s="4" t="s">
        <v>414</v>
      </c>
    </row>
    <row r="818" customFormat="false" ht="15" hidden="false" customHeight="false" outlineLevel="0" collapsed="false">
      <c r="A818" s="4" t="s">
        <v>42</v>
      </c>
      <c r="B818" s="4" t="s">
        <v>368</v>
      </c>
      <c r="C818" s="47" t="n">
        <v>19958.84</v>
      </c>
      <c r="D818" s="48" t="n">
        <v>1564</v>
      </c>
      <c r="E818" s="49" t="n">
        <f aca="false">D818-cover</f>
        <v>1562.8</v>
      </c>
      <c r="F818" s="50" t="n">
        <f aca="false">'Z5 Ikana-Nkangamo'!S12-'Z5 Ikana-Nkangamo'!P12*C818/'Z5 Ikana-Nkangamo'!G12</f>
        <v>1636.83785867081</v>
      </c>
      <c r="G818" s="51" t="n">
        <f aca="false">'Z5 Ikana-Nkangamo'!$B$8-E818</f>
        <v>105.2</v>
      </c>
      <c r="H818" s="52" t="n">
        <f aca="false">F818-E818</f>
        <v>74.0378586708087</v>
      </c>
      <c r="I818" s="52" t="n">
        <f aca="false">MAX(H818,G818)</f>
        <v>105.2</v>
      </c>
      <c r="J818" s="4" t="str">
        <f aca="false">IFERROR("PN"&amp;SMALL(PN_list,COUNTIF(PN_list,"&lt;"&amp;I818*bar_per_m)+1),"&gt; max PN")</f>
        <v>PN16</v>
      </c>
      <c r="K818" s="4" t="str">
        <f aca="false">IF(L818="no","end at tank",IF(H818&lt;0,"NEGATIVE",IF(H818&lt;p_min-0.005,"low","OK")))</f>
        <v>OK</v>
      </c>
      <c r="L818" s="4" t="s">
        <v>414</v>
      </c>
    </row>
    <row r="819" customFormat="false" ht="15" hidden="false" customHeight="false" outlineLevel="0" collapsed="false">
      <c r="A819" s="4" t="s">
        <v>42</v>
      </c>
      <c r="B819" s="4" t="s">
        <v>368</v>
      </c>
      <c r="C819" s="47" t="n">
        <v>20008.85</v>
      </c>
      <c r="D819" s="48" t="n">
        <v>1563.5</v>
      </c>
      <c r="E819" s="49" t="n">
        <f aca="false">D819-cover</f>
        <v>1562.3</v>
      </c>
      <c r="F819" s="50" t="n">
        <f aca="false">'Z5 Ikana-Nkangamo'!S12-'Z5 Ikana-Nkangamo'!P12*C819/'Z5 Ikana-Nkangamo'!G12</f>
        <v>1636.77155363064</v>
      </c>
      <c r="G819" s="51" t="n">
        <f aca="false">'Z5 Ikana-Nkangamo'!$B$8-E819</f>
        <v>105.7</v>
      </c>
      <c r="H819" s="52" t="n">
        <f aca="false">F819-E819</f>
        <v>74.4715536306424</v>
      </c>
      <c r="I819" s="52" t="n">
        <f aca="false">MAX(H819,G819)</f>
        <v>105.7</v>
      </c>
      <c r="J819" s="4" t="str">
        <f aca="false">IFERROR("PN"&amp;SMALL(PN_list,COUNTIF(PN_list,"&lt;"&amp;I819*bar_per_m)+1),"&gt; max PN")</f>
        <v>PN16</v>
      </c>
      <c r="K819" s="4" t="str">
        <f aca="false">IF(L819="no","end at tank",IF(H819&lt;0,"NEGATIVE",IF(H819&lt;p_min-0.005,"low","OK")))</f>
        <v>OK</v>
      </c>
      <c r="L819" s="4" t="s">
        <v>414</v>
      </c>
    </row>
    <row r="820" customFormat="false" ht="15" hidden="false" customHeight="false" outlineLevel="0" collapsed="false">
      <c r="A820" s="4" t="s">
        <v>42</v>
      </c>
      <c r="B820" s="4" t="s">
        <v>368</v>
      </c>
      <c r="C820" s="47" t="n">
        <v>20058.86</v>
      </c>
      <c r="D820" s="48" t="n">
        <v>1562.31</v>
      </c>
      <c r="E820" s="49" t="n">
        <f aca="false">D820-cover</f>
        <v>1561.11</v>
      </c>
      <c r="F820" s="50" t="n">
        <f aca="false">'Z5 Ikana-Nkangamo'!S12-'Z5 Ikana-Nkangamo'!P12*C820/'Z5 Ikana-Nkangamo'!G12</f>
        <v>1636.70524859048</v>
      </c>
      <c r="G820" s="51" t="n">
        <f aca="false">'Z5 Ikana-Nkangamo'!$B$8-E820</f>
        <v>106.89</v>
      </c>
      <c r="H820" s="52" t="n">
        <f aca="false">F820-E820</f>
        <v>75.5952485904761</v>
      </c>
      <c r="I820" s="52" t="n">
        <f aca="false">MAX(H820,G820)</f>
        <v>106.89</v>
      </c>
      <c r="J820" s="4" t="str">
        <f aca="false">IFERROR("PN"&amp;SMALL(PN_list,COUNTIF(PN_list,"&lt;"&amp;I820*bar_per_m)+1),"&gt; max PN")</f>
        <v>PN16</v>
      </c>
      <c r="K820" s="4" t="str">
        <f aca="false">IF(L820="no","end at tank",IF(H820&lt;0,"NEGATIVE",IF(H820&lt;p_min-0.005,"low","OK")))</f>
        <v>OK</v>
      </c>
      <c r="L820" s="4" t="s">
        <v>414</v>
      </c>
    </row>
    <row r="821" customFormat="false" ht="15" hidden="false" customHeight="false" outlineLevel="0" collapsed="false">
      <c r="A821" s="4" t="s">
        <v>42</v>
      </c>
      <c r="B821" s="4" t="s">
        <v>368</v>
      </c>
      <c r="C821" s="47" t="n">
        <v>20108.86</v>
      </c>
      <c r="D821" s="48" t="n">
        <v>1562.24</v>
      </c>
      <c r="E821" s="49" t="n">
        <f aca="false">D821-cover</f>
        <v>1561.04</v>
      </c>
      <c r="F821" s="50" t="n">
        <f aca="false">'Z5 Ikana-Nkangamo'!S12-'Z5 Ikana-Nkangamo'!P12*C821/'Z5 Ikana-Nkangamo'!G12</f>
        <v>1636.63895680867</v>
      </c>
      <c r="G821" s="51" t="n">
        <f aca="false">'Z5 Ikana-Nkangamo'!$B$8-E821</f>
        <v>106.96</v>
      </c>
      <c r="H821" s="52" t="n">
        <f aca="false">F821-E821</f>
        <v>75.5989568086661</v>
      </c>
      <c r="I821" s="52" t="n">
        <f aca="false">MAX(H821,G821)</f>
        <v>106.96</v>
      </c>
      <c r="J821" s="4" t="str">
        <f aca="false">IFERROR("PN"&amp;SMALL(PN_list,COUNTIF(PN_list,"&lt;"&amp;I821*bar_per_m)+1),"&gt; max PN")</f>
        <v>PN16</v>
      </c>
      <c r="K821" s="4" t="str">
        <f aca="false">IF(L821="no","end at tank",IF(H821&lt;0,"NEGATIVE",IF(H821&lt;p_min-0.005,"low","OK")))</f>
        <v>OK</v>
      </c>
      <c r="L821" s="4" t="s">
        <v>414</v>
      </c>
    </row>
    <row r="822" customFormat="false" ht="15" hidden="false" customHeight="false" outlineLevel="0" collapsed="false">
      <c r="A822" s="4" t="s">
        <v>42</v>
      </c>
      <c r="B822" s="4" t="s">
        <v>368</v>
      </c>
      <c r="C822" s="47" t="n">
        <v>20158.86</v>
      </c>
      <c r="D822" s="48" t="n">
        <v>1561.91</v>
      </c>
      <c r="E822" s="49" t="n">
        <f aca="false">D822-cover</f>
        <v>1560.71</v>
      </c>
      <c r="F822" s="50" t="n">
        <f aca="false">'Z5 Ikana-Nkangamo'!S12-'Z5 Ikana-Nkangamo'!P12*C822/'Z5 Ikana-Nkangamo'!G12</f>
        <v>1636.57266502686</v>
      </c>
      <c r="G822" s="51" t="n">
        <f aca="false">'Z5 Ikana-Nkangamo'!$B$8-E822</f>
        <v>107.29</v>
      </c>
      <c r="H822" s="52" t="n">
        <f aca="false">F822-E822</f>
        <v>75.8626650268561</v>
      </c>
      <c r="I822" s="52" t="n">
        <f aca="false">MAX(H822,G822)</f>
        <v>107.29</v>
      </c>
      <c r="J822" s="4" t="str">
        <f aca="false">IFERROR("PN"&amp;SMALL(PN_list,COUNTIF(PN_list,"&lt;"&amp;I822*bar_per_m)+1),"&gt; max PN")</f>
        <v>PN16</v>
      </c>
      <c r="K822" s="4" t="str">
        <f aca="false">IF(L822="no","end at tank",IF(H822&lt;0,"NEGATIVE",IF(H822&lt;p_min-0.005,"low","OK")))</f>
        <v>OK</v>
      </c>
      <c r="L822" s="4" t="s">
        <v>414</v>
      </c>
    </row>
    <row r="823" customFormat="false" ht="15" hidden="false" customHeight="false" outlineLevel="0" collapsed="false">
      <c r="A823" s="4" t="s">
        <v>42</v>
      </c>
      <c r="B823" s="4" t="s">
        <v>368</v>
      </c>
      <c r="C823" s="47" t="n">
        <v>20208.86</v>
      </c>
      <c r="D823" s="48" t="n">
        <v>1561.64</v>
      </c>
      <c r="E823" s="49" t="n">
        <f aca="false">D823-cover</f>
        <v>1560.44</v>
      </c>
      <c r="F823" s="50" t="n">
        <f aca="false">'Z5 Ikana-Nkangamo'!S12-'Z5 Ikana-Nkangamo'!P12*C823/'Z5 Ikana-Nkangamo'!G12</f>
        <v>1636.50637324505</v>
      </c>
      <c r="G823" s="51" t="n">
        <f aca="false">'Z5 Ikana-Nkangamo'!$B$8-E823</f>
        <v>107.56</v>
      </c>
      <c r="H823" s="52" t="n">
        <f aca="false">F823-E823</f>
        <v>76.066373245046</v>
      </c>
      <c r="I823" s="52" t="n">
        <f aca="false">MAX(H823,G823)</f>
        <v>107.56</v>
      </c>
      <c r="J823" s="4" t="str">
        <f aca="false">IFERROR("PN"&amp;SMALL(PN_list,COUNTIF(PN_list,"&lt;"&amp;I823*bar_per_m)+1),"&gt; max PN")</f>
        <v>PN16</v>
      </c>
      <c r="K823" s="4" t="str">
        <f aca="false">IF(L823="no","end at tank",IF(H823&lt;0,"NEGATIVE",IF(H823&lt;p_min-0.005,"low","OK")))</f>
        <v>OK</v>
      </c>
      <c r="L823" s="4" t="s">
        <v>414</v>
      </c>
    </row>
    <row r="824" customFormat="false" ht="15" hidden="false" customHeight="false" outlineLevel="0" collapsed="false">
      <c r="A824" s="4" t="s">
        <v>42</v>
      </c>
      <c r="B824" s="4" t="s">
        <v>368</v>
      </c>
      <c r="C824" s="47" t="n">
        <v>20258.86</v>
      </c>
      <c r="D824" s="48" t="n">
        <v>1561.91</v>
      </c>
      <c r="E824" s="49" t="n">
        <f aca="false">D824-cover</f>
        <v>1560.71</v>
      </c>
      <c r="F824" s="50" t="n">
        <f aca="false">'Z5 Ikana-Nkangamo'!S12-'Z5 Ikana-Nkangamo'!P12*C824/'Z5 Ikana-Nkangamo'!G12</f>
        <v>1636.44008146324</v>
      </c>
      <c r="G824" s="51" t="n">
        <f aca="false">'Z5 Ikana-Nkangamo'!$B$8-E824</f>
        <v>107.29</v>
      </c>
      <c r="H824" s="52" t="n">
        <f aca="false">F824-E824</f>
        <v>75.7300814632361</v>
      </c>
      <c r="I824" s="52" t="n">
        <f aca="false">MAX(H824,G824)</f>
        <v>107.29</v>
      </c>
      <c r="J824" s="4" t="str">
        <f aca="false">IFERROR("PN"&amp;SMALL(PN_list,COUNTIF(PN_list,"&lt;"&amp;I824*bar_per_m)+1),"&gt; max PN")</f>
        <v>PN16</v>
      </c>
      <c r="K824" s="4" t="str">
        <f aca="false">IF(L824="no","end at tank",IF(H824&lt;0,"NEGATIVE",IF(H824&lt;p_min-0.005,"low","OK")))</f>
        <v>OK</v>
      </c>
      <c r="L824" s="4" t="s">
        <v>414</v>
      </c>
    </row>
    <row r="825" customFormat="false" ht="15" hidden="false" customHeight="false" outlineLevel="0" collapsed="false">
      <c r="A825" s="4" t="s">
        <v>42</v>
      </c>
      <c r="B825" s="4" t="s">
        <v>368</v>
      </c>
      <c r="C825" s="47" t="n">
        <v>20308.89</v>
      </c>
      <c r="D825" s="48" t="n">
        <v>1560.26</v>
      </c>
      <c r="E825" s="49" t="n">
        <f aca="false">D825-cover</f>
        <v>1559.06</v>
      </c>
      <c r="F825" s="50" t="n">
        <f aca="false">'Z5 Ikana-Nkangamo'!S12-'Z5 Ikana-Nkangamo'!P12*C825/'Z5 Ikana-Nkangamo'!G12</f>
        <v>1636.37374990636</v>
      </c>
      <c r="G825" s="51" t="n">
        <f aca="false">'Z5 Ikana-Nkangamo'!$B$8-E825</f>
        <v>108.94</v>
      </c>
      <c r="H825" s="52" t="n">
        <f aca="false">F825-E825</f>
        <v>77.3137499063571</v>
      </c>
      <c r="I825" s="52" t="n">
        <f aca="false">MAX(H825,G825)</f>
        <v>108.94</v>
      </c>
      <c r="J825" s="4" t="str">
        <f aca="false">IFERROR("PN"&amp;SMALL(PN_list,COUNTIF(PN_list,"&lt;"&amp;I825*bar_per_m)+1),"&gt; max PN")</f>
        <v>PN16</v>
      </c>
      <c r="K825" s="4" t="str">
        <f aca="false">IF(L825="no","end at tank",IF(H825&lt;0,"NEGATIVE",IF(H825&lt;p_min-0.005,"low","OK")))</f>
        <v>OK</v>
      </c>
      <c r="L825" s="4" t="s">
        <v>414</v>
      </c>
    </row>
    <row r="826" customFormat="false" ht="15" hidden="false" customHeight="false" outlineLevel="0" collapsed="false">
      <c r="A826" s="4" t="s">
        <v>42</v>
      </c>
      <c r="B826" s="4" t="s">
        <v>368</v>
      </c>
      <c r="C826" s="47" t="n">
        <v>20358.9</v>
      </c>
      <c r="D826" s="48" t="n">
        <v>1559.37</v>
      </c>
      <c r="E826" s="49" t="n">
        <f aca="false">D826-cover</f>
        <v>1558.17</v>
      </c>
      <c r="F826" s="50" t="n">
        <f aca="false">'Z5 Ikana-Nkangamo'!S12-'Z5 Ikana-Nkangamo'!P12*C826/'Z5 Ikana-Nkangamo'!G12</f>
        <v>1636.30744486619</v>
      </c>
      <c r="G826" s="51" t="n">
        <f aca="false">'Z5 Ikana-Nkangamo'!$B$8-E826</f>
        <v>109.83</v>
      </c>
      <c r="H826" s="52" t="n">
        <f aca="false">F826-E826</f>
        <v>78.1374448661909</v>
      </c>
      <c r="I826" s="52" t="n">
        <f aca="false">MAX(H826,G826)</f>
        <v>109.83</v>
      </c>
      <c r="J826" s="4" t="str">
        <f aca="false">IFERROR("PN"&amp;SMALL(PN_list,COUNTIF(PN_list,"&lt;"&amp;I826*bar_per_m)+1),"&gt; max PN")</f>
        <v>PN16</v>
      </c>
      <c r="K826" s="4" t="str">
        <f aca="false">IF(L826="no","end at tank",IF(H826&lt;0,"NEGATIVE",IF(H826&lt;p_min-0.005,"low","OK")))</f>
        <v>OK</v>
      </c>
      <c r="L826" s="4" t="s">
        <v>414</v>
      </c>
    </row>
    <row r="827" customFormat="false" ht="15" hidden="false" customHeight="false" outlineLevel="0" collapsed="false">
      <c r="A827" s="4" t="s">
        <v>42</v>
      </c>
      <c r="B827" s="4" t="s">
        <v>368</v>
      </c>
      <c r="C827" s="47" t="n">
        <v>20408.91</v>
      </c>
      <c r="D827" s="48" t="n">
        <v>1558.16</v>
      </c>
      <c r="E827" s="49" t="n">
        <f aca="false">D827-cover</f>
        <v>1556.96</v>
      </c>
      <c r="F827" s="50" t="n">
        <f aca="false">'Z5 Ikana-Nkangamo'!S12-'Z5 Ikana-Nkangamo'!P12*C827/'Z5 Ikana-Nkangamo'!G12</f>
        <v>1636.24113982602</v>
      </c>
      <c r="G827" s="51" t="n">
        <f aca="false">'Z5 Ikana-Nkangamo'!$B$8-E827</f>
        <v>111.04</v>
      </c>
      <c r="H827" s="52" t="n">
        <f aca="false">F827-E827</f>
        <v>79.2811398260244</v>
      </c>
      <c r="I827" s="52" t="n">
        <f aca="false">MAX(H827,G827)</f>
        <v>111.04</v>
      </c>
      <c r="J827" s="4" t="str">
        <f aca="false">IFERROR("PN"&amp;SMALL(PN_list,COUNTIF(PN_list,"&lt;"&amp;I827*bar_per_m)+1),"&gt; max PN")</f>
        <v>PN16</v>
      </c>
      <c r="K827" s="4" t="str">
        <f aca="false">IF(L827="no","end at tank",IF(H827&lt;0,"NEGATIVE",IF(H827&lt;p_min-0.005,"low","OK")))</f>
        <v>OK</v>
      </c>
      <c r="L827" s="4" t="s">
        <v>414</v>
      </c>
    </row>
    <row r="828" customFormat="false" ht="15" hidden="false" customHeight="false" outlineLevel="0" collapsed="false">
      <c r="A828" s="4" t="s">
        <v>42</v>
      </c>
      <c r="B828" s="4" t="s">
        <v>368</v>
      </c>
      <c r="C828" s="47" t="n">
        <v>20458.91</v>
      </c>
      <c r="D828" s="48" t="n">
        <v>1558.02</v>
      </c>
      <c r="E828" s="49" t="n">
        <f aca="false">D828-cover</f>
        <v>1556.82</v>
      </c>
      <c r="F828" s="50" t="n">
        <f aca="false">'Z5 Ikana-Nkangamo'!S12-'Z5 Ikana-Nkangamo'!P12*C828/'Z5 Ikana-Nkangamo'!G12</f>
        <v>1636.17484804421</v>
      </c>
      <c r="G828" s="51" t="n">
        <f aca="false">'Z5 Ikana-Nkangamo'!$B$8-E828</f>
        <v>111.18</v>
      </c>
      <c r="H828" s="52" t="n">
        <f aca="false">F828-E828</f>
        <v>79.3548480442146</v>
      </c>
      <c r="I828" s="52" t="n">
        <f aca="false">MAX(H828,G828)</f>
        <v>111.18</v>
      </c>
      <c r="J828" s="4" t="str">
        <f aca="false">IFERROR("PN"&amp;SMALL(PN_list,COUNTIF(PN_list,"&lt;"&amp;I828*bar_per_m)+1),"&gt; max PN")</f>
        <v>PN16</v>
      </c>
      <c r="K828" s="4" t="str">
        <f aca="false">IF(L828="no","end at tank",IF(H828&lt;0,"NEGATIVE",IF(H828&lt;p_min-0.005,"low","OK")))</f>
        <v>OK</v>
      </c>
      <c r="L828" s="4" t="s">
        <v>414</v>
      </c>
    </row>
    <row r="829" customFormat="false" ht="15" hidden="false" customHeight="false" outlineLevel="0" collapsed="false">
      <c r="A829" s="4" t="s">
        <v>42</v>
      </c>
      <c r="B829" s="4" t="s">
        <v>368</v>
      </c>
      <c r="C829" s="47" t="n">
        <v>20508.94</v>
      </c>
      <c r="D829" s="48" t="n">
        <v>1556.35</v>
      </c>
      <c r="E829" s="49" t="n">
        <f aca="false">D829-cover</f>
        <v>1555.15</v>
      </c>
      <c r="F829" s="50" t="n">
        <f aca="false">'Z5 Ikana-Nkangamo'!S12-'Z5 Ikana-Nkangamo'!P12*C829/'Z5 Ikana-Nkangamo'!G12</f>
        <v>1636.10851648734</v>
      </c>
      <c r="G829" s="51" t="n">
        <f aca="false">'Z5 Ikana-Nkangamo'!$B$8-E829</f>
        <v>112.85</v>
      </c>
      <c r="H829" s="52" t="n">
        <f aca="false">F829-E829</f>
        <v>80.9585164873356</v>
      </c>
      <c r="I829" s="52" t="n">
        <f aca="false">MAX(H829,G829)</f>
        <v>112.85</v>
      </c>
      <c r="J829" s="4" t="str">
        <f aca="false">IFERROR("PN"&amp;SMALL(PN_list,COUNTIF(PN_list,"&lt;"&amp;I829*bar_per_m)+1),"&gt; max PN")</f>
        <v>PN16</v>
      </c>
      <c r="K829" s="4" t="str">
        <f aca="false">IF(L829="no","end at tank",IF(H829&lt;0,"NEGATIVE",IF(H829&lt;p_min-0.005,"low","OK")))</f>
        <v>OK</v>
      </c>
      <c r="L829" s="4" t="s">
        <v>414</v>
      </c>
    </row>
    <row r="830" customFormat="false" ht="15" hidden="false" customHeight="false" outlineLevel="0" collapsed="false">
      <c r="A830" s="4" t="s">
        <v>42</v>
      </c>
      <c r="B830" s="4" t="s">
        <v>368</v>
      </c>
      <c r="C830" s="47" t="n">
        <v>20559.02</v>
      </c>
      <c r="D830" s="48" t="n">
        <v>1553.59</v>
      </c>
      <c r="E830" s="49" t="n">
        <f aca="false">D830-cover</f>
        <v>1552.39</v>
      </c>
      <c r="F830" s="50" t="n">
        <f aca="false">'Z5 Ikana-Nkangamo'!S12-'Z5 Ikana-Nkangamo'!P12*C830/'Z5 Ikana-Nkangamo'!G12</f>
        <v>1636.04211863867</v>
      </c>
      <c r="G830" s="51" t="n">
        <f aca="false">'Z5 Ikana-Nkangamo'!$B$8-E830</f>
        <v>115.61</v>
      </c>
      <c r="H830" s="52" t="n">
        <f aca="false">F830-E830</f>
        <v>83.6521186386749</v>
      </c>
      <c r="I830" s="52" t="n">
        <f aca="false">MAX(H830,G830)</f>
        <v>115.61</v>
      </c>
      <c r="J830" s="4" t="str">
        <f aca="false">IFERROR("PN"&amp;SMALL(PN_list,COUNTIF(PN_list,"&lt;"&amp;I830*bar_per_m)+1),"&gt; max PN")</f>
        <v>PN16</v>
      </c>
      <c r="K830" s="4" t="str">
        <f aca="false">IF(L830="no","end at tank",IF(H830&lt;0,"NEGATIVE",IF(H830&lt;p_min-0.005,"low","OK")))</f>
        <v>OK</v>
      </c>
      <c r="L830" s="4" t="s">
        <v>414</v>
      </c>
    </row>
    <row r="831" customFormat="false" ht="15" hidden="false" customHeight="false" outlineLevel="0" collapsed="false">
      <c r="A831" s="4" t="s">
        <v>42</v>
      </c>
      <c r="B831" s="4" t="s">
        <v>368</v>
      </c>
      <c r="C831" s="47" t="n">
        <v>20609.02</v>
      </c>
      <c r="D831" s="48" t="n">
        <v>1553.42</v>
      </c>
      <c r="E831" s="49" t="n">
        <f aca="false">D831-cover</f>
        <v>1552.22</v>
      </c>
      <c r="F831" s="50" t="n">
        <f aca="false">'Z5 Ikana-Nkangamo'!S12-'Z5 Ikana-Nkangamo'!P12*C831/'Z5 Ikana-Nkangamo'!G12</f>
        <v>1635.97582685686</v>
      </c>
      <c r="G831" s="51" t="n">
        <f aca="false">'Z5 Ikana-Nkangamo'!$B$8-E831</f>
        <v>115.78</v>
      </c>
      <c r="H831" s="52" t="n">
        <f aca="false">F831-E831</f>
        <v>83.7558268568648</v>
      </c>
      <c r="I831" s="52" t="n">
        <f aca="false">MAX(H831,G831)</f>
        <v>115.78</v>
      </c>
      <c r="J831" s="4" t="str">
        <f aca="false">IFERROR("PN"&amp;SMALL(PN_list,COUNTIF(PN_list,"&lt;"&amp;I831*bar_per_m)+1),"&gt; max PN")</f>
        <v>PN16</v>
      </c>
      <c r="K831" s="4" t="str">
        <f aca="false">IF(L831="no","end at tank",IF(H831&lt;0,"NEGATIVE",IF(H831&lt;p_min-0.005,"low","OK")))</f>
        <v>OK</v>
      </c>
      <c r="L831" s="4" t="s">
        <v>414</v>
      </c>
    </row>
    <row r="832" customFormat="false" ht="15" hidden="false" customHeight="false" outlineLevel="0" collapsed="false">
      <c r="A832" s="4" t="s">
        <v>42</v>
      </c>
      <c r="B832" s="4" t="s">
        <v>368</v>
      </c>
      <c r="C832" s="47" t="n">
        <v>20659.04</v>
      </c>
      <c r="D832" s="48" t="n">
        <v>1551.78</v>
      </c>
      <c r="E832" s="49" t="n">
        <f aca="false">D832-cover</f>
        <v>1550.58</v>
      </c>
      <c r="F832" s="50" t="n">
        <f aca="false">'Z5 Ikana-Nkangamo'!S12-'Z5 Ikana-Nkangamo'!P12*C832/'Z5 Ikana-Nkangamo'!G12</f>
        <v>1635.90950855834</v>
      </c>
      <c r="G832" s="51" t="n">
        <f aca="false">'Z5 Ikana-Nkangamo'!$B$8-E832</f>
        <v>117.42</v>
      </c>
      <c r="H832" s="52" t="n">
        <f aca="false">F832-E832</f>
        <v>85.3295085583422</v>
      </c>
      <c r="I832" s="52" t="n">
        <f aca="false">MAX(H832,G832)</f>
        <v>117.42</v>
      </c>
      <c r="J832" s="4" t="str">
        <f aca="false">IFERROR("PN"&amp;SMALL(PN_list,COUNTIF(PN_list,"&lt;"&amp;I832*bar_per_m)+1),"&gt; max PN")</f>
        <v>PN16</v>
      </c>
      <c r="K832" s="4" t="str">
        <f aca="false">IF(L832="no","end at tank",IF(H832&lt;0,"NEGATIVE",IF(H832&lt;p_min-0.005,"low","OK")))</f>
        <v>OK</v>
      </c>
      <c r="L832" s="4" t="s">
        <v>414</v>
      </c>
    </row>
    <row r="833" customFormat="false" ht="15" hidden="false" customHeight="false" outlineLevel="0" collapsed="false">
      <c r="A833" s="4" t="s">
        <v>42</v>
      </c>
      <c r="B833" s="4" t="s">
        <v>368</v>
      </c>
      <c r="C833" s="47" t="n">
        <v>20709.05</v>
      </c>
      <c r="D833" s="48" t="n">
        <v>1551.36</v>
      </c>
      <c r="E833" s="49" t="n">
        <f aca="false">D833-cover</f>
        <v>1550.16</v>
      </c>
      <c r="F833" s="50" t="n">
        <f aca="false">'Z5 Ikana-Nkangamo'!S12-'Z5 Ikana-Nkangamo'!P12*C833/'Z5 Ikana-Nkangamo'!G12</f>
        <v>1635.84320351818</v>
      </c>
      <c r="G833" s="51" t="n">
        <f aca="false">'Z5 Ikana-Nkangamo'!$B$8-E833</f>
        <v>117.84</v>
      </c>
      <c r="H833" s="52" t="n">
        <f aca="false">F833-E833</f>
        <v>85.683203518176</v>
      </c>
      <c r="I833" s="52" t="n">
        <f aca="false">MAX(H833,G833)</f>
        <v>117.84</v>
      </c>
      <c r="J833" s="4" t="str">
        <f aca="false">IFERROR("PN"&amp;SMALL(PN_list,COUNTIF(PN_list,"&lt;"&amp;I833*bar_per_m)+1),"&gt; max PN")</f>
        <v>PN16</v>
      </c>
      <c r="K833" s="4" t="str">
        <f aca="false">IF(L833="no","end at tank",IF(H833&lt;0,"NEGATIVE",IF(H833&lt;p_min-0.005,"low","OK")))</f>
        <v>OK</v>
      </c>
      <c r="L833" s="4" t="s">
        <v>414</v>
      </c>
    </row>
    <row r="834" customFormat="false" ht="15" hidden="false" customHeight="false" outlineLevel="0" collapsed="false">
      <c r="A834" s="4" t="s">
        <v>42</v>
      </c>
      <c r="B834" s="4" t="s">
        <v>368</v>
      </c>
      <c r="C834" s="47" t="n">
        <v>20759.25</v>
      </c>
      <c r="D834" s="48" t="n">
        <v>1546.8</v>
      </c>
      <c r="E834" s="49" t="n">
        <f aca="false">D834-cover</f>
        <v>1545.6</v>
      </c>
      <c r="F834" s="50" t="n">
        <f aca="false">'Z5 Ikana-Nkangamo'!S12-'Z5 Ikana-Nkangamo'!P12*C834/'Z5 Ikana-Nkangamo'!G12</f>
        <v>1635.77664656924</v>
      </c>
      <c r="G834" s="51" t="n">
        <f aca="false">'Z5 Ikana-Nkangamo'!$B$8-E834</f>
        <v>122.4</v>
      </c>
      <c r="H834" s="52" t="n">
        <f aca="false">F834-E834</f>
        <v>90.1766465692388</v>
      </c>
      <c r="I834" s="52" t="n">
        <f aca="false">MAX(H834,G834)</f>
        <v>122.4</v>
      </c>
      <c r="J834" s="4" t="str">
        <f aca="false">IFERROR("PN"&amp;SMALL(PN_list,COUNTIF(PN_list,"&lt;"&amp;I834*bar_per_m)+1),"&gt; max PN")</f>
        <v>PN16</v>
      </c>
      <c r="K834" s="4" t="str">
        <f aca="false">IF(L834="no","end at tank",IF(H834&lt;0,"NEGATIVE",IF(H834&lt;p_min-0.005,"low","OK")))</f>
        <v>OK</v>
      </c>
      <c r="L834" s="4" t="s">
        <v>414</v>
      </c>
    </row>
    <row r="835" customFormat="false" ht="15" hidden="false" customHeight="false" outlineLevel="0" collapsed="false">
      <c r="A835" s="4" t="s">
        <v>42</v>
      </c>
      <c r="B835" s="4" t="s">
        <v>368</v>
      </c>
      <c r="C835" s="47" t="n">
        <v>20809.25</v>
      </c>
      <c r="D835" s="48" t="n">
        <v>1546.52</v>
      </c>
      <c r="E835" s="49" t="n">
        <f aca="false">D835-cover</f>
        <v>1545.32</v>
      </c>
      <c r="F835" s="50" t="n">
        <f aca="false">'Z5 Ikana-Nkangamo'!S12-'Z5 Ikana-Nkangamo'!P12*C835/'Z5 Ikana-Nkangamo'!G12</f>
        <v>1635.71035478743</v>
      </c>
      <c r="G835" s="51" t="n">
        <f aca="false">'Z5 Ikana-Nkangamo'!$B$8-E835</f>
        <v>122.68</v>
      </c>
      <c r="H835" s="52" t="n">
        <f aca="false">F835-E835</f>
        <v>90.3903547874288</v>
      </c>
      <c r="I835" s="52" t="n">
        <f aca="false">MAX(H835,G835)</f>
        <v>122.68</v>
      </c>
      <c r="J835" s="4" t="str">
        <f aca="false">IFERROR("PN"&amp;SMALL(PN_list,COUNTIF(PN_list,"&lt;"&amp;I835*bar_per_m)+1),"&gt; max PN")</f>
        <v>PN16</v>
      </c>
      <c r="K835" s="4" t="str">
        <f aca="false">IF(L835="no","end at tank",IF(H835&lt;0,"NEGATIVE",IF(H835&lt;p_min-0.005,"low","OK")))</f>
        <v>OK</v>
      </c>
      <c r="L835" s="4" t="s">
        <v>414</v>
      </c>
    </row>
    <row r="836" customFormat="false" ht="15" hidden="false" customHeight="false" outlineLevel="0" collapsed="false">
      <c r="A836" s="4" t="s">
        <v>42</v>
      </c>
      <c r="B836" s="4" t="s">
        <v>368</v>
      </c>
      <c r="C836" s="47" t="n">
        <v>20859.34</v>
      </c>
      <c r="D836" s="48" t="n">
        <v>1543.58</v>
      </c>
      <c r="E836" s="49" t="n">
        <f aca="false">D836-cover</f>
        <v>1542.38</v>
      </c>
      <c r="F836" s="50" t="n">
        <f aca="false">'Z5 Ikana-Nkangamo'!S12-'Z5 Ikana-Nkangamo'!P12*C836/'Z5 Ikana-Nkangamo'!G12</f>
        <v>1635.64394368041</v>
      </c>
      <c r="G836" s="51" t="n">
        <f aca="false">'Z5 Ikana-Nkangamo'!$B$8-E836</f>
        <v>125.62</v>
      </c>
      <c r="H836" s="52" t="n">
        <f aca="false">F836-E836</f>
        <v>93.2639436804116</v>
      </c>
      <c r="I836" s="52" t="n">
        <f aca="false">MAX(H836,G836)</f>
        <v>125.62</v>
      </c>
      <c r="J836" s="4" t="str">
        <f aca="false">IFERROR("PN"&amp;SMALL(PN_list,COUNTIF(PN_list,"&lt;"&amp;I836*bar_per_m)+1),"&gt; max PN")</f>
        <v>PN16</v>
      </c>
      <c r="K836" s="4" t="str">
        <f aca="false">IF(L836="no","end at tank",IF(H836&lt;0,"NEGATIVE",IF(H836&lt;p_min-0.005,"low","OK")))</f>
        <v>OK</v>
      </c>
      <c r="L836" s="4" t="s">
        <v>414</v>
      </c>
    </row>
    <row r="837" customFormat="false" ht="15" hidden="false" customHeight="false" outlineLevel="0" collapsed="false">
      <c r="A837" s="4" t="s">
        <v>42</v>
      </c>
      <c r="B837" s="4" t="s">
        <v>368</v>
      </c>
      <c r="C837" s="47" t="n">
        <v>20909.43</v>
      </c>
      <c r="D837" s="48" t="n">
        <v>1540.56</v>
      </c>
      <c r="E837" s="49" t="n">
        <f aca="false">D837-cover</f>
        <v>1539.36</v>
      </c>
      <c r="F837" s="50" t="n">
        <f aca="false">'Z5 Ikana-Nkangamo'!S12-'Z5 Ikana-Nkangamo'!P12*C837/'Z5 Ikana-Nkangamo'!G12</f>
        <v>1635.57753257339</v>
      </c>
      <c r="G837" s="51" t="n">
        <f aca="false">'Z5 Ikana-Nkangamo'!$B$8-E837</f>
        <v>128.64</v>
      </c>
      <c r="H837" s="52" t="n">
        <f aca="false">F837-E837</f>
        <v>96.2175325733945</v>
      </c>
      <c r="I837" s="52" t="n">
        <f aca="false">MAX(H837,G837)</f>
        <v>128.64</v>
      </c>
      <c r="J837" s="4" t="str">
        <f aca="false">IFERROR("PN"&amp;SMALL(PN_list,COUNTIF(PN_list,"&lt;"&amp;I837*bar_per_m)+1),"&gt; max PN")</f>
        <v>PN16</v>
      </c>
      <c r="K837" s="4" t="str">
        <f aca="false">IF(L837="no","end at tank",IF(H837&lt;0,"NEGATIVE",IF(H837&lt;p_min-0.005,"low","OK")))</f>
        <v>OK</v>
      </c>
      <c r="L837" s="4" t="s">
        <v>414</v>
      </c>
    </row>
    <row r="838" customFormat="false" ht="15" hidden="false" customHeight="false" outlineLevel="0" collapsed="false">
      <c r="A838" s="4" t="s">
        <v>42</v>
      </c>
      <c r="B838" s="4" t="s">
        <v>368</v>
      </c>
      <c r="C838" s="47" t="n">
        <v>20959.48</v>
      </c>
      <c r="D838" s="48" t="n">
        <v>1538.39</v>
      </c>
      <c r="E838" s="49" t="n">
        <f aca="false">D838-cover</f>
        <v>1537.19</v>
      </c>
      <c r="F838" s="50" t="n">
        <f aca="false">'Z5 Ikana-Nkangamo'!S12-'Z5 Ikana-Nkangamo'!P12*C838/'Z5 Ikana-Nkangamo'!G12</f>
        <v>1635.5111744998</v>
      </c>
      <c r="G838" s="51" t="n">
        <f aca="false">'Z5 Ikana-Nkangamo'!$B$8-E838</f>
        <v>130.81</v>
      </c>
      <c r="H838" s="52" t="n">
        <f aca="false">F838-E838</f>
        <v>98.3211744998025</v>
      </c>
      <c r="I838" s="52" t="n">
        <f aca="false">MAX(H838,G838)</f>
        <v>130.81</v>
      </c>
      <c r="J838" s="4" t="str">
        <f aca="false">IFERROR("PN"&amp;SMALL(PN_list,COUNTIF(PN_list,"&lt;"&amp;I838*bar_per_m)+1),"&gt; max PN")</f>
        <v>PN16</v>
      </c>
      <c r="K838" s="4" t="str">
        <f aca="false">IF(L838="no","end at tank",IF(H838&lt;0,"NEGATIVE",IF(H838&lt;p_min-0.005,"low","OK")))</f>
        <v>OK</v>
      </c>
      <c r="L838" s="4" t="s">
        <v>414</v>
      </c>
    </row>
    <row r="839" customFormat="false" ht="15" hidden="false" customHeight="false" outlineLevel="0" collapsed="false">
      <c r="A839" s="4" t="s">
        <v>42</v>
      </c>
      <c r="B839" s="4" t="s">
        <v>368</v>
      </c>
      <c r="C839" s="47" t="n">
        <v>21009.51</v>
      </c>
      <c r="D839" s="48" t="n">
        <v>1536.67</v>
      </c>
      <c r="E839" s="49" t="n">
        <f aca="false">D839-cover</f>
        <v>1535.47</v>
      </c>
      <c r="F839" s="50" t="n">
        <f aca="false">'Z5 Ikana-Nkangamo'!S12-'Z5 Ikana-Nkangamo'!P12*C839/'Z5 Ikana-Nkangamo'!G12</f>
        <v>1635.44484294292</v>
      </c>
      <c r="G839" s="51" t="n">
        <f aca="false">'Z5 Ikana-Nkangamo'!$B$8-E839</f>
        <v>132.53</v>
      </c>
      <c r="H839" s="52" t="n">
        <f aca="false">F839-E839</f>
        <v>99.9748429429235</v>
      </c>
      <c r="I839" s="52" t="n">
        <f aca="false">MAX(H839,G839)</f>
        <v>132.53</v>
      </c>
      <c r="J839" s="4" t="str">
        <f aca="false">IFERROR("PN"&amp;SMALL(PN_list,COUNTIF(PN_list,"&lt;"&amp;I839*bar_per_m)+1),"&gt; max PN")</f>
        <v>PN16</v>
      </c>
      <c r="K839" s="4" t="str">
        <f aca="false">IF(L839="no","end at tank",IF(H839&lt;0,"NEGATIVE",IF(H839&lt;p_min-0.005,"low","OK")))</f>
        <v>OK</v>
      </c>
      <c r="L839" s="4" t="s">
        <v>414</v>
      </c>
    </row>
    <row r="840" customFormat="false" ht="15" hidden="false" customHeight="false" outlineLevel="0" collapsed="false">
      <c r="A840" s="4" t="s">
        <v>42</v>
      </c>
      <c r="B840" s="4" t="s">
        <v>368</v>
      </c>
      <c r="C840" s="47" t="n">
        <v>21059.57</v>
      </c>
      <c r="D840" s="48" t="n">
        <v>1534.2</v>
      </c>
      <c r="E840" s="49" t="n">
        <f aca="false">D840-cover</f>
        <v>1533</v>
      </c>
      <c r="F840" s="50" t="n">
        <f aca="false">'Z5 Ikana-Nkangamo'!S12-'Z5 Ikana-Nkangamo'!P12*C840/'Z5 Ikana-Nkangamo'!G12</f>
        <v>1635.37847161098</v>
      </c>
      <c r="G840" s="51" t="n">
        <f aca="false">'Z5 Ikana-Nkangamo'!$B$8-E840</f>
        <v>135</v>
      </c>
      <c r="H840" s="52" t="n">
        <f aca="false">F840-E840</f>
        <v>102.378471610975</v>
      </c>
      <c r="I840" s="52" t="n">
        <f aca="false">MAX(H840,G840)</f>
        <v>135</v>
      </c>
      <c r="J840" s="4" t="str">
        <f aca="false">IFERROR("PN"&amp;SMALL(PN_list,COUNTIF(PN_list,"&lt;"&amp;I840*bar_per_m)+1),"&gt; max PN")</f>
        <v>PN16</v>
      </c>
      <c r="K840" s="4" t="str">
        <f aca="false">IF(L840="no","end at tank",IF(H840&lt;0,"NEGATIVE",IF(H840&lt;p_min-0.005,"low","OK")))</f>
        <v>OK</v>
      </c>
      <c r="L840" s="4" t="s">
        <v>414</v>
      </c>
    </row>
    <row r="841" customFormat="false" ht="15" hidden="false" customHeight="false" outlineLevel="0" collapsed="false">
      <c r="A841" s="4" t="s">
        <v>42</v>
      </c>
      <c r="B841" s="4" t="s">
        <v>368</v>
      </c>
      <c r="C841" s="47" t="n">
        <v>21109.65</v>
      </c>
      <c r="D841" s="48" t="n">
        <v>1531.33</v>
      </c>
      <c r="E841" s="49" t="n">
        <f aca="false">D841-cover</f>
        <v>1530.13</v>
      </c>
      <c r="F841" s="50" t="n">
        <f aca="false">'Z5 Ikana-Nkangamo'!S12-'Z5 Ikana-Nkangamo'!P12*C841/'Z5 Ikana-Nkangamo'!G12</f>
        <v>1635.31207376231</v>
      </c>
      <c r="G841" s="51" t="n">
        <f aca="false">'Z5 Ikana-Nkangamo'!$B$8-E841</f>
        <v>137.87</v>
      </c>
      <c r="H841" s="52" t="n">
        <f aca="false">F841-E841</f>
        <v>105.182073762315</v>
      </c>
      <c r="I841" s="52" t="n">
        <f aca="false">MAX(H841,G841)</f>
        <v>137.87</v>
      </c>
      <c r="J841" s="4" t="str">
        <f aca="false">IFERROR("PN"&amp;SMALL(PN_list,COUNTIF(PN_list,"&lt;"&amp;I841*bar_per_m)+1),"&gt; max PN")</f>
        <v>PN16</v>
      </c>
      <c r="K841" s="4" t="str">
        <f aca="false">IF(L841="no","end at tank",IF(H841&lt;0,"NEGATIVE",IF(H841&lt;p_min-0.005,"low","OK")))</f>
        <v>OK</v>
      </c>
      <c r="L841" s="4" t="s">
        <v>414</v>
      </c>
    </row>
    <row r="842" customFormat="false" ht="15" hidden="false" customHeight="false" outlineLevel="0" collapsed="false">
      <c r="A842" s="4" t="s">
        <v>42</v>
      </c>
      <c r="B842" s="4" t="s">
        <v>368</v>
      </c>
      <c r="C842" s="47" t="n">
        <v>21159.68</v>
      </c>
      <c r="D842" s="48" t="n">
        <v>1529.77</v>
      </c>
      <c r="E842" s="49" t="n">
        <f aca="false">D842-cover</f>
        <v>1528.57</v>
      </c>
      <c r="F842" s="50" t="n">
        <f aca="false">'Z5 Ikana-Nkangamo'!S12-'Z5 Ikana-Nkangamo'!P12*C842/'Z5 Ikana-Nkangamo'!G12</f>
        <v>1635.24574220544</v>
      </c>
      <c r="G842" s="51" t="n">
        <f aca="false">'Z5 Ikana-Nkangamo'!$B$8-E842</f>
        <v>139.43</v>
      </c>
      <c r="H842" s="52" t="n">
        <f aca="false">F842-E842</f>
        <v>106.675742205436</v>
      </c>
      <c r="I842" s="52" t="n">
        <f aca="false">MAX(H842,G842)</f>
        <v>139.43</v>
      </c>
      <c r="J842" s="4" t="str">
        <f aca="false">IFERROR("PN"&amp;SMALL(PN_list,COUNTIF(PN_list,"&lt;"&amp;I842*bar_per_m)+1),"&gt; max PN")</f>
        <v>PN16</v>
      </c>
      <c r="K842" s="4" t="str">
        <f aca="false">IF(L842="no","end at tank",IF(H842&lt;0,"NEGATIVE",IF(H842&lt;p_min-0.005,"low","OK")))</f>
        <v>OK</v>
      </c>
      <c r="L842" s="4" t="s">
        <v>414</v>
      </c>
    </row>
    <row r="843" customFormat="false" ht="15" hidden="false" customHeight="false" outlineLevel="0" collapsed="false">
      <c r="A843" s="4" t="s">
        <v>42</v>
      </c>
      <c r="B843" s="4" t="s">
        <v>368</v>
      </c>
      <c r="C843" s="47" t="n">
        <v>21209.78</v>
      </c>
      <c r="D843" s="48" t="n">
        <v>1526.49</v>
      </c>
      <c r="E843" s="49" t="n">
        <f aca="false">D843-cover</f>
        <v>1525.29</v>
      </c>
      <c r="F843" s="50" t="n">
        <f aca="false">'Z5 Ikana-Nkangamo'!S12-'Z5 Ikana-Nkangamo'!P12*C843/'Z5 Ikana-Nkangamo'!G12</f>
        <v>1635.17931784006</v>
      </c>
      <c r="G843" s="51" t="n">
        <f aca="false">'Z5 Ikana-Nkangamo'!$B$8-E843</f>
        <v>142.71</v>
      </c>
      <c r="H843" s="52" t="n">
        <f aca="false">F843-E843</f>
        <v>109.889317840062</v>
      </c>
      <c r="I843" s="52" t="n">
        <f aca="false">MAX(H843,G843)</f>
        <v>142.71</v>
      </c>
      <c r="J843" s="4" t="str">
        <f aca="false">IFERROR("PN"&amp;SMALL(PN_list,COUNTIF(PN_list,"&lt;"&amp;I843*bar_per_m)+1),"&gt; max PN")</f>
        <v>PN16</v>
      </c>
      <c r="K843" s="4" t="str">
        <f aca="false">IF(L843="no","end at tank",IF(H843&lt;0,"NEGATIVE",IF(H843&lt;p_min-0.005,"low","OK")))</f>
        <v>OK</v>
      </c>
      <c r="L843" s="4" t="s">
        <v>414</v>
      </c>
    </row>
    <row r="844" customFormat="false" ht="15" hidden="false" customHeight="false" outlineLevel="0" collapsed="false">
      <c r="A844" s="4" t="s">
        <v>42</v>
      </c>
      <c r="B844" s="4" t="s">
        <v>368</v>
      </c>
      <c r="C844" s="47" t="n">
        <v>21259.82</v>
      </c>
      <c r="D844" s="48" t="n">
        <v>1524.57</v>
      </c>
      <c r="E844" s="49" t="n">
        <f aca="false">D844-cover</f>
        <v>1523.37</v>
      </c>
      <c r="F844" s="50" t="n">
        <f aca="false">'Z5 Ikana-Nkangamo'!S12-'Z5 Ikana-Nkangamo'!P12*C844/'Z5 Ikana-Nkangamo'!G12</f>
        <v>1635.11297302483</v>
      </c>
      <c r="G844" s="51" t="n">
        <f aca="false">'Z5 Ikana-Nkangamo'!$B$8-E844</f>
        <v>144.63</v>
      </c>
      <c r="H844" s="52" t="n">
        <f aca="false">F844-E844</f>
        <v>111.742973024827</v>
      </c>
      <c r="I844" s="52" t="n">
        <f aca="false">MAX(H844,G844)</f>
        <v>144.63</v>
      </c>
      <c r="J844" s="4" t="str">
        <f aca="false">IFERROR("PN"&amp;SMALL(PN_list,COUNTIF(PN_list,"&lt;"&amp;I844*bar_per_m)+1),"&gt; max PN")</f>
        <v>PN16</v>
      </c>
      <c r="K844" s="4" t="str">
        <f aca="false">IF(L844="no","end at tank",IF(H844&lt;0,"NEGATIVE",IF(H844&lt;p_min-0.005,"low","OK")))</f>
        <v>OK</v>
      </c>
      <c r="L844" s="4" t="s">
        <v>414</v>
      </c>
    </row>
    <row r="845" customFormat="false" ht="15" hidden="false" customHeight="false" outlineLevel="0" collapsed="false">
      <c r="A845" s="4" t="s">
        <v>42</v>
      </c>
      <c r="B845" s="4" t="s">
        <v>368</v>
      </c>
      <c r="C845" s="47" t="n">
        <v>21309.88</v>
      </c>
      <c r="D845" s="48" t="n">
        <v>1522.14</v>
      </c>
      <c r="E845" s="49" t="n">
        <f aca="false">D845-cover</f>
        <v>1520.94</v>
      </c>
      <c r="F845" s="50" t="n">
        <f aca="false">'Z5 Ikana-Nkangamo'!S12-'Z5 Ikana-Nkangamo'!P12*C845/'Z5 Ikana-Nkangamo'!G12</f>
        <v>1635.04660169288</v>
      </c>
      <c r="G845" s="51" t="n">
        <f aca="false">'Z5 Ikana-Nkangamo'!$B$8-E845</f>
        <v>147.06</v>
      </c>
      <c r="H845" s="52" t="n">
        <f aca="false">F845-E845</f>
        <v>114.106601692878</v>
      </c>
      <c r="I845" s="52" t="n">
        <f aca="false">MAX(H845,G845)</f>
        <v>147.06</v>
      </c>
      <c r="J845" s="4" t="str">
        <f aca="false">IFERROR("PN"&amp;SMALL(PN_list,COUNTIF(PN_list,"&lt;"&amp;I845*bar_per_m)+1),"&gt; max PN")</f>
        <v>PN16</v>
      </c>
      <c r="K845" s="4" t="str">
        <f aca="false">IF(L845="no","end at tank",IF(H845&lt;0,"NEGATIVE",IF(H845&lt;p_min-0.005,"low","OK")))</f>
        <v>OK</v>
      </c>
      <c r="L845" s="4" t="s">
        <v>414</v>
      </c>
    </row>
    <row r="846" customFormat="false" ht="15" hidden="false" customHeight="false" outlineLevel="0" collapsed="false">
      <c r="A846" s="4" t="s">
        <v>42</v>
      </c>
      <c r="B846" s="4" t="s">
        <v>368</v>
      </c>
      <c r="C846" s="47" t="n">
        <v>21359.93</v>
      </c>
      <c r="D846" s="48" t="n">
        <v>1519.98</v>
      </c>
      <c r="E846" s="49" t="n">
        <f aca="false">D846-cover</f>
        <v>1518.78</v>
      </c>
      <c r="F846" s="50" t="n">
        <f aca="false">'Z5 Ikana-Nkangamo'!S12-'Z5 Ikana-Nkangamo'!P12*C846/'Z5 Ikana-Nkangamo'!G12</f>
        <v>1634.98024361929</v>
      </c>
      <c r="G846" s="51" t="n">
        <f aca="false">'Z5 Ikana-Nkangamo'!$B$8-E846</f>
        <v>149.22</v>
      </c>
      <c r="H846" s="52" t="n">
        <f aca="false">F846-E846</f>
        <v>116.200243619287</v>
      </c>
      <c r="I846" s="52" t="n">
        <f aca="false">MAX(H846,G846)</f>
        <v>149.22</v>
      </c>
      <c r="J846" s="4" t="str">
        <f aca="false">IFERROR("PN"&amp;SMALL(PN_list,COUNTIF(PN_list,"&lt;"&amp;I846*bar_per_m)+1),"&gt; max PN")</f>
        <v>PN16</v>
      </c>
      <c r="K846" s="4" t="str">
        <f aca="false">IF(L846="no","end at tank",IF(H846&lt;0,"NEGATIVE",IF(H846&lt;p_min-0.005,"low","OK")))</f>
        <v>OK</v>
      </c>
      <c r="L846" s="4" t="s">
        <v>414</v>
      </c>
    </row>
    <row r="847" customFormat="false" ht="15" hidden="false" customHeight="false" outlineLevel="0" collapsed="false">
      <c r="A847" s="4" t="s">
        <v>42</v>
      </c>
      <c r="B847" s="4" t="s">
        <v>368</v>
      </c>
      <c r="C847" s="47" t="n">
        <v>21409.97</v>
      </c>
      <c r="D847" s="48" t="n">
        <v>1517.9</v>
      </c>
      <c r="E847" s="49" t="n">
        <f aca="false">D847-cover</f>
        <v>1516.7</v>
      </c>
      <c r="F847" s="50" t="n">
        <f aca="false">'Z5 Ikana-Nkangamo'!S12-'Z5 Ikana-Nkangamo'!P12*C847/'Z5 Ikana-Nkangamo'!G12</f>
        <v>1634.91389880405</v>
      </c>
      <c r="G847" s="51" t="n">
        <f aca="false">'Z5 Ikana-Nkangamo'!$B$8-E847</f>
        <v>151.3</v>
      </c>
      <c r="H847" s="52" t="n">
        <f aca="false">F847-E847</f>
        <v>118.213898804051</v>
      </c>
      <c r="I847" s="52" t="n">
        <f aca="false">MAX(H847,G847)</f>
        <v>151.3</v>
      </c>
      <c r="J847" s="4" t="str">
        <f aca="false">IFERROR("PN"&amp;SMALL(PN_list,COUNTIF(PN_list,"&lt;"&amp;I847*bar_per_m)+1),"&gt; max PN")</f>
        <v>PN16</v>
      </c>
      <c r="K847" s="4" t="str">
        <f aca="false">IF(L847="no","end at tank",IF(H847&lt;0,"NEGATIVE",IF(H847&lt;p_min-0.005,"low","OK")))</f>
        <v>OK</v>
      </c>
      <c r="L847" s="4" t="s">
        <v>414</v>
      </c>
    </row>
    <row r="848" customFormat="false" ht="15" hidden="false" customHeight="false" outlineLevel="0" collapsed="false">
      <c r="A848" s="4" t="s">
        <v>42</v>
      </c>
      <c r="B848" s="4" t="s">
        <v>368</v>
      </c>
      <c r="C848" s="47" t="n">
        <v>21460.03</v>
      </c>
      <c r="D848" s="48" t="n">
        <v>1515.48</v>
      </c>
      <c r="E848" s="49" t="n">
        <f aca="false">D848-cover</f>
        <v>1514.28</v>
      </c>
      <c r="F848" s="50" t="n">
        <f aca="false">'Z5 Ikana-Nkangamo'!S12-'Z5 Ikana-Nkangamo'!P12*C848/'Z5 Ikana-Nkangamo'!G12</f>
        <v>1634.8475274721</v>
      </c>
      <c r="G848" s="51" t="n">
        <f aca="false">'Z5 Ikana-Nkangamo'!$B$8-E848</f>
        <v>153.72</v>
      </c>
      <c r="H848" s="52" t="n">
        <f aca="false">F848-E848</f>
        <v>120.567527472103</v>
      </c>
      <c r="I848" s="52" t="n">
        <f aca="false">MAX(H848,G848)</f>
        <v>153.72</v>
      </c>
      <c r="J848" s="4" t="str">
        <f aca="false">IFERROR("PN"&amp;SMALL(PN_list,COUNTIF(PN_list,"&lt;"&amp;I848*bar_per_m)+1),"&gt; max PN")</f>
        <v>PN16</v>
      </c>
      <c r="K848" s="4" t="str">
        <f aca="false">IF(L848="no","end at tank",IF(H848&lt;0,"NEGATIVE",IF(H848&lt;p_min-0.005,"low","OK")))</f>
        <v>OK</v>
      </c>
      <c r="L848" s="4" t="s">
        <v>414</v>
      </c>
    </row>
    <row r="849" customFormat="false" ht="15" hidden="false" customHeight="false" outlineLevel="0" collapsed="false">
      <c r="A849" s="4" t="s">
        <v>42</v>
      </c>
      <c r="B849" s="4" t="s">
        <v>368</v>
      </c>
      <c r="C849" s="47" t="n">
        <v>21510.05</v>
      </c>
      <c r="D849" s="48" t="n">
        <v>1513.9</v>
      </c>
      <c r="E849" s="49" t="n">
        <f aca="false">D849-cover</f>
        <v>1512.7</v>
      </c>
      <c r="F849" s="50" t="n">
        <f aca="false">'Z5 Ikana-Nkangamo'!S12-'Z5 Ikana-Nkangamo'!P12*C849/'Z5 Ikana-Nkangamo'!G12</f>
        <v>1634.78120917358</v>
      </c>
      <c r="G849" s="51" t="n">
        <f aca="false">'Z5 Ikana-Nkangamo'!$B$8-E849</f>
        <v>155.3</v>
      </c>
      <c r="H849" s="52" t="n">
        <f aca="false">F849-E849</f>
        <v>122.08120917358</v>
      </c>
      <c r="I849" s="52" t="n">
        <f aca="false">MAX(H849,G849)</f>
        <v>155.3</v>
      </c>
      <c r="J849" s="4" t="str">
        <f aca="false">IFERROR("PN"&amp;SMALL(PN_list,COUNTIF(PN_list,"&lt;"&amp;I849*bar_per_m)+1),"&gt; max PN")</f>
        <v>PN16</v>
      </c>
      <c r="K849" s="4" t="str">
        <f aca="false">IF(L849="no","end at tank",IF(H849&lt;0,"NEGATIVE",IF(H849&lt;p_min-0.005,"low","OK")))</f>
        <v>OK</v>
      </c>
      <c r="L849" s="4" t="s">
        <v>414</v>
      </c>
    </row>
    <row r="850" customFormat="false" ht="15" hidden="false" customHeight="false" outlineLevel="0" collapsed="false">
      <c r="A850" s="4" t="s">
        <v>42</v>
      </c>
      <c r="B850" s="4" t="s">
        <v>368</v>
      </c>
      <c r="C850" s="47" t="n">
        <v>21560.09</v>
      </c>
      <c r="D850" s="48" t="n">
        <v>1511.94</v>
      </c>
      <c r="E850" s="49" t="n">
        <f aca="false">D850-cover</f>
        <v>1510.74</v>
      </c>
      <c r="F850" s="50" t="n">
        <f aca="false">'Z5 Ikana-Nkangamo'!S12-'Z5 Ikana-Nkangamo'!P12*C850/'Z5 Ikana-Nkangamo'!G12</f>
        <v>1634.71486435835</v>
      </c>
      <c r="G850" s="51" t="n">
        <f aca="false">'Z5 Ikana-Nkangamo'!$B$8-E850</f>
        <v>157.26</v>
      </c>
      <c r="H850" s="52" t="n">
        <f aca="false">F850-E850</f>
        <v>123.974864358345</v>
      </c>
      <c r="I850" s="52" t="n">
        <f aca="false">MAX(H850,G850)</f>
        <v>157.26</v>
      </c>
      <c r="J850" s="4" t="str">
        <f aca="false">IFERROR("PN"&amp;SMALL(PN_list,COUNTIF(PN_list,"&lt;"&amp;I850*bar_per_m)+1),"&gt; max PN")</f>
        <v>PN16</v>
      </c>
      <c r="K850" s="4" t="str">
        <f aca="false">IF(L850="no","end at tank",IF(H850&lt;0,"NEGATIVE",IF(H850&lt;p_min-0.005,"low","OK")))</f>
        <v>OK</v>
      </c>
      <c r="L850" s="4" t="s">
        <v>414</v>
      </c>
    </row>
    <row r="851" customFormat="false" ht="15" hidden="false" customHeight="false" outlineLevel="0" collapsed="false">
      <c r="A851" s="4" t="s">
        <v>42</v>
      </c>
      <c r="B851" s="4" t="s">
        <v>368</v>
      </c>
      <c r="C851" s="47" t="n">
        <v>21610.22</v>
      </c>
      <c r="D851" s="48" t="n">
        <v>1508.31</v>
      </c>
      <c r="E851" s="49" t="n">
        <f aca="false">D851-cover</f>
        <v>1507.11</v>
      </c>
      <c r="F851" s="50" t="n">
        <f aca="false">'Z5 Ikana-Nkangamo'!S12-'Z5 Ikana-Nkangamo'!P12*C851/'Z5 Ikana-Nkangamo'!G12</f>
        <v>1634.6484002179</v>
      </c>
      <c r="G851" s="51" t="n">
        <f aca="false">'Z5 Ikana-Nkangamo'!$B$8-E851</f>
        <v>160.89</v>
      </c>
      <c r="H851" s="52" t="n">
        <f aca="false">F851-E851</f>
        <v>127.538400217903</v>
      </c>
      <c r="I851" s="52" t="n">
        <f aca="false">MAX(H851,G851)</f>
        <v>160.89</v>
      </c>
      <c r="J851" s="4" t="str">
        <f aca="false">IFERROR("PN"&amp;SMALL(PN_list,COUNTIF(PN_list,"&lt;"&amp;I851*bar_per_m)+1),"&gt; max PN")</f>
        <v>PN16</v>
      </c>
      <c r="K851" s="4" t="str">
        <f aca="false">IF(L851="no","end at tank",IF(H851&lt;0,"NEGATIVE",IF(H851&lt;p_min-0.005,"low","OK")))</f>
        <v>OK</v>
      </c>
      <c r="L851" s="4" t="s">
        <v>414</v>
      </c>
    </row>
    <row r="852" customFormat="false" ht="15" hidden="false" customHeight="false" outlineLevel="0" collapsed="false">
      <c r="A852" s="4" t="s">
        <v>42</v>
      </c>
      <c r="B852" s="4" t="s">
        <v>368</v>
      </c>
      <c r="C852" s="47" t="n">
        <v>21660.23</v>
      </c>
      <c r="D852" s="48" t="n">
        <v>1509.38</v>
      </c>
      <c r="E852" s="49" t="n">
        <f aca="false">D852-cover</f>
        <v>1508.18</v>
      </c>
      <c r="F852" s="50" t="n">
        <f aca="false">'Z5 Ikana-Nkangamo'!S12-'Z5 Ikana-Nkangamo'!P12*C852/'Z5 Ikana-Nkangamo'!G12</f>
        <v>1634.58209517774</v>
      </c>
      <c r="G852" s="51" t="n">
        <f aca="false">'Z5 Ikana-Nkangamo'!$B$8-E852</f>
        <v>159.82</v>
      </c>
      <c r="H852" s="52" t="n">
        <f aca="false">F852-E852</f>
        <v>126.402095177736</v>
      </c>
      <c r="I852" s="52" t="n">
        <f aca="false">MAX(H852,G852)</f>
        <v>159.82</v>
      </c>
      <c r="J852" s="4" t="str">
        <f aca="false">IFERROR("PN"&amp;SMALL(PN_list,COUNTIF(PN_list,"&lt;"&amp;I852*bar_per_m)+1),"&gt; max PN")</f>
        <v>PN16</v>
      </c>
      <c r="K852" s="4" t="str">
        <f aca="false">IF(L852="no","end at tank",IF(H852&lt;0,"NEGATIVE",IF(H852&lt;p_min-0.005,"low","OK")))</f>
        <v>OK</v>
      </c>
      <c r="L852" s="4" t="s">
        <v>414</v>
      </c>
    </row>
    <row r="853" customFormat="false" ht="15" hidden="false" customHeight="false" outlineLevel="0" collapsed="false">
      <c r="A853" s="4" t="s">
        <v>42</v>
      </c>
      <c r="B853" s="4" t="s">
        <v>368</v>
      </c>
      <c r="C853" s="47" t="n">
        <v>21710.25</v>
      </c>
      <c r="D853" s="48" t="n">
        <v>1510.71</v>
      </c>
      <c r="E853" s="49" t="n">
        <f aca="false">D853-cover</f>
        <v>1509.51</v>
      </c>
      <c r="F853" s="50" t="n">
        <f aca="false">'Z5 Ikana-Nkangamo'!S12-'Z5 Ikana-Nkangamo'!P12*C853/'Z5 Ikana-Nkangamo'!G12</f>
        <v>1634.51577687921</v>
      </c>
      <c r="G853" s="51" t="n">
        <f aca="false">'Z5 Ikana-Nkangamo'!$B$8-E853</f>
        <v>158.49</v>
      </c>
      <c r="H853" s="52" t="n">
        <f aca="false">F853-E853</f>
        <v>125.005776879214</v>
      </c>
      <c r="I853" s="52" t="n">
        <f aca="false">MAX(H853,G853)</f>
        <v>158.49</v>
      </c>
      <c r="J853" s="4" t="str">
        <f aca="false">IFERROR("PN"&amp;SMALL(PN_list,COUNTIF(PN_list,"&lt;"&amp;I853*bar_per_m)+1),"&gt; max PN")</f>
        <v>PN16</v>
      </c>
      <c r="K853" s="4" t="str">
        <f aca="false">IF(L853="no","end at tank",IF(H853&lt;0,"NEGATIVE",IF(H853&lt;p_min-0.005,"low","OK")))</f>
        <v>OK</v>
      </c>
      <c r="L853" s="4" t="s">
        <v>414</v>
      </c>
    </row>
    <row r="854" customFormat="false" ht="15" hidden="false" customHeight="false" outlineLevel="0" collapsed="false">
      <c r="A854" s="4" t="s">
        <v>42</v>
      </c>
      <c r="B854" s="4" t="s">
        <v>368</v>
      </c>
      <c r="C854" s="47" t="n">
        <v>21760.26</v>
      </c>
      <c r="D854" s="48" t="n">
        <v>1511.38</v>
      </c>
      <c r="E854" s="49" t="n">
        <f aca="false">D854-cover</f>
        <v>1510.18</v>
      </c>
      <c r="F854" s="50" t="n">
        <f aca="false">'Z5 Ikana-Nkangamo'!S12-'Z5 Ikana-Nkangamo'!P12*C854/'Z5 Ikana-Nkangamo'!G12</f>
        <v>1634.44947183905</v>
      </c>
      <c r="G854" s="51" t="n">
        <f aca="false">'Z5 Ikana-Nkangamo'!$B$8-E854</f>
        <v>157.82</v>
      </c>
      <c r="H854" s="52" t="n">
        <f aca="false">F854-E854</f>
        <v>124.269471839047</v>
      </c>
      <c r="I854" s="52" t="n">
        <f aca="false">MAX(H854,G854)</f>
        <v>157.82</v>
      </c>
      <c r="J854" s="4" t="str">
        <f aca="false">IFERROR("PN"&amp;SMALL(PN_list,COUNTIF(PN_list,"&lt;"&amp;I854*bar_per_m)+1),"&gt; max PN")</f>
        <v>PN16</v>
      </c>
      <c r="K854" s="4" t="str">
        <f aca="false">IF(L854="no","end at tank",IF(H854&lt;0,"NEGATIVE",IF(H854&lt;p_min-0.005,"low","OK")))</f>
        <v>OK</v>
      </c>
      <c r="L854" s="4" t="s">
        <v>414</v>
      </c>
    </row>
    <row r="855" customFormat="false" ht="15" hidden="false" customHeight="false" outlineLevel="0" collapsed="false">
      <c r="A855" s="4" t="s">
        <v>42</v>
      </c>
      <c r="B855" s="4" t="s">
        <v>368</v>
      </c>
      <c r="C855" s="47" t="n">
        <v>21810.32</v>
      </c>
      <c r="D855" s="48" t="n">
        <v>1513.92</v>
      </c>
      <c r="E855" s="49" t="n">
        <f aca="false">D855-cover</f>
        <v>1512.72</v>
      </c>
      <c r="F855" s="50" t="n">
        <f aca="false">'Z5 Ikana-Nkangamo'!S12-'Z5 Ikana-Nkangamo'!P12*C855/'Z5 Ikana-Nkangamo'!G12</f>
        <v>1634.3831005071</v>
      </c>
      <c r="G855" s="51" t="n">
        <f aca="false">'Z5 Ikana-Nkangamo'!$B$8-E855</f>
        <v>155.28</v>
      </c>
      <c r="H855" s="52" t="n">
        <f aca="false">F855-E855</f>
        <v>121.663100507099</v>
      </c>
      <c r="I855" s="52" t="n">
        <f aca="false">MAX(H855,G855)</f>
        <v>155.28</v>
      </c>
      <c r="J855" s="4" t="str">
        <f aca="false">IFERROR("PN"&amp;SMALL(PN_list,COUNTIF(PN_list,"&lt;"&amp;I855*bar_per_m)+1),"&gt; max PN")</f>
        <v>PN16</v>
      </c>
      <c r="K855" s="4" t="str">
        <f aca="false">IF(L855="no","end at tank",IF(H855&lt;0,"NEGATIVE",IF(H855&lt;p_min-0.005,"low","OK")))</f>
        <v>OK</v>
      </c>
      <c r="L855" s="4" t="s">
        <v>414</v>
      </c>
    </row>
    <row r="856" customFormat="false" ht="15" hidden="false" customHeight="false" outlineLevel="0" collapsed="false">
      <c r="A856" s="4" t="s">
        <v>42</v>
      </c>
      <c r="B856" s="4" t="s">
        <v>368</v>
      </c>
      <c r="C856" s="47" t="n">
        <v>21860.33</v>
      </c>
      <c r="D856" s="48" t="n">
        <v>1514.86</v>
      </c>
      <c r="E856" s="49" t="n">
        <f aca="false">D856-cover</f>
        <v>1513.66</v>
      </c>
      <c r="F856" s="50" t="n">
        <f aca="false">'Z5 Ikana-Nkangamo'!S12-'Z5 Ikana-Nkangamo'!P12*C856/'Z5 Ikana-Nkangamo'!G12</f>
        <v>1634.31679546693</v>
      </c>
      <c r="G856" s="51" t="n">
        <f aca="false">'Z5 Ikana-Nkangamo'!$B$8-E856</f>
        <v>154.34</v>
      </c>
      <c r="H856" s="52" t="n">
        <f aca="false">F856-E856</f>
        <v>120.656795466933</v>
      </c>
      <c r="I856" s="52" t="n">
        <f aca="false">MAX(H856,G856)</f>
        <v>154.34</v>
      </c>
      <c r="J856" s="4" t="str">
        <f aca="false">IFERROR("PN"&amp;SMALL(PN_list,COUNTIF(PN_list,"&lt;"&amp;I856*bar_per_m)+1),"&gt; max PN")</f>
        <v>PN16</v>
      </c>
      <c r="K856" s="4" t="str">
        <f aca="false">IF(L856="no","end at tank",IF(H856&lt;0,"NEGATIVE",IF(H856&lt;p_min-0.005,"low","OK")))</f>
        <v>OK</v>
      </c>
      <c r="L856" s="4" t="s">
        <v>414</v>
      </c>
    </row>
    <row r="857" customFormat="false" ht="15" hidden="false" customHeight="false" outlineLevel="0" collapsed="false">
      <c r="A857" s="4" t="s">
        <v>42</v>
      </c>
      <c r="B857" s="4" t="s">
        <v>368</v>
      </c>
      <c r="C857" s="47" t="n">
        <v>21910.39</v>
      </c>
      <c r="D857" s="48" t="n">
        <v>1517.41</v>
      </c>
      <c r="E857" s="49" t="n">
        <f aca="false">D857-cover</f>
        <v>1516.21</v>
      </c>
      <c r="F857" s="50" t="n">
        <f aca="false">'Z5 Ikana-Nkangamo'!S12-'Z5 Ikana-Nkangamo'!P12*C857/'Z5 Ikana-Nkangamo'!G12</f>
        <v>1634.25042413498</v>
      </c>
      <c r="G857" s="51" t="n">
        <f aca="false">'Z5 Ikana-Nkangamo'!$B$8-E857</f>
        <v>151.79</v>
      </c>
      <c r="H857" s="52" t="n">
        <f aca="false">F857-E857</f>
        <v>118.040424134985</v>
      </c>
      <c r="I857" s="52" t="n">
        <f aca="false">MAX(H857,G857)</f>
        <v>151.79</v>
      </c>
      <c r="J857" s="4" t="str">
        <f aca="false">IFERROR("PN"&amp;SMALL(PN_list,COUNTIF(PN_list,"&lt;"&amp;I857*bar_per_m)+1),"&gt; max PN")</f>
        <v>PN16</v>
      </c>
      <c r="K857" s="4" t="str">
        <f aca="false">IF(L857="no","end at tank",IF(H857&lt;0,"NEGATIVE",IF(H857&lt;p_min-0.005,"low","OK")))</f>
        <v>OK</v>
      </c>
      <c r="L857" s="4" t="s">
        <v>414</v>
      </c>
    </row>
    <row r="858" customFormat="false" ht="15" hidden="false" customHeight="false" outlineLevel="0" collapsed="false">
      <c r="A858" s="4" t="s">
        <v>42</v>
      </c>
      <c r="B858" s="4" t="s">
        <v>368</v>
      </c>
      <c r="C858" s="47" t="n">
        <v>21960.42</v>
      </c>
      <c r="D858" s="48" t="n">
        <v>1518.85</v>
      </c>
      <c r="E858" s="49" t="n">
        <f aca="false">D858-cover</f>
        <v>1517.65</v>
      </c>
      <c r="F858" s="50" t="n">
        <f aca="false">'Z5 Ikana-Nkangamo'!S12-'Z5 Ikana-Nkangamo'!P12*C858/'Z5 Ikana-Nkangamo'!G12</f>
        <v>1634.18409257811</v>
      </c>
      <c r="G858" s="51" t="n">
        <f aca="false">'Z5 Ikana-Nkangamo'!$B$8-E858</f>
        <v>150.35</v>
      </c>
      <c r="H858" s="52" t="n">
        <f aca="false">F858-E858</f>
        <v>116.534092578106</v>
      </c>
      <c r="I858" s="52" t="n">
        <f aca="false">MAX(H858,G858)</f>
        <v>150.35</v>
      </c>
      <c r="J858" s="4" t="str">
        <f aca="false">IFERROR("PN"&amp;SMALL(PN_list,COUNTIF(PN_list,"&lt;"&amp;I858*bar_per_m)+1),"&gt; max PN")</f>
        <v>PN16</v>
      </c>
      <c r="K858" s="4" t="str">
        <f aca="false">IF(L858="no","end at tank",IF(H858&lt;0,"NEGATIVE",IF(H858&lt;p_min-0.005,"low","OK")))</f>
        <v>OK</v>
      </c>
      <c r="L858" s="4" t="s">
        <v>414</v>
      </c>
    </row>
    <row r="859" customFormat="false" ht="15" hidden="false" customHeight="false" outlineLevel="0" collapsed="false">
      <c r="A859" s="4" t="s">
        <v>42</v>
      </c>
      <c r="B859" s="4" t="s">
        <v>368</v>
      </c>
      <c r="C859" s="47" t="n">
        <v>22010.44</v>
      </c>
      <c r="D859" s="48" t="n">
        <v>1520.5</v>
      </c>
      <c r="E859" s="49" t="n">
        <f aca="false">D859-cover</f>
        <v>1519.3</v>
      </c>
      <c r="F859" s="50" t="n">
        <f aca="false">'Z5 Ikana-Nkangamo'!S12-'Z5 Ikana-Nkangamo'!P12*C859/'Z5 Ikana-Nkangamo'!G12</f>
        <v>1634.11777427958</v>
      </c>
      <c r="G859" s="51" t="n">
        <f aca="false">'Z5 Ikana-Nkangamo'!$B$8-E859</f>
        <v>148.7</v>
      </c>
      <c r="H859" s="52" t="n">
        <f aca="false">F859-E859</f>
        <v>114.817774279583</v>
      </c>
      <c r="I859" s="52" t="n">
        <f aca="false">MAX(H859,G859)</f>
        <v>148.7</v>
      </c>
      <c r="J859" s="4" t="str">
        <f aca="false">IFERROR("PN"&amp;SMALL(PN_list,COUNTIF(PN_list,"&lt;"&amp;I859*bar_per_m)+1),"&gt; max PN")</f>
        <v>PN16</v>
      </c>
      <c r="K859" s="4" t="str">
        <f aca="false">IF(L859="no","end at tank",IF(H859&lt;0,"NEGATIVE",IF(H859&lt;p_min-0.005,"low","OK")))</f>
        <v>OK</v>
      </c>
      <c r="L859" s="4" t="s">
        <v>414</v>
      </c>
    </row>
    <row r="860" customFormat="false" ht="15" hidden="false" customHeight="false" outlineLevel="0" collapsed="false">
      <c r="A860" s="4" t="s">
        <v>42</v>
      </c>
      <c r="B860" s="4" t="s">
        <v>368</v>
      </c>
      <c r="C860" s="47" t="n">
        <v>22060.48</v>
      </c>
      <c r="D860" s="48" t="n">
        <v>1522.32</v>
      </c>
      <c r="E860" s="49" t="n">
        <f aca="false">D860-cover</f>
        <v>1521.12</v>
      </c>
      <c r="F860" s="50" t="n">
        <f aca="false">'Z5 Ikana-Nkangamo'!S12-'Z5 Ikana-Nkangamo'!P12*C860/'Z5 Ikana-Nkangamo'!G12</f>
        <v>1634.05142946435</v>
      </c>
      <c r="G860" s="51" t="n">
        <f aca="false">'Z5 Ikana-Nkangamo'!$B$8-E860</f>
        <v>146.88</v>
      </c>
      <c r="H860" s="52" t="n">
        <f aca="false">F860-E860</f>
        <v>112.931429464348</v>
      </c>
      <c r="I860" s="52" t="n">
        <f aca="false">MAX(H860,G860)</f>
        <v>146.88</v>
      </c>
      <c r="J860" s="4" t="str">
        <f aca="false">IFERROR("PN"&amp;SMALL(PN_list,COUNTIF(PN_list,"&lt;"&amp;I860*bar_per_m)+1),"&gt; max PN")</f>
        <v>PN16</v>
      </c>
      <c r="K860" s="4" t="str">
        <f aca="false">IF(L860="no","end at tank",IF(H860&lt;0,"NEGATIVE",IF(H860&lt;p_min-0.005,"low","OK")))</f>
        <v>OK</v>
      </c>
      <c r="L860" s="4" t="s">
        <v>414</v>
      </c>
    </row>
    <row r="861" customFormat="false" ht="15" hidden="false" customHeight="false" outlineLevel="0" collapsed="false">
      <c r="A861" s="4" t="s">
        <v>42</v>
      </c>
      <c r="B861" s="4" t="s">
        <v>368</v>
      </c>
      <c r="C861" s="47" t="n">
        <v>22110.49</v>
      </c>
      <c r="D861" s="48" t="n">
        <v>1523.61</v>
      </c>
      <c r="E861" s="49" t="n">
        <f aca="false">D861-cover</f>
        <v>1522.41</v>
      </c>
      <c r="F861" s="50" t="n">
        <f aca="false">'Z5 Ikana-Nkangamo'!S12-'Z5 Ikana-Nkangamo'!P12*C861/'Z5 Ikana-Nkangamo'!G12</f>
        <v>1633.98512442418</v>
      </c>
      <c r="G861" s="51" t="n">
        <f aca="false">'Z5 Ikana-Nkangamo'!$B$8-E861</f>
        <v>145.59</v>
      </c>
      <c r="H861" s="52" t="n">
        <f aca="false">F861-E861</f>
        <v>111.575124424181</v>
      </c>
      <c r="I861" s="52" t="n">
        <f aca="false">MAX(H861,G861)</f>
        <v>145.59</v>
      </c>
      <c r="J861" s="4" t="str">
        <f aca="false">IFERROR("PN"&amp;SMALL(PN_list,COUNTIF(PN_list,"&lt;"&amp;I861*bar_per_m)+1),"&gt; max PN")</f>
        <v>PN16</v>
      </c>
      <c r="K861" s="4" t="str">
        <f aca="false">IF(L861="no","end at tank",IF(H861&lt;0,"NEGATIVE",IF(H861&lt;p_min-0.005,"low","OK")))</f>
        <v>OK</v>
      </c>
      <c r="L861" s="4" t="s">
        <v>414</v>
      </c>
    </row>
    <row r="862" customFormat="false" ht="15" hidden="false" customHeight="false" outlineLevel="0" collapsed="false">
      <c r="A862" s="4" t="s">
        <v>42</v>
      </c>
      <c r="B862" s="4" t="s">
        <v>368</v>
      </c>
      <c r="C862" s="47" t="n">
        <v>22160.5</v>
      </c>
      <c r="D862" s="48" t="n">
        <v>1524.48</v>
      </c>
      <c r="E862" s="49" t="n">
        <f aca="false">D862-cover</f>
        <v>1523.28</v>
      </c>
      <c r="F862" s="50" t="n">
        <f aca="false">'Z5 Ikana-Nkangamo'!S12-'Z5 Ikana-Nkangamo'!P12*C862/'Z5 Ikana-Nkangamo'!G12</f>
        <v>1633.91881938402</v>
      </c>
      <c r="G862" s="51" t="n">
        <f aca="false">'Z5 Ikana-Nkangamo'!$B$8-E862</f>
        <v>144.72</v>
      </c>
      <c r="H862" s="52" t="n">
        <f aca="false">F862-E862</f>
        <v>110.638819384015</v>
      </c>
      <c r="I862" s="52" t="n">
        <f aca="false">MAX(H862,G862)</f>
        <v>144.72</v>
      </c>
      <c r="J862" s="4" t="str">
        <f aca="false">IFERROR("PN"&amp;SMALL(PN_list,COUNTIF(PN_list,"&lt;"&amp;I862*bar_per_m)+1),"&gt; max PN")</f>
        <v>PN16</v>
      </c>
      <c r="K862" s="4" t="str">
        <f aca="false">IF(L862="no","end at tank",IF(H862&lt;0,"NEGATIVE",IF(H862&lt;p_min-0.005,"low","OK")))</f>
        <v>OK</v>
      </c>
      <c r="L862" s="4" t="s">
        <v>414</v>
      </c>
    </row>
    <row r="863" customFormat="false" ht="15" hidden="false" customHeight="false" outlineLevel="0" collapsed="false">
      <c r="A863" s="4" t="s">
        <v>42</v>
      </c>
      <c r="B863" s="4" t="s">
        <v>368</v>
      </c>
      <c r="C863" s="47" t="n">
        <v>22210.52</v>
      </c>
      <c r="D863" s="48" t="n">
        <v>1525.8</v>
      </c>
      <c r="E863" s="49" t="n">
        <f aca="false">D863-cover</f>
        <v>1524.6</v>
      </c>
      <c r="F863" s="50" t="n">
        <f aca="false">'Z5 Ikana-Nkangamo'!S12-'Z5 Ikana-Nkangamo'!P12*C863/'Z5 Ikana-Nkangamo'!G12</f>
        <v>1633.85250108549</v>
      </c>
      <c r="G863" s="51" t="n">
        <f aca="false">'Z5 Ikana-Nkangamo'!$B$8-E863</f>
        <v>143.4</v>
      </c>
      <c r="H863" s="52" t="n">
        <f aca="false">F863-E863</f>
        <v>109.252501085492</v>
      </c>
      <c r="I863" s="52" t="n">
        <f aca="false">MAX(H863,G863)</f>
        <v>143.4</v>
      </c>
      <c r="J863" s="4" t="str">
        <f aca="false">IFERROR("PN"&amp;SMALL(PN_list,COUNTIF(PN_list,"&lt;"&amp;I863*bar_per_m)+1),"&gt; max PN")</f>
        <v>PN16</v>
      </c>
      <c r="K863" s="4" t="str">
        <f aca="false">IF(L863="no","end at tank",IF(H863&lt;0,"NEGATIVE",IF(H863&lt;p_min-0.005,"low","OK")))</f>
        <v>OK</v>
      </c>
      <c r="L863" s="4" t="s">
        <v>414</v>
      </c>
    </row>
    <row r="864" customFormat="false" ht="15" hidden="false" customHeight="false" outlineLevel="0" collapsed="false">
      <c r="A864" s="4" t="s">
        <v>42</v>
      </c>
      <c r="B864" s="4" t="s">
        <v>368</v>
      </c>
      <c r="C864" s="47" t="n">
        <v>22260.53</v>
      </c>
      <c r="D864" s="48" t="n">
        <v>1526.68</v>
      </c>
      <c r="E864" s="49" t="n">
        <f aca="false">D864-cover</f>
        <v>1525.48</v>
      </c>
      <c r="F864" s="50" t="n">
        <f aca="false">'Z5 Ikana-Nkangamo'!S12-'Z5 Ikana-Nkangamo'!P12*C864/'Z5 Ikana-Nkangamo'!G12</f>
        <v>1633.78619604533</v>
      </c>
      <c r="G864" s="51" t="n">
        <f aca="false">'Z5 Ikana-Nkangamo'!$B$8-E864</f>
        <v>142.52</v>
      </c>
      <c r="H864" s="52" t="n">
        <f aca="false">F864-E864</f>
        <v>108.306196045326</v>
      </c>
      <c r="I864" s="52" t="n">
        <f aca="false">MAX(H864,G864)</f>
        <v>142.52</v>
      </c>
      <c r="J864" s="4" t="str">
        <f aca="false">IFERROR("PN"&amp;SMALL(PN_list,COUNTIF(PN_list,"&lt;"&amp;I864*bar_per_m)+1),"&gt; max PN")</f>
        <v>PN16</v>
      </c>
      <c r="K864" s="4" t="str">
        <f aca="false">IF(L864="no","end at tank",IF(H864&lt;0,"NEGATIVE",IF(H864&lt;p_min-0.005,"low","OK")))</f>
        <v>OK</v>
      </c>
      <c r="L864" s="4" t="s">
        <v>414</v>
      </c>
    </row>
    <row r="865" customFormat="false" ht="15" hidden="false" customHeight="false" outlineLevel="0" collapsed="false">
      <c r="A865" s="4" t="s">
        <v>42</v>
      </c>
      <c r="B865" s="4" t="s">
        <v>368</v>
      </c>
      <c r="C865" s="47" t="n">
        <v>22310.54</v>
      </c>
      <c r="D865" s="48" t="n">
        <v>1528.09</v>
      </c>
      <c r="E865" s="49" t="n">
        <f aca="false">D865-cover</f>
        <v>1526.89</v>
      </c>
      <c r="F865" s="50" t="n">
        <f aca="false">'Z5 Ikana-Nkangamo'!S12-'Z5 Ikana-Nkangamo'!P12*C865/'Z5 Ikana-Nkangamo'!G12</f>
        <v>1633.71989100516</v>
      </c>
      <c r="G865" s="51" t="n">
        <f aca="false">'Z5 Ikana-Nkangamo'!$B$8-E865</f>
        <v>141.11</v>
      </c>
      <c r="H865" s="52" t="n">
        <f aca="false">F865-E865</f>
        <v>106.82989100516</v>
      </c>
      <c r="I865" s="52" t="n">
        <f aca="false">MAX(H865,G865)</f>
        <v>141.11</v>
      </c>
      <c r="J865" s="4" t="str">
        <f aca="false">IFERROR("PN"&amp;SMALL(PN_list,COUNTIF(PN_list,"&lt;"&amp;I865*bar_per_m)+1),"&gt; max PN")</f>
        <v>PN16</v>
      </c>
      <c r="K865" s="4" t="str">
        <f aca="false">IF(L865="no","end at tank",IF(H865&lt;0,"NEGATIVE",IF(H865&lt;p_min-0.005,"low","OK")))</f>
        <v>OK</v>
      </c>
      <c r="L865" s="4" t="s">
        <v>414</v>
      </c>
    </row>
    <row r="866" customFormat="false" ht="15" hidden="false" customHeight="false" outlineLevel="0" collapsed="false">
      <c r="A866" s="4" t="s">
        <v>42</v>
      </c>
      <c r="B866" s="4" t="s">
        <v>368</v>
      </c>
      <c r="C866" s="47" t="n">
        <v>22360.56</v>
      </c>
      <c r="D866" s="48" t="n">
        <v>1529.29</v>
      </c>
      <c r="E866" s="49" t="n">
        <f aca="false">D866-cover</f>
        <v>1528.09</v>
      </c>
      <c r="F866" s="50" t="n">
        <f aca="false">'Z5 Ikana-Nkangamo'!S12-'Z5 Ikana-Nkangamo'!P12*C866/'Z5 Ikana-Nkangamo'!G12</f>
        <v>1633.65357270664</v>
      </c>
      <c r="G866" s="51" t="n">
        <f aca="false">'Z5 Ikana-Nkangamo'!$B$8-E866</f>
        <v>139.91</v>
      </c>
      <c r="H866" s="52" t="n">
        <f aca="false">F866-E866</f>
        <v>105.563572706637</v>
      </c>
      <c r="I866" s="52" t="n">
        <f aca="false">MAX(H866,G866)</f>
        <v>139.91</v>
      </c>
      <c r="J866" s="4" t="str">
        <f aca="false">IFERROR("PN"&amp;SMALL(PN_list,COUNTIF(PN_list,"&lt;"&amp;I866*bar_per_m)+1),"&gt; max PN")</f>
        <v>PN16</v>
      </c>
      <c r="K866" s="4" t="str">
        <f aca="false">IF(L866="no","end at tank",IF(H866&lt;0,"NEGATIVE",IF(H866&lt;p_min-0.005,"low","OK")))</f>
        <v>OK</v>
      </c>
      <c r="L866" s="4" t="s">
        <v>414</v>
      </c>
    </row>
    <row r="867" customFormat="false" ht="15" hidden="false" customHeight="false" outlineLevel="0" collapsed="false">
      <c r="A867" s="4" t="s">
        <v>42</v>
      </c>
      <c r="B867" s="4" t="s">
        <v>368</v>
      </c>
      <c r="C867" s="47" t="n">
        <v>22410.56</v>
      </c>
      <c r="D867" s="48" t="n">
        <v>1529.85</v>
      </c>
      <c r="E867" s="49" t="n">
        <f aca="false">D867-cover</f>
        <v>1528.65</v>
      </c>
      <c r="F867" s="50" t="n">
        <f aca="false">'Z5 Ikana-Nkangamo'!S12-'Z5 Ikana-Nkangamo'!P12*C867/'Z5 Ikana-Nkangamo'!G12</f>
        <v>1633.58728092483</v>
      </c>
      <c r="G867" s="51" t="n">
        <f aca="false">'Z5 Ikana-Nkangamo'!$B$8-E867</f>
        <v>139.35</v>
      </c>
      <c r="H867" s="52" t="n">
        <f aca="false">F867-E867</f>
        <v>104.937280924827</v>
      </c>
      <c r="I867" s="52" t="n">
        <f aca="false">MAX(H867,G867)</f>
        <v>139.35</v>
      </c>
      <c r="J867" s="4" t="str">
        <f aca="false">IFERROR("PN"&amp;SMALL(PN_list,COUNTIF(PN_list,"&lt;"&amp;I867*bar_per_m)+1),"&gt; max PN")</f>
        <v>PN16</v>
      </c>
      <c r="K867" s="4" t="str">
        <f aca="false">IF(L867="no","end at tank",IF(H867&lt;0,"NEGATIVE",IF(H867&lt;p_min-0.005,"low","OK")))</f>
        <v>OK</v>
      </c>
      <c r="L867" s="4" t="s">
        <v>414</v>
      </c>
    </row>
    <row r="868" customFormat="false" ht="15" hidden="false" customHeight="false" outlineLevel="0" collapsed="false">
      <c r="A868" s="4" t="s">
        <v>42</v>
      </c>
      <c r="B868" s="4" t="s">
        <v>368</v>
      </c>
      <c r="C868" s="47" t="n">
        <v>22460.57</v>
      </c>
      <c r="D868" s="48" t="n">
        <v>1530.56</v>
      </c>
      <c r="E868" s="49" t="n">
        <f aca="false">D868-cover</f>
        <v>1529.36</v>
      </c>
      <c r="F868" s="50" t="n">
        <f aca="false">'Z5 Ikana-Nkangamo'!S12-'Z5 Ikana-Nkangamo'!P12*C868/'Z5 Ikana-Nkangamo'!G12</f>
        <v>1633.52097588466</v>
      </c>
      <c r="G868" s="51" t="n">
        <f aca="false">'Z5 Ikana-Nkangamo'!$B$8-E868</f>
        <v>138.64</v>
      </c>
      <c r="H868" s="52" t="n">
        <f aca="false">F868-E868</f>
        <v>104.160975884661</v>
      </c>
      <c r="I868" s="52" t="n">
        <f aca="false">MAX(H868,G868)</f>
        <v>138.64</v>
      </c>
      <c r="J868" s="4" t="str">
        <f aca="false">IFERROR("PN"&amp;SMALL(PN_list,COUNTIF(PN_list,"&lt;"&amp;I868*bar_per_m)+1),"&gt; max PN")</f>
        <v>PN16</v>
      </c>
      <c r="K868" s="4" t="str">
        <f aca="false">IF(L868="no","end at tank",IF(H868&lt;0,"NEGATIVE",IF(H868&lt;p_min-0.005,"low","OK")))</f>
        <v>OK</v>
      </c>
      <c r="L868" s="4" t="s">
        <v>414</v>
      </c>
    </row>
    <row r="869" customFormat="false" ht="15" hidden="false" customHeight="false" outlineLevel="0" collapsed="false">
      <c r="A869" s="4" t="s">
        <v>42</v>
      </c>
      <c r="B869" s="4" t="s">
        <v>368</v>
      </c>
      <c r="C869" s="47" t="n">
        <v>22510.58</v>
      </c>
      <c r="D869" s="48" t="n">
        <v>1531.47</v>
      </c>
      <c r="E869" s="49" t="n">
        <f aca="false">D869-cover</f>
        <v>1530.27</v>
      </c>
      <c r="F869" s="50" t="n">
        <f aca="false">'Z5 Ikana-Nkangamo'!S12-'Z5 Ikana-Nkangamo'!P12*C869/'Z5 Ikana-Nkangamo'!G12</f>
        <v>1633.45467084449</v>
      </c>
      <c r="G869" s="51" t="n">
        <f aca="false">'Z5 Ikana-Nkangamo'!$B$8-E869</f>
        <v>137.73</v>
      </c>
      <c r="H869" s="52" t="n">
        <f aca="false">F869-E869</f>
        <v>103.184670844495</v>
      </c>
      <c r="I869" s="52" t="n">
        <f aca="false">MAX(H869,G869)</f>
        <v>137.73</v>
      </c>
      <c r="J869" s="4" t="str">
        <f aca="false">IFERROR("PN"&amp;SMALL(PN_list,COUNTIF(PN_list,"&lt;"&amp;I869*bar_per_m)+1),"&gt; max PN")</f>
        <v>PN16</v>
      </c>
      <c r="K869" s="4" t="str">
        <f aca="false">IF(L869="no","end at tank",IF(H869&lt;0,"NEGATIVE",IF(H869&lt;p_min-0.005,"low","OK")))</f>
        <v>OK</v>
      </c>
      <c r="L869" s="4" t="s">
        <v>414</v>
      </c>
    </row>
    <row r="870" customFormat="false" ht="15" hidden="false" customHeight="false" outlineLevel="0" collapsed="false">
      <c r="A870" s="4" t="s">
        <v>42</v>
      </c>
      <c r="B870" s="4" t="s">
        <v>368</v>
      </c>
      <c r="C870" s="47" t="n">
        <v>22560.58</v>
      </c>
      <c r="D870" s="48" t="n">
        <v>1531.68</v>
      </c>
      <c r="E870" s="49" t="n">
        <f aca="false">D870-cover</f>
        <v>1530.48</v>
      </c>
      <c r="F870" s="50" t="n">
        <f aca="false">'Z5 Ikana-Nkangamo'!S12-'Z5 Ikana-Nkangamo'!P12*C870/'Z5 Ikana-Nkangamo'!G12</f>
        <v>1633.38837906268</v>
      </c>
      <c r="G870" s="51" t="n">
        <f aca="false">'Z5 Ikana-Nkangamo'!$B$8-E870</f>
        <v>137.52</v>
      </c>
      <c r="H870" s="52" t="n">
        <f aca="false">F870-E870</f>
        <v>102.908379062684</v>
      </c>
      <c r="I870" s="52" t="n">
        <f aca="false">MAX(H870,G870)</f>
        <v>137.52</v>
      </c>
      <c r="J870" s="4" t="str">
        <f aca="false">IFERROR("PN"&amp;SMALL(PN_list,COUNTIF(PN_list,"&lt;"&amp;I870*bar_per_m)+1),"&gt; max PN")</f>
        <v>PN16</v>
      </c>
      <c r="K870" s="4" t="str">
        <f aca="false">IF(L870="no","end at tank",IF(H870&lt;0,"NEGATIVE",IF(H870&lt;p_min-0.005,"low","OK")))</f>
        <v>OK</v>
      </c>
      <c r="L870" s="4" t="s">
        <v>414</v>
      </c>
    </row>
    <row r="871" customFormat="false" ht="15" hidden="false" customHeight="false" outlineLevel="0" collapsed="false">
      <c r="A871" s="4" t="s">
        <v>42</v>
      </c>
      <c r="B871" s="4" t="s">
        <v>368</v>
      </c>
      <c r="C871" s="47" t="n">
        <v>22610.58</v>
      </c>
      <c r="D871" s="48" t="n">
        <v>1532.05</v>
      </c>
      <c r="E871" s="49" t="n">
        <f aca="false">D871-cover</f>
        <v>1530.85</v>
      </c>
      <c r="F871" s="50" t="n">
        <f aca="false">'Z5 Ikana-Nkangamo'!S12-'Z5 Ikana-Nkangamo'!P12*C871/'Z5 Ikana-Nkangamo'!G12</f>
        <v>1633.32208728087</v>
      </c>
      <c r="G871" s="51" t="n">
        <f aca="false">'Z5 Ikana-Nkangamo'!$B$8-E871</f>
        <v>137.15</v>
      </c>
      <c r="H871" s="52" t="n">
        <f aca="false">F871-E871</f>
        <v>102.472087280875</v>
      </c>
      <c r="I871" s="52" t="n">
        <f aca="false">MAX(H871,G871)</f>
        <v>137.15</v>
      </c>
      <c r="J871" s="4" t="str">
        <f aca="false">IFERROR("PN"&amp;SMALL(PN_list,COUNTIF(PN_list,"&lt;"&amp;I871*bar_per_m)+1),"&gt; max PN")</f>
        <v>PN16</v>
      </c>
      <c r="K871" s="4" t="str">
        <f aca="false">IF(L871="no","end at tank",IF(H871&lt;0,"NEGATIVE",IF(H871&lt;p_min-0.005,"low","OK")))</f>
        <v>OK</v>
      </c>
      <c r="L871" s="4" t="s">
        <v>414</v>
      </c>
    </row>
    <row r="872" customFormat="false" ht="15" hidden="false" customHeight="false" outlineLevel="0" collapsed="false">
      <c r="A872" s="4" t="s">
        <v>42</v>
      </c>
      <c r="B872" s="4" t="s">
        <v>368</v>
      </c>
      <c r="C872" s="47" t="n">
        <v>22660.58</v>
      </c>
      <c r="D872" s="48" t="n">
        <v>1532.43</v>
      </c>
      <c r="E872" s="49" t="n">
        <f aca="false">D872-cover</f>
        <v>1531.23</v>
      </c>
      <c r="F872" s="50" t="n">
        <f aca="false">'Z5 Ikana-Nkangamo'!S12-'Z5 Ikana-Nkangamo'!P12*C872/'Z5 Ikana-Nkangamo'!G12</f>
        <v>1633.25579549906</v>
      </c>
      <c r="G872" s="51" t="n">
        <f aca="false">'Z5 Ikana-Nkangamo'!$B$8-E872</f>
        <v>136.77</v>
      </c>
      <c r="H872" s="52" t="n">
        <f aca="false">F872-E872</f>
        <v>102.025795499065</v>
      </c>
      <c r="I872" s="52" t="n">
        <f aca="false">MAX(H872,G872)</f>
        <v>136.77</v>
      </c>
      <c r="J872" s="4" t="str">
        <f aca="false">IFERROR("PN"&amp;SMALL(PN_list,COUNTIF(PN_list,"&lt;"&amp;I872*bar_per_m)+1),"&gt; max PN")</f>
        <v>PN16</v>
      </c>
      <c r="K872" s="4" t="str">
        <f aca="false">IF(L872="no","end at tank",IF(H872&lt;0,"NEGATIVE",IF(H872&lt;p_min-0.005,"low","OK")))</f>
        <v>OK</v>
      </c>
      <c r="L872" s="4" t="s">
        <v>414</v>
      </c>
    </row>
    <row r="873" customFormat="false" ht="15" hidden="false" customHeight="false" outlineLevel="0" collapsed="false">
      <c r="A873" s="4" t="s">
        <v>42</v>
      </c>
      <c r="B873" s="4" t="s">
        <v>368</v>
      </c>
      <c r="C873" s="47" t="n">
        <v>22710.58</v>
      </c>
      <c r="D873" s="48" t="n">
        <v>1532.69</v>
      </c>
      <c r="E873" s="49" t="n">
        <f aca="false">D873-cover</f>
        <v>1531.49</v>
      </c>
      <c r="F873" s="50" t="n">
        <f aca="false">'Z5 Ikana-Nkangamo'!S12-'Z5 Ikana-Nkangamo'!P12*C873/'Z5 Ikana-Nkangamo'!G12</f>
        <v>1633.18950371725</v>
      </c>
      <c r="G873" s="51" t="n">
        <f aca="false">'Z5 Ikana-Nkangamo'!$B$8-E873</f>
        <v>136.51</v>
      </c>
      <c r="H873" s="52" t="n">
        <f aca="false">F873-E873</f>
        <v>101.699503717255</v>
      </c>
      <c r="I873" s="52" t="n">
        <f aca="false">MAX(H873,G873)</f>
        <v>136.51</v>
      </c>
      <c r="J873" s="4" t="str">
        <f aca="false">IFERROR("PN"&amp;SMALL(PN_list,COUNTIF(PN_list,"&lt;"&amp;I873*bar_per_m)+1),"&gt; max PN")</f>
        <v>PN16</v>
      </c>
      <c r="K873" s="4" t="str">
        <f aca="false">IF(L873="no","end at tank",IF(H873&lt;0,"NEGATIVE",IF(H873&lt;p_min-0.005,"low","OK")))</f>
        <v>OK</v>
      </c>
      <c r="L873" s="4" t="s">
        <v>414</v>
      </c>
    </row>
    <row r="874" customFormat="false" ht="15" hidden="false" customHeight="false" outlineLevel="0" collapsed="false">
      <c r="A874" s="4" t="s">
        <v>42</v>
      </c>
      <c r="B874" s="4" t="s">
        <v>368</v>
      </c>
      <c r="C874" s="47" t="n">
        <v>22760.58</v>
      </c>
      <c r="D874" s="48" t="n">
        <v>1532.13</v>
      </c>
      <c r="E874" s="49" t="n">
        <f aca="false">D874-cover</f>
        <v>1530.93</v>
      </c>
      <c r="F874" s="50" t="n">
        <f aca="false">'Z5 Ikana-Nkangamo'!S12-'Z5 Ikana-Nkangamo'!P12*C874/'Z5 Ikana-Nkangamo'!G12</f>
        <v>1633.12321193544</v>
      </c>
      <c r="G874" s="51" t="n">
        <f aca="false">'Z5 Ikana-Nkangamo'!$B$8-E874</f>
        <v>137.07</v>
      </c>
      <c r="H874" s="52" t="n">
        <f aca="false">F874-E874</f>
        <v>102.193211935445</v>
      </c>
      <c r="I874" s="52" t="n">
        <f aca="false">MAX(H874,G874)</f>
        <v>137.07</v>
      </c>
      <c r="J874" s="4" t="str">
        <f aca="false">IFERROR("PN"&amp;SMALL(PN_list,COUNTIF(PN_list,"&lt;"&amp;I874*bar_per_m)+1),"&gt; max PN")</f>
        <v>PN16</v>
      </c>
      <c r="K874" s="4" t="str">
        <f aca="false">IF(L874="no","end at tank",IF(H874&lt;0,"NEGATIVE",IF(H874&lt;p_min-0.005,"low","OK")))</f>
        <v>OK</v>
      </c>
      <c r="L874" s="4" t="s">
        <v>414</v>
      </c>
    </row>
    <row r="875" customFormat="false" ht="15" hidden="false" customHeight="false" outlineLevel="0" collapsed="false">
      <c r="A875" s="4" t="s">
        <v>42</v>
      </c>
      <c r="B875" s="4" t="s">
        <v>368</v>
      </c>
      <c r="C875" s="47" t="n">
        <v>22810.58</v>
      </c>
      <c r="D875" s="48" t="n">
        <v>1532.23</v>
      </c>
      <c r="E875" s="49" t="n">
        <f aca="false">D875-cover</f>
        <v>1531.03</v>
      </c>
      <c r="F875" s="50" t="n">
        <f aca="false">'Z5 Ikana-Nkangamo'!S12-'Z5 Ikana-Nkangamo'!P12*C875/'Z5 Ikana-Nkangamo'!G12</f>
        <v>1633.05692015363</v>
      </c>
      <c r="G875" s="51" t="n">
        <f aca="false">'Z5 Ikana-Nkangamo'!$B$8-E875</f>
        <v>136.97</v>
      </c>
      <c r="H875" s="52" t="n">
        <f aca="false">F875-E875</f>
        <v>102.026920153635</v>
      </c>
      <c r="I875" s="52" t="n">
        <f aca="false">MAX(H875,G875)</f>
        <v>136.97</v>
      </c>
      <c r="J875" s="4" t="str">
        <f aca="false">IFERROR("PN"&amp;SMALL(PN_list,COUNTIF(PN_list,"&lt;"&amp;I875*bar_per_m)+1),"&gt; max PN")</f>
        <v>PN16</v>
      </c>
      <c r="K875" s="4" t="str">
        <f aca="false">IF(L875="no","end at tank",IF(H875&lt;0,"NEGATIVE",IF(H875&lt;p_min-0.005,"low","OK")))</f>
        <v>OK</v>
      </c>
      <c r="L875" s="4" t="s">
        <v>414</v>
      </c>
    </row>
    <row r="876" customFormat="false" ht="15" hidden="false" customHeight="false" outlineLevel="0" collapsed="false">
      <c r="A876" s="4" t="s">
        <v>42</v>
      </c>
      <c r="B876" s="4" t="s">
        <v>368</v>
      </c>
      <c r="C876" s="47" t="n">
        <v>22860.58</v>
      </c>
      <c r="D876" s="48" t="n">
        <v>1531.91</v>
      </c>
      <c r="E876" s="49" t="n">
        <f aca="false">D876-cover</f>
        <v>1530.71</v>
      </c>
      <c r="F876" s="50" t="n">
        <f aca="false">'Z5 Ikana-Nkangamo'!S12-'Z5 Ikana-Nkangamo'!P12*C876/'Z5 Ikana-Nkangamo'!G12</f>
        <v>1632.99062837182</v>
      </c>
      <c r="G876" s="51" t="n">
        <f aca="false">'Z5 Ikana-Nkangamo'!$B$8-E876</f>
        <v>137.29</v>
      </c>
      <c r="H876" s="52" t="n">
        <f aca="false">F876-E876</f>
        <v>102.280628371825</v>
      </c>
      <c r="I876" s="52" t="n">
        <f aca="false">MAX(H876,G876)</f>
        <v>137.29</v>
      </c>
      <c r="J876" s="4" t="str">
        <f aca="false">IFERROR("PN"&amp;SMALL(PN_list,COUNTIF(PN_list,"&lt;"&amp;I876*bar_per_m)+1),"&gt; max PN")</f>
        <v>PN16</v>
      </c>
      <c r="K876" s="4" t="str">
        <f aca="false">IF(L876="no","end at tank",IF(H876&lt;0,"NEGATIVE",IF(H876&lt;p_min-0.005,"low","OK")))</f>
        <v>OK</v>
      </c>
      <c r="L876" s="4" t="s">
        <v>414</v>
      </c>
    </row>
    <row r="877" customFormat="false" ht="15" hidden="false" customHeight="false" outlineLevel="0" collapsed="false">
      <c r="A877" s="4" t="s">
        <v>42</v>
      </c>
      <c r="B877" s="4" t="s">
        <v>368</v>
      </c>
      <c r="C877" s="47" t="n">
        <v>22910.58</v>
      </c>
      <c r="D877" s="48" t="n">
        <v>1531.9</v>
      </c>
      <c r="E877" s="49" t="n">
        <f aca="false">D877-cover</f>
        <v>1530.7</v>
      </c>
      <c r="F877" s="50" t="n">
        <f aca="false">'Z5 Ikana-Nkangamo'!S12-'Z5 Ikana-Nkangamo'!P12*C877/'Z5 Ikana-Nkangamo'!G12</f>
        <v>1632.92433659002</v>
      </c>
      <c r="G877" s="51" t="n">
        <f aca="false">'Z5 Ikana-Nkangamo'!$B$8-E877</f>
        <v>137.3</v>
      </c>
      <c r="H877" s="52" t="n">
        <f aca="false">F877-E877</f>
        <v>102.224336590015</v>
      </c>
      <c r="I877" s="52" t="n">
        <f aca="false">MAX(H877,G877)</f>
        <v>137.3</v>
      </c>
      <c r="J877" s="4" t="str">
        <f aca="false">IFERROR("PN"&amp;SMALL(PN_list,COUNTIF(PN_list,"&lt;"&amp;I877*bar_per_m)+1),"&gt; max PN")</f>
        <v>PN16</v>
      </c>
      <c r="K877" s="4" t="str">
        <f aca="false">IF(L877="no","end at tank",IF(H877&lt;0,"NEGATIVE",IF(H877&lt;p_min-0.005,"low","OK")))</f>
        <v>OK</v>
      </c>
      <c r="L877" s="4" t="s">
        <v>414</v>
      </c>
    </row>
    <row r="878" customFormat="false" ht="15" hidden="false" customHeight="false" outlineLevel="0" collapsed="false">
      <c r="A878" s="4" t="s">
        <v>42</v>
      </c>
      <c r="B878" s="4" t="s">
        <v>368</v>
      </c>
      <c r="C878" s="47" t="n">
        <v>22960.58</v>
      </c>
      <c r="D878" s="48" t="n">
        <v>1531.62</v>
      </c>
      <c r="E878" s="49" t="n">
        <f aca="false">D878-cover</f>
        <v>1530.42</v>
      </c>
      <c r="F878" s="50" t="n">
        <f aca="false">'Z5 Ikana-Nkangamo'!S12-'Z5 Ikana-Nkangamo'!P12*C878/'Z5 Ikana-Nkangamo'!G12</f>
        <v>1632.85804480821</v>
      </c>
      <c r="G878" s="51" t="n">
        <f aca="false">'Z5 Ikana-Nkangamo'!$B$8-E878</f>
        <v>137.58</v>
      </c>
      <c r="H878" s="52" t="n">
        <f aca="false">F878-E878</f>
        <v>102.438044808205</v>
      </c>
      <c r="I878" s="52" t="n">
        <f aca="false">MAX(H878,G878)</f>
        <v>137.58</v>
      </c>
      <c r="J878" s="4" t="str">
        <f aca="false">IFERROR("PN"&amp;SMALL(PN_list,COUNTIF(PN_list,"&lt;"&amp;I878*bar_per_m)+1),"&gt; max PN")</f>
        <v>PN16</v>
      </c>
      <c r="K878" s="4" t="str">
        <f aca="false">IF(L878="no","end at tank",IF(H878&lt;0,"NEGATIVE",IF(H878&lt;p_min-0.005,"low","OK")))</f>
        <v>OK</v>
      </c>
      <c r="L878" s="4" t="s">
        <v>414</v>
      </c>
    </row>
    <row r="879" customFormat="false" ht="15" hidden="false" customHeight="false" outlineLevel="0" collapsed="false">
      <c r="A879" s="4" t="s">
        <v>42</v>
      </c>
      <c r="B879" s="4" t="s">
        <v>368</v>
      </c>
      <c r="C879" s="47" t="n">
        <v>23010.59</v>
      </c>
      <c r="D879" s="48" t="n">
        <v>1531.32</v>
      </c>
      <c r="E879" s="49" t="n">
        <f aca="false">D879-cover</f>
        <v>1530.12</v>
      </c>
      <c r="F879" s="50" t="n">
        <f aca="false">'Z5 Ikana-Nkangamo'!S12-'Z5 Ikana-Nkangamo'!P12*C879/'Z5 Ikana-Nkangamo'!G12</f>
        <v>1632.79173976804</v>
      </c>
      <c r="G879" s="51" t="n">
        <f aca="false">'Z5 Ikana-Nkangamo'!$B$8-E879</f>
        <v>137.88</v>
      </c>
      <c r="H879" s="52" t="n">
        <f aca="false">F879-E879</f>
        <v>102.671739768039</v>
      </c>
      <c r="I879" s="52" t="n">
        <f aca="false">MAX(H879,G879)</f>
        <v>137.88</v>
      </c>
      <c r="J879" s="4" t="str">
        <f aca="false">IFERROR("PN"&amp;SMALL(PN_list,COUNTIF(PN_list,"&lt;"&amp;I879*bar_per_m)+1),"&gt; max PN")</f>
        <v>PN16</v>
      </c>
      <c r="K879" s="4" t="str">
        <f aca="false">IF(L879="no","end at tank",IF(H879&lt;0,"NEGATIVE",IF(H879&lt;p_min-0.005,"low","OK")))</f>
        <v>OK</v>
      </c>
      <c r="L879" s="4" t="s">
        <v>414</v>
      </c>
    </row>
    <row r="880" customFormat="false" ht="15" hidden="false" customHeight="false" outlineLevel="0" collapsed="false">
      <c r="A880" s="4" t="s">
        <v>42</v>
      </c>
      <c r="B880" s="4" t="s">
        <v>368</v>
      </c>
      <c r="C880" s="47" t="n">
        <v>23060.59</v>
      </c>
      <c r="D880" s="48" t="n">
        <v>1531.19</v>
      </c>
      <c r="E880" s="49" t="n">
        <f aca="false">D880-cover</f>
        <v>1529.99</v>
      </c>
      <c r="F880" s="50" t="n">
        <f aca="false">'Z5 Ikana-Nkangamo'!S12-'Z5 Ikana-Nkangamo'!P12*C880/'Z5 Ikana-Nkangamo'!G12</f>
        <v>1632.72544798623</v>
      </c>
      <c r="G880" s="51" t="n">
        <f aca="false">'Z5 Ikana-Nkangamo'!$B$8-E880</f>
        <v>138.01</v>
      </c>
      <c r="H880" s="52" t="n">
        <f aca="false">F880-E880</f>
        <v>102.735447986229</v>
      </c>
      <c r="I880" s="52" t="n">
        <f aca="false">MAX(H880,G880)</f>
        <v>138.01</v>
      </c>
      <c r="J880" s="4" t="str">
        <f aca="false">IFERROR("PN"&amp;SMALL(PN_list,COUNTIF(PN_list,"&lt;"&amp;I880*bar_per_m)+1),"&gt; max PN")</f>
        <v>PN16</v>
      </c>
      <c r="K880" s="4" t="str">
        <f aca="false">IF(L880="no","end at tank",IF(H880&lt;0,"NEGATIVE",IF(H880&lt;p_min-0.005,"low","OK")))</f>
        <v>OK</v>
      </c>
      <c r="L880" s="4" t="s">
        <v>414</v>
      </c>
    </row>
    <row r="881" customFormat="false" ht="15" hidden="false" customHeight="false" outlineLevel="0" collapsed="false">
      <c r="A881" s="4" t="s">
        <v>42</v>
      </c>
      <c r="B881" s="4" t="s">
        <v>368</v>
      </c>
      <c r="C881" s="47" t="n">
        <v>23110.59</v>
      </c>
      <c r="D881" s="48" t="n">
        <v>1530.74</v>
      </c>
      <c r="E881" s="49" t="n">
        <f aca="false">D881-cover</f>
        <v>1529.54</v>
      </c>
      <c r="F881" s="50" t="n">
        <f aca="false">'Z5 Ikana-Nkangamo'!S12-'Z5 Ikana-Nkangamo'!P12*C881/'Z5 Ikana-Nkangamo'!G12</f>
        <v>1632.65915620442</v>
      </c>
      <c r="G881" s="51" t="n">
        <f aca="false">'Z5 Ikana-Nkangamo'!$B$8-E881</f>
        <v>138.46</v>
      </c>
      <c r="H881" s="52" t="n">
        <f aca="false">F881-E881</f>
        <v>103.119156204419</v>
      </c>
      <c r="I881" s="52" t="n">
        <f aca="false">MAX(H881,G881)</f>
        <v>138.46</v>
      </c>
      <c r="J881" s="4" t="str">
        <f aca="false">IFERROR("PN"&amp;SMALL(PN_list,COUNTIF(PN_list,"&lt;"&amp;I881*bar_per_m)+1),"&gt; max PN")</f>
        <v>PN16</v>
      </c>
      <c r="K881" s="4" t="str">
        <f aca="false">IF(L881="no","end at tank",IF(H881&lt;0,"NEGATIVE",IF(H881&lt;p_min-0.005,"low","OK")))</f>
        <v>OK</v>
      </c>
      <c r="L881" s="4" t="s">
        <v>414</v>
      </c>
    </row>
    <row r="882" customFormat="false" ht="15" hidden="false" customHeight="false" outlineLevel="0" collapsed="false">
      <c r="A882" s="4" t="s">
        <v>42</v>
      </c>
      <c r="B882" s="4" t="s">
        <v>368</v>
      </c>
      <c r="C882" s="47" t="n">
        <v>23160.59</v>
      </c>
      <c r="D882" s="48" t="n">
        <v>1530.46</v>
      </c>
      <c r="E882" s="49" t="n">
        <f aca="false">D882-cover</f>
        <v>1529.26</v>
      </c>
      <c r="F882" s="50" t="n">
        <f aca="false">'Z5 Ikana-Nkangamo'!S12-'Z5 Ikana-Nkangamo'!P12*C882/'Z5 Ikana-Nkangamo'!G12</f>
        <v>1632.59286442261</v>
      </c>
      <c r="G882" s="51" t="n">
        <f aca="false">'Z5 Ikana-Nkangamo'!$B$8-E882</f>
        <v>138.74</v>
      </c>
      <c r="H882" s="52" t="n">
        <f aca="false">F882-E882</f>
        <v>103.332864422609</v>
      </c>
      <c r="I882" s="52" t="n">
        <f aca="false">MAX(H882,G882)</f>
        <v>138.74</v>
      </c>
      <c r="J882" s="4" t="str">
        <f aca="false">IFERROR("PN"&amp;SMALL(PN_list,COUNTIF(PN_list,"&lt;"&amp;I882*bar_per_m)+1),"&gt; max PN")</f>
        <v>PN16</v>
      </c>
      <c r="K882" s="4" t="str">
        <f aca="false">IF(L882="no","end at tank",IF(H882&lt;0,"NEGATIVE",IF(H882&lt;p_min-0.005,"low","OK")))</f>
        <v>OK</v>
      </c>
      <c r="L882" s="4" t="s">
        <v>414</v>
      </c>
    </row>
    <row r="883" customFormat="false" ht="15" hidden="false" customHeight="false" outlineLevel="0" collapsed="false">
      <c r="A883" s="4" t="s">
        <v>42</v>
      </c>
      <c r="B883" s="4" t="s">
        <v>368</v>
      </c>
      <c r="C883" s="47" t="n">
        <v>23210.59</v>
      </c>
      <c r="D883" s="48" t="n">
        <v>1530.06</v>
      </c>
      <c r="E883" s="49" t="n">
        <f aca="false">D883-cover</f>
        <v>1528.86</v>
      </c>
      <c r="F883" s="50" t="n">
        <f aca="false">'Z5 Ikana-Nkangamo'!S12-'Z5 Ikana-Nkangamo'!P12*C883/'Z5 Ikana-Nkangamo'!G12</f>
        <v>1632.5265726408</v>
      </c>
      <c r="G883" s="51" t="n">
        <f aca="false">'Z5 Ikana-Nkangamo'!$B$8-E883</f>
        <v>139.14</v>
      </c>
      <c r="H883" s="52" t="n">
        <f aca="false">F883-E883</f>
        <v>103.666572640799</v>
      </c>
      <c r="I883" s="52" t="n">
        <f aca="false">MAX(H883,G883)</f>
        <v>139.14</v>
      </c>
      <c r="J883" s="4" t="str">
        <f aca="false">IFERROR("PN"&amp;SMALL(PN_list,COUNTIF(PN_list,"&lt;"&amp;I883*bar_per_m)+1),"&gt; max PN")</f>
        <v>PN16</v>
      </c>
      <c r="K883" s="4" t="str">
        <f aca="false">IF(L883="no","end at tank",IF(H883&lt;0,"NEGATIVE",IF(H883&lt;p_min-0.005,"low","OK")))</f>
        <v>OK</v>
      </c>
      <c r="L883" s="4" t="s">
        <v>414</v>
      </c>
    </row>
    <row r="884" customFormat="false" ht="15" hidden="false" customHeight="false" outlineLevel="0" collapsed="false">
      <c r="A884" s="4" t="s">
        <v>42</v>
      </c>
      <c r="B884" s="4" t="s">
        <v>368</v>
      </c>
      <c r="C884" s="47" t="n">
        <v>23260.61</v>
      </c>
      <c r="D884" s="48" t="n">
        <v>1528.78</v>
      </c>
      <c r="E884" s="49" t="n">
        <f aca="false">D884-cover</f>
        <v>1527.58</v>
      </c>
      <c r="F884" s="50" t="n">
        <f aca="false">'Z5 Ikana-Nkangamo'!S12-'Z5 Ikana-Nkangamo'!P12*C884/'Z5 Ikana-Nkangamo'!G12</f>
        <v>1632.46025434228</v>
      </c>
      <c r="G884" s="51" t="n">
        <f aca="false">'Z5 Ikana-Nkangamo'!$B$8-E884</f>
        <v>140.42</v>
      </c>
      <c r="H884" s="52" t="n">
        <f aca="false">F884-E884</f>
        <v>104.880254342276</v>
      </c>
      <c r="I884" s="52" t="n">
        <f aca="false">MAX(H884,G884)</f>
        <v>140.42</v>
      </c>
      <c r="J884" s="4" t="str">
        <f aca="false">IFERROR("PN"&amp;SMALL(PN_list,COUNTIF(PN_list,"&lt;"&amp;I884*bar_per_m)+1),"&gt; max PN")</f>
        <v>PN16</v>
      </c>
      <c r="K884" s="4" t="str">
        <f aca="false">IF(L884="no","end at tank",IF(H884&lt;0,"NEGATIVE",IF(H884&lt;p_min-0.005,"low","OK")))</f>
        <v>OK</v>
      </c>
      <c r="L884" s="4" t="s">
        <v>414</v>
      </c>
    </row>
    <row r="885" customFormat="false" ht="15" hidden="false" customHeight="false" outlineLevel="0" collapsed="false">
      <c r="A885" s="4" t="s">
        <v>42</v>
      </c>
      <c r="B885" s="4" t="s">
        <v>368</v>
      </c>
      <c r="C885" s="47" t="n">
        <v>23310.61</v>
      </c>
      <c r="D885" s="48" t="n">
        <v>1527.93</v>
      </c>
      <c r="E885" s="49" t="n">
        <f aca="false">D885-cover</f>
        <v>1526.73</v>
      </c>
      <c r="F885" s="50" t="n">
        <f aca="false">'Z5 Ikana-Nkangamo'!S12-'Z5 Ikana-Nkangamo'!P12*C885/'Z5 Ikana-Nkangamo'!G12</f>
        <v>1632.39396256047</v>
      </c>
      <c r="G885" s="51" t="n">
        <f aca="false">'Z5 Ikana-Nkangamo'!$B$8-E885</f>
        <v>141.27</v>
      </c>
      <c r="H885" s="52" t="n">
        <f aca="false">F885-E885</f>
        <v>105.663962560466</v>
      </c>
      <c r="I885" s="52" t="n">
        <f aca="false">MAX(H885,G885)</f>
        <v>141.27</v>
      </c>
      <c r="J885" s="4" t="str">
        <f aca="false">IFERROR("PN"&amp;SMALL(PN_list,COUNTIF(PN_list,"&lt;"&amp;I885*bar_per_m)+1),"&gt; max PN")</f>
        <v>PN16</v>
      </c>
      <c r="K885" s="4" t="str">
        <f aca="false">IF(L885="no","end at tank",IF(H885&lt;0,"NEGATIVE",IF(H885&lt;p_min-0.005,"low","OK")))</f>
        <v>OK</v>
      </c>
      <c r="L885" s="4" t="s">
        <v>414</v>
      </c>
    </row>
    <row r="886" customFormat="false" ht="15" hidden="false" customHeight="false" outlineLevel="0" collapsed="false">
      <c r="A886" s="4" t="s">
        <v>42</v>
      </c>
      <c r="B886" s="4" t="s">
        <v>368</v>
      </c>
      <c r="C886" s="47" t="n">
        <v>23360.62</v>
      </c>
      <c r="D886" s="48" t="n">
        <v>1527.06</v>
      </c>
      <c r="E886" s="49" t="n">
        <f aca="false">D886-cover</f>
        <v>1525.86</v>
      </c>
      <c r="F886" s="50" t="n">
        <f aca="false">'Z5 Ikana-Nkangamo'!S12-'Z5 Ikana-Nkangamo'!P12*C886/'Z5 Ikana-Nkangamo'!G12</f>
        <v>1632.3276575203</v>
      </c>
      <c r="G886" s="51" t="n">
        <f aca="false">'Z5 Ikana-Nkangamo'!$B$8-E886</f>
        <v>142.14</v>
      </c>
      <c r="H886" s="52" t="n">
        <f aca="false">F886-E886</f>
        <v>106.4676575203</v>
      </c>
      <c r="I886" s="52" t="n">
        <f aca="false">MAX(H886,G886)</f>
        <v>142.14</v>
      </c>
      <c r="J886" s="4" t="str">
        <f aca="false">IFERROR("PN"&amp;SMALL(PN_list,COUNTIF(PN_list,"&lt;"&amp;I886*bar_per_m)+1),"&gt; max PN")</f>
        <v>PN16</v>
      </c>
      <c r="K886" s="4" t="str">
        <f aca="false">IF(L886="no","end at tank",IF(H886&lt;0,"NEGATIVE",IF(H886&lt;p_min-0.005,"low","OK")))</f>
        <v>OK</v>
      </c>
      <c r="L886" s="4" t="s">
        <v>414</v>
      </c>
    </row>
    <row r="887" customFormat="false" ht="15" hidden="false" customHeight="false" outlineLevel="0" collapsed="false">
      <c r="A887" s="4" t="s">
        <v>42</v>
      </c>
      <c r="B887" s="4" t="s">
        <v>368</v>
      </c>
      <c r="C887" s="47" t="n">
        <v>23410.65</v>
      </c>
      <c r="D887" s="48" t="n">
        <v>1525.43</v>
      </c>
      <c r="E887" s="49" t="n">
        <f aca="false">D887-cover</f>
        <v>1524.23</v>
      </c>
      <c r="F887" s="50" t="n">
        <f aca="false">'Z5 Ikana-Nkangamo'!S12-'Z5 Ikana-Nkangamo'!P12*C887/'Z5 Ikana-Nkangamo'!G12</f>
        <v>1632.26132596342</v>
      </c>
      <c r="G887" s="51" t="n">
        <f aca="false">'Z5 Ikana-Nkangamo'!$B$8-E887</f>
        <v>143.77</v>
      </c>
      <c r="H887" s="52" t="n">
        <f aca="false">F887-E887</f>
        <v>108.031325963421</v>
      </c>
      <c r="I887" s="52" t="n">
        <f aca="false">MAX(H887,G887)</f>
        <v>143.77</v>
      </c>
      <c r="J887" s="4" t="str">
        <f aca="false">IFERROR("PN"&amp;SMALL(PN_list,COUNTIF(PN_list,"&lt;"&amp;I887*bar_per_m)+1),"&gt; max PN")</f>
        <v>PN16</v>
      </c>
      <c r="K887" s="4" t="str">
        <f aca="false">IF(L887="no","end at tank",IF(H887&lt;0,"NEGATIVE",IF(H887&lt;p_min-0.005,"low","OK")))</f>
        <v>OK</v>
      </c>
      <c r="L887" s="4" t="s">
        <v>414</v>
      </c>
    </row>
    <row r="888" customFormat="false" ht="15" hidden="false" customHeight="false" outlineLevel="0" collapsed="false">
      <c r="A888" s="4" t="s">
        <v>42</v>
      </c>
      <c r="B888" s="4" t="s">
        <v>368</v>
      </c>
      <c r="C888" s="47" t="n">
        <v>23460.66</v>
      </c>
      <c r="D888" s="48" t="n">
        <v>1524.13</v>
      </c>
      <c r="E888" s="49" t="n">
        <f aca="false">D888-cover</f>
        <v>1522.93</v>
      </c>
      <c r="F888" s="50" t="n">
        <f aca="false">'Z5 Ikana-Nkangamo'!S12-'Z5 Ikana-Nkangamo'!P12*C888/'Z5 Ikana-Nkangamo'!G12</f>
        <v>1632.19502092325</v>
      </c>
      <c r="G888" s="51" t="n">
        <f aca="false">'Z5 Ikana-Nkangamo'!$B$8-E888</f>
        <v>145.07</v>
      </c>
      <c r="H888" s="52" t="n">
        <f aca="false">F888-E888</f>
        <v>109.265020923255</v>
      </c>
      <c r="I888" s="52" t="n">
        <f aca="false">MAX(H888,G888)</f>
        <v>145.07</v>
      </c>
      <c r="J888" s="4" t="str">
        <f aca="false">IFERROR("PN"&amp;SMALL(PN_list,COUNTIF(PN_list,"&lt;"&amp;I888*bar_per_m)+1),"&gt; max PN")</f>
        <v>PN16</v>
      </c>
      <c r="K888" s="4" t="str">
        <f aca="false">IF(L888="no","end at tank",IF(H888&lt;0,"NEGATIVE",IF(H888&lt;p_min-0.005,"low","OK")))</f>
        <v>OK</v>
      </c>
      <c r="L888" s="4" t="s">
        <v>414</v>
      </c>
    </row>
    <row r="889" customFormat="false" ht="15" hidden="false" customHeight="false" outlineLevel="0" collapsed="false">
      <c r="A889" s="4" t="s">
        <v>42</v>
      </c>
      <c r="B889" s="4" t="s">
        <v>368</v>
      </c>
      <c r="C889" s="47" t="n">
        <v>23510.68</v>
      </c>
      <c r="D889" s="48" t="n">
        <v>1522.99</v>
      </c>
      <c r="E889" s="49" t="n">
        <f aca="false">D889-cover</f>
        <v>1521.79</v>
      </c>
      <c r="F889" s="50" t="n">
        <f aca="false">'Z5 Ikana-Nkangamo'!S12-'Z5 Ikana-Nkangamo'!P12*C889/'Z5 Ikana-Nkangamo'!G12</f>
        <v>1632.12870262473</v>
      </c>
      <c r="G889" s="51" t="n">
        <f aca="false">'Z5 Ikana-Nkangamo'!$B$8-E889</f>
        <v>146.21</v>
      </c>
      <c r="H889" s="52" t="n">
        <f aca="false">F889-E889</f>
        <v>110.338702624732</v>
      </c>
      <c r="I889" s="52" t="n">
        <f aca="false">MAX(H889,G889)</f>
        <v>146.21</v>
      </c>
      <c r="J889" s="4" t="str">
        <f aca="false">IFERROR("PN"&amp;SMALL(PN_list,COUNTIF(PN_list,"&lt;"&amp;I889*bar_per_m)+1),"&gt; max PN")</f>
        <v>PN16</v>
      </c>
      <c r="K889" s="4" t="str">
        <f aca="false">IF(L889="no","end at tank",IF(H889&lt;0,"NEGATIVE",IF(H889&lt;p_min-0.005,"low","OK")))</f>
        <v>OK</v>
      </c>
      <c r="L889" s="4" t="s">
        <v>414</v>
      </c>
    </row>
    <row r="890" customFormat="false" ht="15" hidden="false" customHeight="false" outlineLevel="0" collapsed="false">
      <c r="A890" s="4" t="s">
        <v>42</v>
      </c>
      <c r="B890" s="4" t="s">
        <v>368</v>
      </c>
      <c r="C890" s="47" t="n">
        <v>23560.74</v>
      </c>
      <c r="D890" s="48" t="n">
        <v>1520.49</v>
      </c>
      <c r="E890" s="49" t="n">
        <f aca="false">D890-cover</f>
        <v>1519.29</v>
      </c>
      <c r="F890" s="50" t="n">
        <f aca="false">'Z5 Ikana-Nkangamo'!S12-'Z5 Ikana-Nkangamo'!P12*C890/'Z5 Ikana-Nkangamo'!G12</f>
        <v>1632.06233129278</v>
      </c>
      <c r="G890" s="51" t="n">
        <f aca="false">'Z5 Ikana-Nkangamo'!$B$8-E890</f>
        <v>148.71</v>
      </c>
      <c r="H890" s="52" t="n">
        <f aca="false">F890-E890</f>
        <v>112.772331292784</v>
      </c>
      <c r="I890" s="52" t="n">
        <f aca="false">MAX(H890,G890)</f>
        <v>148.71</v>
      </c>
      <c r="J890" s="4" t="str">
        <f aca="false">IFERROR("PN"&amp;SMALL(PN_list,COUNTIF(PN_list,"&lt;"&amp;I890*bar_per_m)+1),"&gt; max PN")</f>
        <v>PN16</v>
      </c>
      <c r="K890" s="4" t="str">
        <f aca="false">IF(L890="no","end at tank",IF(H890&lt;0,"NEGATIVE",IF(H890&lt;p_min-0.005,"low","OK")))</f>
        <v>OK</v>
      </c>
      <c r="L890" s="4" t="s">
        <v>414</v>
      </c>
    </row>
    <row r="891" customFormat="false" ht="15" hidden="false" customHeight="false" outlineLevel="0" collapsed="false">
      <c r="A891" s="4" t="s">
        <v>42</v>
      </c>
      <c r="B891" s="4" t="s">
        <v>368</v>
      </c>
      <c r="C891" s="47" t="n">
        <v>23610.76</v>
      </c>
      <c r="D891" s="48" t="n">
        <v>1519.11</v>
      </c>
      <c r="E891" s="49" t="n">
        <f aca="false">D891-cover</f>
        <v>1517.91</v>
      </c>
      <c r="F891" s="50" t="n">
        <f aca="false">'Z5 Ikana-Nkangamo'!S12-'Z5 Ikana-Nkangamo'!P12*C891/'Z5 Ikana-Nkangamo'!G12</f>
        <v>1631.99601299426</v>
      </c>
      <c r="G891" s="51" t="n">
        <f aca="false">'Z5 Ikana-Nkangamo'!$B$8-E891</f>
        <v>150.09</v>
      </c>
      <c r="H891" s="52" t="n">
        <f aca="false">F891-E891</f>
        <v>114.086012994261</v>
      </c>
      <c r="I891" s="52" t="n">
        <f aca="false">MAX(H891,G891)</f>
        <v>150.09</v>
      </c>
      <c r="J891" s="4" t="str">
        <f aca="false">IFERROR("PN"&amp;SMALL(PN_list,COUNTIF(PN_list,"&lt;"&amp;I891*bar_per_m)+1),"&gt; max PN")</f>
        <v>PN16</v>
      </c>
      <c r="K891" s="4" t="str">
        <f aca="false">IF(L891="no","end at tank",IF(H891&lt;0,"NEGATIVE",IF(H891&lt;p_min-0.005,"low","OK")))</f>
        <v>OK</v>
      </c>
      <c r="L891" s="4" t="s">
        <v>414</v>
      </c>
    </row>
    <row r="892" customFormat="false" ht="15" hidden="false" customHeight="false" outlineLevel="0" collapsed="false">
      <c r="A892" s="4" t="s">
        <v>42</v>
      </c>
      <c r="B892" s="4" t="s">
        <v>368</v>
      </c>
      <c r="C892" s="47" t="n">
        <v>23660.79</v>
      </c>
      <c r="D892" s="48" t="n">
        <v>1517.38</v>
      </c>
      <c r="E892" s="49" t="n">
        <f aca="false">D892-cover</f>
        <v>1516.18</v>
      </c>
      <c r="F892" s="50" t="n">
        <f aca="false">'Z5 Ikana-Nkangamo'!S12-'Z5 Ikana-Nkangamo'!P12*C892/'Z5 Ikana-Nkangamo'!G12</f>
        <v>1631.92968143738</v>
      </c>
      <c r="G892" s="51" t="n">
        <f aca="false">'Z5 Ikana-Nkangamo'!$B$8-E892</f>
        <v>151.82</v>
      </c>
      <c r="H892" s="52" t="n">
        <f aca="false">F892-E892</f>
        <v>115.749681437382</v>
      </c>
      <c r="I892" s="52" t="n">
        <f aca="false">MAX(H892,G892)</f>
        <v>151.82</v>
      </c>
      <c r="J892" s="4" t="str">
        <f aca="false">IFERROR("PN"&amp;SMALL(PN_list,COUNTIF(PN_list,"&lt;"&amp;I892*bar_per_m)+1),"&gt; max PN")</f>
        <v>PN16</v>
      </c>
      <c r="K892" s="4" t="str">
        <f aca="false">IF(L892="no","end at tank",IF(H892&lt;0,"NEGATIVE",IF(H892&lt;p_min-0.005,"low","OK")))</f>
        <v>OK</v>
      </c>
      <c r="L892" s="4" t="s">
        <v>414</v>
      </c>
    </row>
    <row r="893" customFormat="false" ht="15" hidden="false" customHeight="false" outlineLevel="0" collapsed="false">
      <c r="A893" s="4" t="s">
        <v>42</v>
      </c>
      <c r="B893" s="4" t="s">
        <v>368</v>
      </c>
      <c r="C893" s="47" t="n">
        <v>23710.81</v>
      </c>
      <c r="D893" s="48" t="n">
        <v>1515.88</v>
      </c>
      <c r="E893" s="49" t="n">
        <f aca="false">D893-cover</f>
        <v>1514.68</v>
      </c>
      <c r="F893" s="50" t="n">
        <f aca="false">'Z5 Ikana-Nkangamo'!S12-'Z5 Ikana-Nkangamo'!P12*C893/'Z5 Ikana-Nkangamo'!G12</f>
        <v>1631.86336313886</v>
      </c>
      <c r="G893" s="51" t="n">
        <f aca="false">'Z5 Ikana-Nkangamo'!$B$8-E893</f>
        <v>153.32</v>
      </c>
      <c r="H893" s="52" t="n">
        <f aca="false">F893-E893</f>
        <v>117.183363138859</v>
      </c>
      <c r="I893" s="52" t="n">
        <f aca="false">MAX(H893,G893)</f>
        <v>153.32</v>
      </c>
      <c r="J893" s="4" t="str">
        <f aca="false">IFERROR("PN"&amp;SMALL(PN_list,COUNTIF(PN_list,"&lt;"&amp;I893*bar_per_m)+1),"&gt; max PN")</f>
        <v>PN16</v>
      </c>
      <c r="K893" s="4" t="str">
        <f aca="false">IF(L893="no","end at tank",IF(H893&lt;0,"NEGATIVE",IF(H893&lt;p_min-0.005,"low","OK")))</f>
        <v>OK</v>
      </c>
      <c r="L893" s="4" t="s">
        <v>414</v>
      </c>
    </row>
    <row r="894" customFormat="false" ht="15" hidden="false" customHeight="false" outlineLevel="0" collapsed="false">
      <c r="A894" s="4" t="s">
        <v>42</v>
      </c>
      <c r="B894" s="4" t="s">
        <v>368</v>
      </c>
      <c r="C894" s="47" t="n">
        <v>23760.84</v>
      </c>
      <c r="D894" s="48" t="n">
        <v>1514.2</v>
      </c>
      <c r="E894" s="49" t="n">
        <f aca="false">D894-cover</f>
        <v>1513</v>
      </c>
      <c r="F894" s="50" t="n">
        <f aca="false">'Z5 Ikana-Nkangamo'!S12-'Z5 Ikana-Nkangamo'!P12*C894/'Z5 Ikana-Nkangamo'!G12</f>
        <v>1631.79703158198</v>
      </c>
      <c r="G894" s="51" t="n">
        <f aca="false">'Z5 Ikana-Nkangamo'!$B$8-E894</f>
        <v>155</v>
      </c>
      <c r="H894" s="52" t="n">
        <f aca="false">F894-E894</f>
        <v>118.79703158198</v>
      </c>
      <c r="I894" s="52" t="n">
        <f aca="false">MAX(H894,G894)</f>
        <v>155</v>
      </c>
      <c r="J894" s="4" t="str">
        <f aca="false">IFERROR("PN"&amp;SMALL(PN_list,COUNTIF(PN_list,"&lt;"&amp;I894*bar_per_m)+1),"&gt; max PN")</f>
        <v>PN16</v>
      </c>
      <c r="K894" s="4" t="str">
        <f aca="false">IF(L894="no","end at tank",IF(H894&lt;0,"NEGATIVE",IF(H894&lt;p_min-0.005,"low","OK")))</f>
        <v>OK</v>
      </c>
      <c r="L894" s="4" t="s">
        <v>414</v>
      </c>
    </row>
    <row r="895" customFormat="false" ht="15" hidden="false" customHeight="false" outlineLevel="0" collapsed="false">
      <c r="A895" s="4" t="s">
        <v>42</v>
      </c>
      <c r="B895" s="4" t="s">
        <v>368</v>
      </c>
      <c r="C895" s="47" t="n">
        <v>23810.86</v>
      </c>
      <c r="D895" s="48" t="n">
        <v>1512.64</v>
      </c>
      <c r="E895" s="49" t="n">
        <f aca="false">D895-cover</f>
        <v>1511.44</v>
      </c>
      <c r="F895" s="50" t="n">
        <f aca="false">'Z5 Ikana-Nkangamo'!S12-'Z5 Ikana-Nkangamo'!P12*C895/'Z5 Ikana-Nkangamo'!G12</f>
        <v>1631.73071328346</v>
      </c>
      <c r="G895" s="51" t="n">
        <f aca="false">'Z5 Ikana-Nkangamo'!$B$8-E895</f>
        <v>156.56</v>
      </c>
      <c r="H895" s="52" t="n">
        <f aca="false">F895-E895</f>
        <v>120.290713283458</v>
      </c>
      <c r="I895" s="52" t="n">
        <f aca="false">MAX(H895,G895)</f>
        <v>156.56</v>
      </c>
      <c r="J895" s="4" t="str">
        <f aca="false">IFERROR("PN"&amp;SMALL(PN_list,COUNTIF(PN_list,"&lt;"&amp;I895*bar_per_m)+1),"&gt; max PN")</f>
        <v>PN16</v>
      </c>
      <c r="K895" s="4" t="str">
        <f aca="false">IF(L895="no","end at tank",IF(H895&lt;0,"NEGATIVE",IF(H895&lt;p_min-0.005,"low","OK")))</f>
        <v>OK</v>
      </c>
      <c r="L895" s="4" t="s">
        <v>414</v>
      </c>
    </row>
    <row r="896" customFormat="false" ht="15" hidden="false" customHeight="false" outlineLevel="0" collapsed="false">
      <c r="A896" s="4" t="s">
        <v>42</v>
      </c>
      <c r="B896" s="4" t="s">
        <v>368</v>
      </c>
      <c r="C896" s="47" t="n">
        <v>23860.86</v>
      </c>
      <c r="D896" s="48" t="n">
        <v>1512.59</v>
      </c>
      <c r="E896" s="49" t="n">
        <f aca="false">D896-cover</f>
        <v>1511.39</v>
      </c>
      <c r="F896" s="50" t="n">
        <f aca="false">'Z5 Ikana-Nkangamo'!S12-'Z5 Ikana-Nkangamo'!P12*C896/'Z5 Ikana-Nkangamo'!G12</f>
        <v>1631.66442150165</v>
      </c>
      <c r="G896" s="51" t="n">
        <f aca="false">'Z5 Ikana-Nkangamo'!$B$8-E896</f>
        <v>156.61</v>
      </c>
      <c r="H896" s="52" t="n">
        <f aca="false">F896-E896</f>
        <v>120.274421501648</v>
      </c>
      <c r="I896" s="52" t="n">
        <f aca="false">MAX(H896,G896)</f>
        <v>156.61</v>
      </c>
      <c r="J896" s="4" t="str">
        <f aca="false">IFERROR("PN"&amp;SMALL(PN_list,COUNTIF(PN_list,"&lt;"&amp;I896*bar_per_m)+1),"&gt; max PN")</f>
        <v>PN16</v>
      </c>
      <c r="K896" s="4" t="str">
        <f aca="false">IF(L896="no","end at tank",IF(H896&lt;0,"NEGATIVE",IF(H896&lt;p_min-0.005,"low","OK")))</f>
        <v>OK</v>
      </c>
      <c r="L896" s="4" t="s">
        <v>414</v>
      </c>
    </row>
    <row r="897" customFormat="false" ht="15" hidden="false" customHeight="false" outlineLevel="0" collapsed="false">
      <c r="A897" s="4" t="s">
        <v>42</v>
      </c>
      <c r="B897" s="4" t="s">
        <v>368</v>
      </c>
      <c r="C897" s="47" t="n">
        <v>23910.91</v>
      </c>
      <c r="D897" s="48" t="n">
        <v>1510.42</v>
      </c>
      <c r="E897" s="49" t="n">
        <f aca="false">D897-cover</f>
        <v>1509.22</v>
      </c>
      <c r="F897" s="50" t="n">
        <f aca="false">'Z5 Ikana-Nkangamo'!S12-'Z5 Ikana-Nkangamo'!P12*C897/'Z5 Ikana-Nkangamo'!G12</f>
        <v>1631.59806342806</v>
      </c>
      <c r="G897" s="51" t="n">
        <f aca="false">'Z5 Ikana-Nkangamo'!$B$8-E897</f>
        <v>158.78</v>
      </c>
      <c r="H897" s="52" t="n">
        <f aca="false">F897-E897</f>
        <v>122.378063428056</v>
      </c>
      <c r="I897" s="52" t="n">
        <f aca="false">MAX(H897,G897)</f>
        <v>158.78</v>
      </c>
      <c r="J897" s="4" t="str">
        <f aca="false">IFERROR("PN"&amp;SMALL(PN_list,COUNTIF(PN_list,"&lt;"&amp;I897*bar_per_m)+1),"&gt; max PN")</f>
        <v>PN16</v>
      </c>
      <c r="K897" s="4" t="str">
        <f aca="false">IF(L897="no","end at tank",IF(H897&lt;0,"NEGATIVE",IF(H897&lt;p_min-0.005,"low","OK")))</f>
        <v>OK</v>
      </c>
      <c r="L897" s="4" t="s">
        <v>414</v>
      </c>
    </row>
    <row r="898" customFormat="false" ht="15" hidden="false" customHeight="false" outlineLevel="0" collapsed="false">
      <c r="A898" s="4" t="s">
        <v>42</v>
      </c>
      <c r="B898" s="4" t="s">
        <v>368</v>
      </c>
      <c r="C898" s="47" t="n">
        <v>23960.94</v>
      </c>
      <c r="D898" s="48" t="n">
        <v>1508.83</v>
      </c>
      <c r="E898" s="49" t="n">
        <f aca="false">D898-cover</f>
        <v>1507.63</v>
      </c>
      <c r="F898" s="50" t="n">
        <f aca="false">'Z5 Ikana-Nkangamo'!S12-'Z5 Ikana-Nkangamo'!P12*C898/'Z5 Ikana-Nkangamo'!G12</f>
        <v>1631.53173187118</v>
      </c>
      <c r="G898" s="51" t="n">
        <f aca="false">'Z5 Ikana-Nkangamo'!$B$8-E898</f>
        <v>160.37</v>
      </c>
      <c r="H898" s="52" t="n">
        <f aca="false">F898-E898</f>
        <v>123.901731871177</v>
      </c>
      <c r="I898" s="52" t="n">
        <f aca="false">MAX(H898,G898)</f>
        <v>160.37</v>
      </c>
      <c r="J898" s="4" t="str">
        <f aca="false">IFERROR("PN"&amp;SMALL(PN_list,COUNTIF(PN_list,"&lt;"&amp;I898*bar_per_m)+1),"&gt; max PN")</f>
        <v>PN16</v>
      </c>
      <c r="K898" s="4" t="str">
        <f aca="false">IF(L898="no","end at tank",IF(H898&lt;0,"NEGATIVE",IF(H898&lt;p_min-0.005,"low","OK")))</f>
        <v>OK</v>
      </c>
      <c r="L898" s="4" t="s">
        <v>414</v>
      </c>
    </row>
    <row r="899" customFormat="false" ht="15" hidden="false" customHeight="false" outlineLevel="0" collapsed="false">
      <c r="A899" s="4" t="s">
        <v>42</v>
      </c>
      <c r="B899" s="4" t="s">
        <v>368</v>
      </c>
      <c r="C899" s="47" t="n">
        <v>24010.96</v>
      </c>
      <c r="D899" s="48" t="n">
        <v>1507.23</v>
      </c>
      <c r="E899" s="49" t="n">
        <f aca="false">D899-cover</f>
        <v>1506.03</v>
      </c>
      <c r="F899" s="50" t="n">
        <f aca="false">'Z5 Ikana-Nkangamo'!S12-'Z5 Ikana-Nkangamo'!P12*C899/'Z5 Ikana-Nkangamo'!G12</f>
        <v>1631.46541357265</v>
      </c>
      <c r="G899" s="51" t="n">
        <f aca="false">'Z5 Ikana-Nkangamo'!$B$8-E899</f>
        <v>161.97</v>
      </c>
      <c r="H899" s="52" t="n">
        <f aca="false">F899-E899</f>
        <v>125.435413572654</v>
      </c>
      <c r="I899" s="52" t="n">
        <f aca="false">MAX(H899,G899)</f>
        <v>161.97</v>
      </c>
      <c r="J899" s="4" t="str">
        <f aca="false">IFERROR("PN"&amp;SMALL(PN_list,COUNTIF(PN_list,"&lt;"&amp;I899*bar_per_m)+1),"&gt; max PN")</f>
        <v>PN16</v>
      </c>
      <c r="K899" s="4" t="str">
        <f aca="false">IF(L899="no","end at tank",IF(H899&lt;0,"NEGATIVE",IF(H899&lt;p_min-0.005,"low","OK")))</f>
        <v>OK</v>
      </c>
      <c r="L899" s="4" t="s">
        <v>414</v>
      </c>
    </row>
    <row r="900" customFormat="false" ht="15" hidden="false" customHeight="false" outlineLevel="0" collapsed="false">
      <c r="A900" s="4" t="s">
        <v>42</v>
      </c>
      <c r="B900" s="4" t="s">
        <v>368</v>
      </c>
      <c r="C900" s="47" t="n">
        <v>24060.97</v>
      </c>
      <c r="D900" s="48" t="n">
        <v>1506.12</v>
      </c>
      <c r="E900" s="49" t="n">
        <f aca="false">D900-cover</f>
        <v>1504.92</v>
      </c>
      <c r="F900" s="50" t="n">
        <f aca="false">'Z5 Ikana-Nkangamo'!S12-'Z5 Ikana-Nkangamo'!P12*C900/'Z5 Ikana-Nkangamo'!G12</f>
        <v>1631.39910853249</v>
      </c>
      <c r="G900" s="51" t="n">
        <f aca="false">'Z5 Ikana-Nkangamo'!$B$8-E900</f>
        <v>163.08</v>
      </c>
      <c r="H900" s="52" t="n">
        <f aca="false">F900-E900</f>
        <v>126.479108532488</v>
      </c>
      <c r="I900" s="52" t="n">
        <f aca="false">MAX(H900,G900)</f>
        <v>163.08</v>
      </c>
      <c r="J900" s="4" t="str">
        <f aca="false">IFERROR("PN"&amp;SMALL(PN_list,COUNTIF(PN_list,"&lt;"&amp;I900*bar_per_m)+1),"&gt; max PN")</f>
        <v>PN16</v>
      </c>
      <c r="K900" s="4" t="str">
        <f aca="false">IF(L900="no","end at tank",IF(H900&lt;0,"NEGATIVE",IF(H900&lt;p_min-0.005,"low","OK")))</f>
        <v>OK</v>
      </c>
      <c r="L900" s="4" t="s">
        <v>414</v>
      </c>
    </row>
    <row r="901" customFormat="false" ht="15" hidden="false" customHeight="false" outlineLevel="0" collapsed="false">
      <c r="A901" s="4" t="s">
        <v>42</v>
      </c>
      <c r="B901" s="4" t="s">
        <v>368</v>
      </c>
      <c r="C901" s="47" t="n">
        <v>24111.01</v>
      </c>
      <c r="D901" s="48" t="n">
        <v>1504.19</v>
      </c>
      <c r="E901" s="49" t="n">
        <f aca="false">D901-cover</f>
        <v>1502.99</v>
      </c>
      <c r="F901" s="50" t="n">
        <f aca="false">'Z5 Ikana-Nkangamo'!S12-'Z5 Ikana-Nkangamo'!P12*C901/'Z5 Ikana-Nkangamo'!G12</f>
        <v>1631.33276371725</v>
      </c>
      <c r="G901" s="51" t="n">
        <f aca="false">'Z5 Ikana-Nkangamo'!$B$8-E901</f>
        <v>165.01</v>
      </c>
      <c r="H901" s="52" t="n">
        <f aca="false">F901-E901</f>
        <v>128.342763717253</v>
      </c>
      <c r="I901" s="52" t="n">
        <f aca="false">MAX(H901,G901)</f>
        <v>165.01</v>
      </c>
      <c r="J901" s="4" t="str">
        <f aca="false">IFERROR("PN"&amp;SMALL(PN_list,COUNTIF(PN_list,"&lt;"&amp;I901*bar_per_m)+1),"&gt; max PN")</f>
        <v>PN25</v>
      </c>
      <c r="K901" s="4" t="str">
        <f aca="false">IF(L901="no","end at tank",IF(H901&lt;0,"NEGATIVE",IF(H901&lt;p_min-0.005,"low","OK")))</f>
        <v>OK</v>
      </c>
      <c r="L901" s="4" t="s">
        <v>414</v>
      </c>
    </row>
    <row r="902" customFormat="false" ht="15" hidden="false" customHeight="false" outlineLevel="0" collapsed="false">
      <c r="A902" s="4" t="s">
        <v>42</v>
      </c>
      <c r="B902" s="4" t="s">
        <v>368</v>
      </c>
      <c r="C902" s="47" t="n">
        <v>24161.04</v>
      </c>
      <c r="D902" s="48" t="n">
        <v>1502.53</v>
      </c>
      <c r="E902" s="49" t="n">
        <f aca="false">D902-cover</f>
        <v>1501.33</v>
      </c>
      <c r="F902" s="50" t="n">
        <f aca="false">'Z5 Ikana-Nkangamo'!S12-'Z5 Ikana-Nkangamo'!P12*C902/'Z5 Ikana-Nkangamo'!G12</f>
        <v>1631.26643216037</v>
      </c>
      <c r="G902" s="51" t="n">
        <f aca="false">'Z5 Ikana-Nkangamo'!$B$8-E902</f>
        <v>166.67</v>
      </c>
      <c r="H902" s="52" t="n">
        <f aca="false">F902-E902</f>
        <v>129.936432160374</v>
      </c>
      <c r="I902" s="52" t="n">
        <f aca="false">MAX(H902,G902)</f>
        <v>166.67</v>
      </c>
      <c r="J902" s="4" t="str">
        <f aca="false">IFERROR("PN"&amp;SMALL(PN_list,COUNTIF(PN_list,"&lt;"&amp;I902*bar_per_m)+1),"&gt; max PN")</f>
        <v>PN25</v>
      </c>
      <c r="K902" s="4" t="str">
        <f aca="false">IF(L902="no","end at tank",IF(H902&lt;0,"NEGATIVE",IF(H902&lt;p_min-0.005,"low","OK")))</f>
        <v>OK</v>
      </c>
      <c r="L902" s="4" t="s">
        <v>414</v>
      </c>
    </row>
    <row r="903" customFormat="false" ht="15" hidden="false" customHeight="false" outlineLevel="0" collapsed="false">
      <c r="A903" s="4" t="s">
        <v>42</v>
      </c>
      <c r="B903" s="4" t="s">
        <v>368</v>
      </c>
      <c r="C903" s="47" t="n">
        <v>24211.07</v>
      </c>
      <c r="D903" s="48" t="n">
        <v>1500.76</v>
      </c>
      <c r="E903" s="49" t="n">
        <f aca="false">D903-cover</f>
        <v>1499.56</v>
      </c>
      <c r="F903" s="50" t="n">
        <f aca="false">'Z5 Ikana-Nkangamo'!S12-'Z5 Ikana-Nkangamo'!P12*C903/'Z5 Ikana-Nkangamo'!G12</f>
        <v>1631.20010060349</v>
      </c>
      <c r="G903" s="51" t="n">
        <f aca="false">'Z5 Ikana-Nkangamo'!$B$8-E903</f>
        <v>168.44</v>
      </c>
      <c r="H903" s="52" t="n">
        <f aca="false">F903-E903</f>
        <v>131.640100603495</v>
      </c>
      <c r="I903" s="52" t="n">
        <f aca="false">MAX(H903,G903)</f>
        <v>168.44</v>
      </c>
      <c r="J903" s="4" t="str">
        <f aca="false">IFERROR("PN"&amp;SMALL(PN_list,COUNTIF(PN_list,"&lt;"&amp;I903*bar_per_m)+1),"&gt; max PN")</f>
        <v>PN25</v>
      </c>
      <c r="K903" s="4" t="str">
        <f aca="false">IF(L903="no","end at tank",IF(H903&lt;0,"NEGATIVE",IF(H903&lt;p_min-0.005,"low","OK")))</f>
        <v>OK</v>
      </c>
      <c r="L903" s="4" t="s">
        <v>414</v>
      </c>
    </row>
    <row r="904" customFormat="false" ht="15" hidden="false" customHeight="false" outlineLevel="0" collapsed="false">
      <c r="A904" s="4" t="s">
        <v>42</v>
      </c>
      <c r="B904" s="4" t="s">
        <v>368</v>
      </c>
      <c r="C904" s="47" t="n">
        <v>24261.1</v>
      </c>
      <c r="D904" s="48" t="n">
        <v>1499.18</v>
      </c>
      <c r="E904" s="49" t="n">
        <f aca="false">D904-cover</f>
        <v>1497.98</v>
      </c>
      <c r="F904" s="50" t="n">
        <f aca="false">'Z5 Ikana-Nkangamo'!S12-'Z5 Ikana-Nkangamo'!P12*C904/'Z5 Ikana-Nkangamo'!G12</f>
        <v>1631.13376904662</v>
      </c>
      <c r="G904" s="51" t="n">
        <f aca="false">'Z5 Ikana-Nkangamo'!$B$8-E904</f>
        <v>170.02</v>
      </c>
      <c r="H904" s="52" t="n">
        <f aca="false">F904-E904</f>
        <v>133.153769046616</v>
      </c>
      <c r="I904" s="52" t="n">
        <f aca="false">MAX(H904,G904)</f>
        <v>170.02</v>
      </c>
      <c r="J904" s="4" t="str">
        <f aca="false">IFERROR("PN"&amp;SMALL(PN_list,COUNTIF(PN_list,"&lt;"&amp;I904*bar_per_m)+1),"&gt; max PN")</f>
        <v>PN25</v>
      </c>
      <c r="K904" s="4" t="str">
        <f aca="false">IF(L904="no","end at tank",IF(H904&lt;0,"NEGATIVE",IF(H904&lt;p_min-0.005,"low","OK")))</f>
        <v>OK</v>
      </c>
      <c r="L904" s="4" t="s">
        <v>414</v>
      </c>
    </row>
    <row r="905" customFormat="false" ht="15" hidden="false" customHeight="false" outlineLevel="0" collapsed="false">
      <c r="A905" s="4" t="s">
        <v>42</v>
      </c>
      <c r="B905" s="4" t="s">
        <v>368</v>
      </c>
      <c r="C905" s="47" t="n">
        <v>24311.1</v>
      </c>
      <c r="D905" s="48" t="n">
        <v>1499.28</v>
      </c>
      <c r="E905" s="49" t="n">
        <f aca="false">D905-cover</f>
        <v>1498.08</v>
      </c>
      <c r="F905" s="50" t="n">
        <f aca="false">'Z5 Ikana-Nkangamo'!S12-'Z5 Ikana-Nkangamo'!P12*C905/'Z5 Ikana-Nkangamo'!G12</f>
        <v>1631.06747726481</v>
      </c>
      <c r="G905" s="51" t="n">
        <f aca="false">'Z5 Ikana-Nkangamo'!$B$8-E905</f>
        <v>169.92</v>
      </c>
      <c r="H905" s="52" t="n">
        <f aca="false">F905-E905</f>
        <v>132.987477264806</v>
      </c>
      <c r="I905" s="52" t="n">
        <f aca="false">MAX(H905,G905)</f>
        <v>169.92</v>
      </c>
      <c r="J905" s="4" t="str">
        <f aca="false">IFERROR("PN"&amp;SMALL(PN_list,COUNTIF(PN_list,"&lt;"&amp;I905*bar_per_m)+1),"&gt; max PN")</f>
        <v>PN25</v>
      </c>
      <c r="K905" s="4" t="str">
        <f aca="false">IF(L905="no","end at tank",IF(H905&lt;0,"NEGATIVE",IF(H905&lt;p_min-0.005,"low","OK")))</f>
        <v>OK</v>
      </c>
      <c r="L905" s="4" t="s">
        <v>414</v>
      </c>
    </row>
    <row r="906" customFormat="false" ht="15" hidden="false" customHeight="false" outlineLevel="0" collapsed="false">
      <c r="A906" s="4" t="s">
        <v>42</v>
      </c>
      <c r="B906" s="4" t="s">
        <v>368</v>
      </c>
      <c r="C906" s="47" t="n">
        <v>24361.1</v>
      </c>
      <c r="D906" s="48" t="n">
        <v>1499.08</v>
      </c>
      <c r="E906" s="49" t="n">
        <f aca="false">D906-cover</f>
        <v>1497.88</v>
      </c>
      <c r="F906" s="50" t="n">
        <f aca="false">'Z5 Ikana-Nkangamo'!S12-'Z5 Ikana-Nkangamo'!P12*C906/'Z5 Ikana-Nkangamo'!G12</f>
        <v>1631.001185483</v>
      </c>
      <c r="G906" s="51" t="n">
        <f aca="false">'Z5 Ikana-Nkangamo'!$B$8-E906</f>
        <v>170.12</v>
      </c>
      <c r="H906" s="52" t="n">
        <f aca="false">F906-E906</f>
        <v>133.121185482996</v>
      </c>
      <c r="I906" s="52" t="n">
        <f aca="false">MAX(H906,G906)</f>
        <v>170.12</v>
      </c>
      <c r="J906" s="4" t="str">
        <f aca="false">IFERROR("PN"&amp;SMALL(PN_list,COUNTIF(PN_list,"&lt;"&amp;I906*bar_per_m)+1),"&gt; max PN")</f>
        <v>PN25</v>
      </c>
      <c r="K906" s="4" t="str">
        <f aca="false">IF(L906="no","end at tank",IF(H906&lt;0,"NEGATIVE",IF(H906&lt;p_min-0.005,"low","OK")))</f>
        <v>OK</v>
      </c>
      <c r="L906" s="4" t="s">
        <v>414</v>
      </c>
    </row>
    <row r="907" customFormat="false" ht="15" hidden="false" customHeight="false" outlineLevel="0" collapsed="false">
      <c r="A907" s="4" t="s">
        <v>42</v>
      </c>
      <c r="B907" s="4" t="s">
        <v>368</v>
      </c>
      <c r="C907" s="47" t="n">
        <v>24411.11</v>
      </c>
      <c r="D907" s="48" t="n">
        <v>1500.1</v>
      </c>
      <c r="E907" s="49" t="n">
        <f aca="false">D907-cover</f>
        <v>1498.9</v>
      </c>
      <c r="F907" s="50" t="n">
        <f aca="false">'Z5 Ikana-Nkangamo'!S12-'Z5 Ikana-Nkangamo'!P12*C907/'Z5 Ikana-Nkangamo'!G12</f>
        <v>1630.93488044283</v>
      </c>
      <c r="G907" s="51" t="n">
        <f aca="false">'Z5 Ikana-Nkangamo'!$B$8-E907</f>
        <v>169.1</v>
      </c>
      <c r="H907" s="52" t="n">
        <f aca="false">F907-E907</f>
        <v>132.03488044283</v>
      </c>
      <c r="I907" s="52" t="n">
        <f aca="false">MAX(H907,G907)</f>
        <v>169.1</v>
      </c>
      <c r="J907" s="4" t="str">
        <f aca="false">IFERROR("PN"&amp;SMALL(PN_list,COUNTIF(PN_list,"&lt;"&amp;I907*bar_per_m)+1),"&gt; max PN")</f>
        <v>PN25</v>
      </c>
      <c r="K907" s="4" t="str">
        <f aca="false">IF(L907="no","end at tank",IF(H907&lt;0,"NEGATIVE",IF(H907&lt;p_min-0.005,"low","OK")))</f>
        <v>OK</v>
      </c>
      <c r="L907" s="4" t="s">
        <v>414</v>
      </c>
    </row>
    <row r="908" customFormat="false" ht="15" hidden="false" customHeight="false" outlineLevel="0" collapsed="false">
      <c r="A908" s="4" t="s">
        <v>42</v>
      </c>
      <c r="B908" s="4" t="s">
        <v>368</v>
      </c>
      <c r="C908" s="47" t="n">
        <v>24461.13</v>
      </c>
      <c r="D908" s="48" t="n">
        <v>1501.73</v>
      </c>
      <c r="E908" s="49" t="n">
        <f aca="false">D908-cover</f>
        <v>1500.53</v>
      </c>
      <c r="F908" s="50" t="n">
        <f aca="false">'Z5 Ikana-Nkangamo'!S12-'Z5 Ikana-Nkangamo'!P12*C908/'Z5 Ikana-Nkangamo'!G12</f>
        <v>1630.86856214431</v>
      </c>
      <c r="G908" s="51" t="n">
        <f aca="false">'Z5 Ikana-Nkangamo'!$B$8-E908</f>
        <v>167.47</v>
      </c>
      <c r="H908" s="52" t="n">
        <f aca="false">F908-E908</f>
        <v>130.338562144307</v>
      </c>
      <c r="I908" s="52" t="n">
        <f aca="false">MAX(H908,G908)</f>
        <v>167.47</v>
      </c>
      <c r="J908" s="4" t="str">
        <f aca="false">IFERROR("PN"&amp;SMALL(PN_list,COUNTIF(PN_list,"&lt;"&amp;I908*bar_per_m)+1),"&gt; max PN")</f>
        <v>PN25</v>
      </c>
      <c r="K908" s="4" t="str">
        <f aca="false">IF(L908="no","end at tank",IF(H908&lt;0,"NEGATIVE",IF(H908&lt;p_min-0.005,"low","OK")))</f>
        <v>OK</v>
      </c>
      <c r="L908" s="4" t="s">
        <v>414</v>
      </c>
    </row>
    <row r="909" customFormat="false" ht="15" hidden="false" customHeight="false" outlineLevel="0" collapsed="false">
      <c r="A909" s="4" t="s">
        <v>42</v>
      </c>
      <c r="B909" s="4" t="s">
        <v>368</v>
      </c>
      <c r="C909" s="47" t="n">
        <v>24511.18</v>
      </c>
      <c r="D909" s="48" t="n">
        <v>1503.97</v>
      </c>
      <c r="E909" s="49" t="n">
        <f aca="false">D909-cover</f>
        <v>1502.77</v>
      </c>
      <c r="F909" s="50" t="n">
        <f aca="false">'Z5 Ikana-Nkangamo'!S12-'Z5 Ikana-Nkangamo'!P12*C909/'Z5 Ikana-Nkangamo'!G12</f>
        <v>1630.80220407072</v>
      </c>
      <c r="G909" s="51" t="n">
        <f aca="false">'Z5 Ikana-Nkangamo'!$B$8-E909</f>
        <v>165.23</v>
      </c>
      <c r="H909" s="52" t="n">
        <f aca="false">F909-E909</f>
        <v>128.032204070715</v>
      </c>
      <c r="I909" s="52" t="n">
        <f aca="false">MAX(H909,G909)</f>
        <v>165.23</v>
      </c>
      <c r="J909" s="4" t="str">
        <f aca="false">IFERROR("PN"&amp;SMALL(PN_list,COUNTIF(PN_list,"&lt;"&amp;I909*bar_per_m)+1),"&gt; max PN")</f>
        <v>PN25</v>
      </c>
      <c r="K909" s="4" t="str">
        <f aca="false">IF(L909="no","end at tank",IF(H909&lt;0,"NEGATIVE",IF(H909&lt;p_min-0.005,"low","OK")))</f>
        <v>OK</v>
      </c>
      <c r="L909" s="4" t="s">
        <v>414</v>
      </c>
    </row>
    <row r="910" customFormat="false" ht="15" hidden="false" customHeight="false" outlineLevel="0" collapsed="false">
      <c r="A910" s="4" t="s">
        <v>42</v>
      </c>
      <c r="B910" s="4" t="s">
        <v>368</v>
      </c>
      <c r="C910" s="47" t="n">
        <v>24561.21</v>
      </c>
      <c r="D910" s="48" t="n">
        <v>1505.55</v>
      </c>
      <c r="E910" s="49" t="n">
        <f aca="false">D910-cover</f>
        <v>1504.35</v>
      </c>
      <c r="F910" s="50" t="n">
        <f aca="false">'Z5 Ikana-Nkangamo'!S12-'Z5 Ikana-Nkangamo'!P12*C910/'Z5 Ikana-Nkangamo'!G12</f>
        <v>1630.73587251384</v>
      </c>
      <c r="G910" s="51" t="n">
        <f aca="false">'Z5 Ikana-Nkangamo'!$B$8-E910</f>
        <v>163.65</v>
      </c>
      <c r="H910" s="52" t="n">
        <f aca="false">F910-E910</f>
        <v>126.385872513836</v>
      </c>
      <c r="I910" s="52" t="n">
        <f aca="false">MAX(H910,G910)</f>
        <v>163.65</v>
      </c>
      <c r="J910" s="4" t="str">
        <f aca="false">IFERROR("PN"&amp;SMALL(PN_list,COUNTIF(PN_list,"&lt;"&amp;I910*bar_per_m)+1),"&gt; max PN")</f>
        <v>PN25</v>
      </c>
      <c r="K910" s="4" t="str">
        <f aca="false">IF(L910="no","end at tank",IF(H910&lt;0,"NEGATIVE",IF(H910&lt;p_min-0.005,"low","OK")))</f>
        <v>OK</v>
      </c>
      <c r="L910" s="4" t="s">
        <v>414</v>
      </c>
    </row>
    <row r="911" customFormat="false" ht="15" hidden="false" customHeight="false" outlineLevel="0" collapsed="false">
      <c r="A911" s="4" t="s">
        <v>42</v>
      </c>
      <c r="B911" s="4" t="s">
        <v>368</v>
      </c>
      <c r="C911" s="47" t="n">
        <v>24611.25</v>
      </c>
      <c r="D911" s="48" t="n">
        <v>1507.56</v>
      </c>
      <c r="E911" s="49" t="n">
        <f aca="false">D911-cover</f>
        <v>1506.36</v>
      </c>
      <c r="F911" s="50" t="n">
        <f aca="false">'Z5 Ikana-Nkangamo'!S12-'Z5 Ikana-Nkangamo'!P12*C911/'Z5 Ikana-Nkangamo'!G12</f>
        <v>1630.6695276986</v>
      </c>
      <c r="G911" s="51" t="n">
        <f aca="false">'Z5 Ikana-Nkangamo'!$B$8-E911</f>
        <v>161.64</v>
      </c>
      <c r="H911" s="52" t="n">
        <f aca="false">F911-E911</f>
        <v>124.309527698601</v>
      </c>
      <c r="I911" s="52" t="n">
        <f aca="false">MAX(H911,G911)</f>
        <v>161.64</v>
      </c>
      <c r="J911" s="4" t="str">
        <f aca="false">IFERROR("PN"&amp;SMALL(PN_list,COUNTIF(PN_list,"&lt;"&amp;I911*bar_per_m)+1),"&gt; max PN")</f>
        <v>PN16</v>
      </c>
      <c r="K911" s="4" t="str">
        <f aca="false">IF(L911="no","end at tank",IF(H911&lt;0,"NEGATIVE",IF(H911&lt;p_min-0.005,"low","OK")))</f>
        <v>OK</v>
      </c>
      <c r="L911" s="4" t="s">
        <v>414</v>
      </c>
    </row>
    <row r="912" customFormat="false" ht="15" hidden="false" customHeight="false" outlineLevel="0" collapsed="false">
      <c r="A912" s="4" t="s">
        <v>42</v>
      </c>
      <c r="B912" s="4" t="s">
        <v>368</v>
      </c>
      <c r="C912" s="47" t="n">
        <v>24661.28</v>
      </c>
      <c r="D912" s="48" t="n">
        <v>1509.2</v>
      </c>
      <c r="E912" s="49" t="n">
        <f aca="false">D912-cover</f>
        <v>1508</v>
      </c>
      <c r="F912" s="50" t="n">
        <f aca="false">'Z5 Ikana-Nkangamo'!S12-'Z5 Ikana-Nkangamo'!P12*C912/'Z5 Ikana-Nkangamo'!G12</f>
        <v>1630.60319614172</v>
      </c>
      <c r="G912" s="51" t="n">
        <f aca="false">'Z5 Ikana-Nkangamo'!$B$8-E912</f>
        <v>160</v>
      </c>
      <c r="H912" s="52" t="n">
        <f aca="false">F912-E912</f>
        <v>122.603196141722</v>
      </c>
      <c r="I912" s="52" t="n">
        <f aca="false">MAX(H912,G912)</f>
        <v>160</v>
      </c>
      <c r="J912" s="4" t="str">
        <f aca="false">IFERROR("PN"&amp;SMALL(PN_list,COUNTIF(PN_list,"&lt;"&amp;I912*bar_per_m)+1),"&gt; max PN")</f>
        <v>PN16</v>
      </c>
      <c r="K912" s="4" t="str">
        <f aca="false">IF(L912="no","end at tank",IF(H912&lt;0,"NEGATIVE",IF(H912&lt;p_min-0.005,"low","OK")))</f>
        <v>OK</v>
      </c>
      <c r="L912" s="4" t="s">
        <v>414</v>
      </c>
    </row>
    <row r="913" customFormat="false" ht="15" hidden="false" customHeight="false" outlineLevel="0" collapsed="false">
      <c r="A913" s="4" t="s">
        <v>42</v>
      </c>
      <c r="B913" s="4" t="s">
        <v>368</v>
      </c>
      <c r="C913" s="47" t="n">
        <v>24711.31</v>
      </c>
      <c r="D913" s="48" t="n">
        <v>1511.11</v>
      </c>
      <c r="E913" s="49" t="n">
        <f aca="false">D913-cover</f>
        <v>1509.91</v>
      </c>
      <c r="F913" s="50" t="n">
        <f aca="false">'Z5 Ikana-Nkangamo'!S12-'Z5 Ikana-Nkangamo'!P12*C913/'Z5 Ikana-Nkangamo'!G12</f>
        <v>1630.53686458484</v>
      </c>
      <c r="G913" s="51" t="n">
        <f aca="false">'Z5 Ikana-Nkangamo'!$B$8-E913</f>
        <v>158.09</v>
      </c>
      <c r="H913" s="52" t="n">
        <f aca="false">F913-E913</f>
        <v>120.626864584843</v>
      </c>
      <c r="I913" s="52" t="n">
        <f aca="false">MAX(H913,G913)</f>
        <v>158.09</v>
      </c>
      <c r="J913" s="4" t="str">
        <f aca="false">IFERROR("PN"&amp;SMALL(PN_list,COUNTIF(PN_list,"&lt;"&amp;I913*bar_per_m)+1),"&gt; max PN")</f>
        <v>PN16</v>
      </c>
      <c r="K913" s="4" t="str">
        <f aca="false">IF(L913="no","end at tank",IF(H913&lt;0,"NEGATIVE",IF(H913&lt;p_min-0.005,"low","OK")))</f>
        <v>OK</v>
      </c>
      <c r="L913" s="4" t="s">
        <v>414</v>
      </c>
    </row>
    <row r="914" customFormat="false" ht="15" hidden="false" customHeight="false" outlineLevel="0" collapsed="false">
      <c r="A914" s="4" t="s">
        <v>42</v>
      </c>
      <c r="B914" s="4" t="s">
        <v>368</v>
      </c>
      <c r="C914" s="47" t="n">
        <v>24761.32</v>
      </c>
      <c r="D914" s="48" t="n">
        <v>1511.99</v>
      </c>
      <c r="E914" s="49" t="n">
        <f aca="false">D914-cover</f>
        <v>1510.79</v>
      </c>
      <c r="F914" s="50" t="n">
        <f aca="false">'Z5 Ikana-Nkangamo'!S12-'Z5 Ikana-Nkangamo'!P12*C914/'Z5 Ikana-Nkangamo'!G12</f>
        <v>1630.47055954468</v>
      </c>
      <c r="G914" s="51" t="n">
        <f aca="false">'Z5 Ikana-Nkangamo'!$B$8-E914</f>
        <v>157.21</v>
      </c>
      <c r="H914" s="52" t="n">
        <f aca="false">F914-E914</f>
        <v>119.680559544676</v>
      </c>
      <c r="I914" s="52" t="n">
        <f aca="false">MAX(H914,G914)</f>
        <v>157.21</v>
      </c>
      <c r="J914" s="4" t="str">
        <f aca="false">IFERROR("PN"&amp;SMALL(PN_list,COUNTIF(PN_list,"&lt;"&amp;I914*bar_per_m)+1),"&gt; max PN")</f>
        <v>PN16</v>
      </c>
      <c r="K914" s="4" t="str">
        <f aca="false">IF(L914="no","end at tank",IF(H914&lt;0,"NEGATIVE",IF(H914&lt;p_min-0.005,"low","OK")))</f>
        <v>OK</v>
      </c>
      <c r="L914" s="4" t="s">
        <v>414</v>
      </c>
    </row>
    <row r="915" customFormat="false" ht="15" hidden="false" customHeight="false" outlineLevel="0" collapsed="false">
      <c r="A915" s="4" t="s">
        <v>42</v>
      </c>
      <c r="B915" s="4" t="s">
        <v>368</v>
      </c>
      <c r="C915" s="47" t="n">
        <v>24811.35</v>
      </c>
      <c r="D915" s="48" t="n">
        <v>1513.61</v>
      </c>
      <c r="E915" s="49" t="n">
        <f aca="false">D915-cover</f>
        <v>1512.41</v>
      </c>
      <c r="F915" s="50" t="n">
        <f aca="false">'Z5 Ikana-Nkangamo'!S12-'Z5 Ikana-Nkangamo'!P12*C915/'Z5 Ikana-Nkangamo'!G12</f>
        <v>1630.4042279878</v>
      </c>
      <c r="G915" s="51" t="n">
        <f aca="false">'Z5 Ikana-Nkangamo'!$B$8-E915</f>
        <v>155.59</v>
      </c>
      <c r="H915" s="52" t="n">
        <f aca="false">F915-E915</f>
        <v>117.994227987797</v>
      </c>
      <c r="I915" s="52" t="n">
        <f aca="false">MAX(H915,G915)</f>
        <v>155.59</v>
      </c>
      <c r="J915" s="4" t="str">
        <f aca="false">IFERROR("PN"&amp;SMALL(PN_list,COUNTIF(PN_list,"&lt;"&amp;I915*bar_per_m)+1),"&gt; max PN")</f>
        <v>PN16</v>
      </c>
      <c r="K915" s="4" t="str">
        <f aca="false">IF(L915="no","end at tank",IF(H915&lt;0,"NEGATIVE",IF(H915&lt;p_min-0.005,"low","OK")))</f>
        <v>OK</v>
      </c>
      <c r="L915" s="4" t="s">
        <v>414</v>
      </c>
    </row>
    <row r="916" customFormat="false" ht="15" hidden="false" customHeight="false" outlineLevel="0" collapsed="false">
      <c r="A916" s="4" t="s">
        <v>42</v>
      </c>
      <c r="B916" s="4" t="s">
        <v>368</v>
      </c>
      <c r="C916" s="47" t="n">
        <v>24861.35</v>
      </c>
      <c r="D916" s="48" t="n">
        <v>1514.24</v>
      </c>
      <c r="E916" s="49" t="n">
        <f aca="false">D916-cover</f>
        <v>1513.04</v>
      </c>
      <c r="F916" s="50" t="n">
        <f aca="false">'Z5 Ikana-Nkangamo'!S12-'Z5 Ikana-Nkangamo'!P12*C916/'Z5 Ikana-Nkangamo'!G12</f>
        <v>1630.33793620599</v>
      </c>
      <c r="G916" s="51" t="n">
        <f aca="false">'Z5 Ikana-Nkangamo'!$B$8-E916</f>
        <v>154.96</v>
      </c>
      <c r="H916" s="52" t="n">
        <f aca="false">F916-E916</f>
        <v>117.297936205987</v>
      </c>
      <c r="I916" s="52" t="n">
        <f aca="false">MAX(H916,G916)</f>
        <v>154.96</v>
      </c>
      <c r="J916" s="4" t="str">
        <f aca="false">IFERROR("PN"&amp;SMALL(PN_list,COUNTIF(PN_list,"&lt;"&amp;I916*bar_per_m)+1),"&gt; max PN")</f>
        <v>PN16</v>
      </c>
      <c r="K916" s="4" t="str">
        <f aca="false">IF(L916="no","end at tank",IF(H916&lt;0,"NEGATIVE",IF(H916&lt;p_min-0.005,"low","OK")))</f>
        <v>OK</v>
      </c>
      <c r="L916" s="4" t="s">
        <v>414</v>
      </c>
    </row>
    <row r="917" customFormat="false" ht="15" hidden="false" customHeight="false" outlineLevel="0" collapsed="false">
      <c r="A917" s="4" t="s">
        <v>42</v>
      </c>
      <c r="B917" s="4" t="s">
        <v>368</v>
      </c>
      <c r="C917" s="47" t="n">
        <v>24911.35</v>
      </c>
      <c r="D917" s="48" t="n">
        <v>1514.9</v>
      </c>
      <c r="E917" s="49" t="n">
        <f aca="false">D917-cover</f>
        <v>1513.7</v>
      </c>
      <c r="F917" s="50" t="n">
        <f aca="false">'Z5 Ikana-Nkangamo'!S12-'Z5 Ikana-Nkangamo'!P12*C917/'Z5 Ikana-Nkangamo'!G12</f>
        <v>1630.27164442418</v>
      </c>
      <c r="G917" s="51" t="n">
        <f aca="false">'Z5 Ikana-Nkangamo'!$B$8-E917</f>
        <v>154.3</v>
      </c>
      <c r="H917" s="52" t="n">
        <f aca="false">F917-E917</f>
        <v>116.571644424177</v>
      </c>
      <c r="I917" s="52" t="n">
        <f aca="false">MAX(H917,G917)</f>
        <v>154.3</v>
      </c>
      <c r="J917" s="4" t="str">
        <f aca="false">IFERROR("PN"&amp;SMALL(PN_list,COUNTIF(PN_list,"&lt;"&amp;I917*bar_per_m)+1),"&gt; max PN")</f>
        <v>PN16</v>
      </c>
      <c r="K917" s="4" t="str">
        <f aca="false">IF(L917="no","end at tank",IF(H917&lt;0,"NEGATIVE",IF(H917&lt;p_min-0.005,"low","OK")))</f>
        <v>OK</v>
      </c>
      <c r="L917" s="4" t="s">
        <v>414</v>
      </c>
    </row>
    <row r="918" customFormat="false" ht="15" hidden="false" customHeight="false" outlineLevel="0" collapsed="false">
      <c r="A918" s="4" t="s">
        <v>42</v>
      </c>
      <c r="B918" s="4" t="s">
        <v>368</v>
      </c>
      <c r="C918" s="47" t="n">
        <v>24961.36</v>
      </c>
      <c r="D918" s="48" t="n">
        <v>1515.55</v>
      </c>
      <c r="E918" s="49" t="n">
        <f aca="false">D918-cover</f>
        <v>1514.35</v>
      </c>
      <c r="F918" s="50" t="n">
        <f aca="false">'Z5 Ikana-Nkangamo'!S12-'Z5 Ikana-Nkangamo'!P12*C918/'Z5 Ikana-Nkangamo'!G12</f>
        <v>1630.20533938401</v>
      </c>
      <c r="G918" s="51" t="n">
        <f aca="false">'Z5 Ikana-Nkangamo'!$B$8-E918</f>
        <v>153.65</v>
      </c>
      <c r="H918" s="52" t="n">
        <f aca="false">F918-E918</f>
        <v>115.855339384011</v>
      </c>
      <c r="I918" s="52" t="n">
        <f aca="false">MAX(H918,G918)</f>
        <v>153.65</v>
      </c>
      <c r="J918" s="4" t="str">
        <f aca="false">IFERROR("PN"&amp;SMALL(PN_list,COUNTIF(PN_list,"&lt;"&amp;I918*bar_per_m)+1),"&gt; max PN")</f>
        <v>PN16</v>
      </c>
      <c r="K918" s="4" t="str">
        <f aca="false">IF(L918="no","end at tank",IF(H918&lt;0,"NEGATIVE",IF(H918&lt;p_min-0.005,"low","OK")))</f>
        <v>OK</v>
      </c>
      <c r="L918" s="4" t="s">
        <v>414</v>
      </c>
    </row>
    <row r="919" customFormat="false" ht="15" hidden="false" customHeight="false" outlineLevel="0" collapsed="false">
      <c r="A919" s="4" t="s">
        <v>42</v>
      </c>
      <c r="B919" s="4" t="s">
        <v>368</v>
      </c>
      <c r="C919" s="47" t="n">
        <v>25011.36</v>
      </c>
      <c r="D919" s="48" t="n">
        <v>1515.78</v>
      </c>
      <c r="E919" s="49" t="n">
        <f aca="false">D919-cover</f>
        <v>1514.58</v>
      </c>
      <c r="F919" s="50" t="n">
        <f aca="false">'Z5 Ikana-Nkangamo'!S12-'Z5 Ikana-Nkangamo'!P12*C919/'Z5 Ikana-Nkangamo'!G12</f>
        <v>1630.1390476022</v>
      </c>
      <c r="G919" s="51" t="n">
        <f aca="false">'Z5 Ikana-Nkangamo'!$B$8-E919</f>
        <v>153.42</v>
      </c>
      <c r="H919" s="52" t="n">
        <f aca="false">F919-E919</f>
        <v>115.559047602201</v>
      </c>
      <c r="I919" s="52" t="n">
        <f aca="false">MAX(H919,G919)</f>
        <v>153.42</v>
      </c>
      <c r="J919" s="4" t="str">
        <f aca="false">IFERROR("PN"&amp;SMALL(PN_list,COUNTIF(PN_list,"&lt;"&amp;I919*bar_per_m)+1),"&gt; max PN")</f>
        <v>PN16</v>
      </c>
      <c r="K919" s="4" t="str">
        <f aca="false">IF(L919="no","end at tank",IF(H919&lt;0,"NEGATIVE",IF(H919&lt;p_min-0.005,"low","OK")))</f>
        <v>OK</v>
      </c>
      <c r="L919" s="4" t="s">
        <v>414</v>
      </c>
    </row>
    <row r="920" customFormat="false" ht="15" hidden="false" customHeight="false" outlineLevel="0" collapsed="false">
      <c r="A920" s="4" t="s">
        <v>42</v>
      </c>
      <c r="B920" s="4" t="s">
        <v>368</v>
      </c>
      <c r="C920" s="47" t="n">
        <v>25061.36</v>
      </c>
      <c r="D920" s="48" t="n">
        <v>1515.32</v>
      </c>
      <c r="E920" s="49" t="n">
        <f aca="false">D920-cover</f>
        <v>1514.12</v>
      </c>
      <c r="F920" s="50" t="n">
        <f aca="false">'Z5 Ikana-Nkangamo'!S12-'Z5 Ikana-Nkangamo'!P12*C920/'Z5 Ikana-Nkangamo'!G12</f>
        <v>1630.07275582039</v>
      </c>
      <c r="G920" s="51" t="n">
        <f aca="false">'Z5 Ikana-Nkangamo'!$B$8-E920</f>
        <v>153.88</v>
      </c>
      <c r="H920" s="52" t="n">
        <f aca="false">F920-E920</f>
        <v>115.952755820391</v>
      </c>
      <c r="I920" s="52" t="n">
        <f aca="false">MAX(H920,G920)</f>
        <v>153.88</v>
      </c>
      <c r="J920" s="4" t="str">
        <f aca="false">IFERROR("PN"&amp;SMALL(PN_list,COUNTIF(PN_list,"&lt;"&amp;I920*bar_per_m)+1),"&gt; max PN")</f>
        <v>PN16</v>
      </c>
      <c r="K920" s="4" t="str">
        <f aca="false">IF(L920="no","end at tank",IF(H920&lt;0,"NEGATIVE",IF(H920&lt;p_min-0.005,"low","OK")))</f>
        <v>OK</v>
      </c>
      <c r="L920" s="4" t="s">
        <v>414</v>
      </c>
    </row>
    <row r="921" customFormat="false" ht="15" hidden="false" customHeight="false" outlineLevel="0" collapsed="false">
      <c r="A921" s="4" t="s">
        <v>42</v>
      </c>
      <c r="B921" s="4" t="s">
        <v>368</v>
      </c>
      <c r="C921" s="47" t="n">
        <v>25111.36</v>
      </c>
      <c r="D921" s="48" t="n">
        <v>1515.42</v>
      </c>
      <c r="E921" s="49" t="n">
        <f aca="false">D921-cover</f>
        <v>1514.22</v>
      </c>
      <c r="F921" s="50" t="n">
        <f aca="false">'Z5 Ikana-Nkangamo'!S12-'Z5 Ikana-Nkangamo'!P12*C921/'Z5 Ikana-Nkangamo'!G12</f>
        <v>1630.00646403858</v>
      </c>
      <c r="G921" s="51" t="n">
        <f aca="false">'Z5 Ikana-Nkangamo'!$B$8-E921</f>
        <v>153.78</v>
      </c>
      <c r="H921" s="52" t="n">
        <f aca="false">F921-E921</f>
        <v>115.786464038581</v>
      </c>
      <c r="I921" s="52" t="n">
        <f aca="false">MAX(H921,G921)</f>
        <v>153.78</v>
      </c>
      <c r="J921" s="4" t="str">
        <f aca="false">IFERROR("PN"&amp;SMALL(PN_list,COUNTIF(PN_list,"&lt;"&amp;I921*bar_per_m)+1),"&gt; max PN")</f>
        <v>PN16</v>
      </c>
      <c r="K921" s="4" t="str">
        <f aca="false">IF(L921="no","end at tank",IF(H921&lt;0,"NEGATIVE",IF(H921&lt;p_min-0.005,"low","OK")))</f>
        <v>OK</v>
      </c>
      <c r="L921" s="4" t="s">
        <v>414</v>
      </c>
    </row>
    <row r="922" customFormat="false" ht="15" hidden="false" customHeight="false" outlineLevel="0" collapsed="false">
      <c r="A922" s="4" t="s">
        <v>42</v>
      </c>
      <c r="B922" s="4" t="s">
        <v>368</v>
      </c>
      <c r="C922" s="47" t="n">
        <v>25161.36</v>
      </c>
      <c r="D922" s="48" t="n">
        <v>1514.89</v>
      </c>
      <c r="E922" s="49" t="n">
        <f aca="false">D922-cover</f>
        <v>1513.69</v>
      </c>
      <c r="F922" s="50" t="n">
        <f aca="false">'Z5 Ikana-Nkangamo'!S12-'Z5 Ikana-Nkangamo'!P12*C922/'Z5 Ikana-Nkangamo'!G12</f>
        <v>1629.94017225677</v>
      </c>
      <c r="G922" s="51" t="n">
        <f aca="false">'Z5 Ikana-Nkangamo'!$B$8-E922</f>
        <v>154.31</v>
      </c>
      <c r="H922" s="52" t="n">
        <f aca="false">F922-E922</f>
        <v>116.250172256771</v>
      </c>
      <c r="I922" s="52" t="n">
        <f aca="false">MAX(H922,G922)</f>
        <v>154.31</v>
      </c>
      <c r="J922" s="4" t="str">
        <f aca="false">IFERROR("PN"&amp;SMALL(PN_list,COUNTIF(PN_list,"&lt;"&amp;I922*bar_per_m)+1),"&gt; max PN")</f>
        <v>PN16</v>
      </c>
      <c r="K922" s="4" t="str">
        <f aca="false">IF(L922="no","end at tank",IF(H922&lt;0,"NEGATIVE",IF(H922&lt;p_min-0.005,"low","OK")))</f>
        <v>OK</v>
      </c>
      <c r="L922" s="4" t="s">
        <v>414</v>
      </c>
    </row>
    <row r="923" customFormat="false" ht="15" hidden="false" customHeight="false" outlineLevel="0" collapsed="false">
      <c r="A923" s="4" t="s">
        <v>42</v>
      </c>
      <c r="B923" s="4" t="s">
        <v>368</v>
      </c>
      <c r="C923" s="47" t="n">
        <v>25211.37</v>
      </c>
      <c r="D923" s="48" t="n">
        <v>1515.52</v>
      </c>
      <c r="E923" s="49" t="n">
        <f aca="false">D923-cover</f>
        <v>1514.32</v>
      </c>
      <c r="F923" s="50" t="n">
        <f aca="false">'Z5 Ikana-Nkangamo'!S12-'Z5 Ikana-Nkangamo'!P12*C923/'Z5 Ikana-Nkangamo'!G12</f>
        <v>1629.8738672166</v>
      </c>
      <c r="G923" s="51" t="n">
        <f aca="false">'Z5 Ikana-Nkangamo'!$B$8-E923</f>
        <v>153.68</v>
      </c>
      <c r="H923" s="52" t="n">
        <f aca="false">F923-E923</f>
        <v>115.553867216605</v>
      </c>
      <c r="I923" s="52" t="n">
        <f aca="false">MAX(H923,G923)</f>
        <v>153.68</v>
      </c>
      <c r="J923" s="4" t="str">
        <f aca="false">IFERROR("PN"&amp;SMALL(PN_list,COUNTIF(PN_list,"&lt;"&amp;I923*bar_per_m)+1),"&gt; max PN")</f>
        <v>PN16</v>
      </c>
      <c r="K923" s="4" t="str">
        <f aca="false">IF(L923="no","end at tank",IF(H923&lt;0,"NEGATIVE",IF(H923&lt;p_min-0.005,"low","OK")))</f>
        <v>OK</v>
      </c>
      <c r="L923" s="4" t="s">
        <v>414</v>
      </c>
    </row>
    <row r="924" customFormat="false" ht="15" hidden="false" customHeight="false" outlineLevel="0" collapsed="false">
      <c r="A924" s="4" t="s">
        <v>42</v>
      </c>
      <c r="B924" s="4" t="s">
        <v>368</v>
      </c>
      <c r="C924" s="47" t="n">
        <v>25261.37</v>
      </c>
      <c r="D924" s="48" t="n">
        <v>1514.85</v>
      </c>
      <c r="E924" s="49" t="n">
        <f aca="false">D924-cover</f>
        <v>1513.65</v>
      </c>
      <c r="F924" s="50" t="n">
        <f aca="false">'Z5 Ikana-Nkangamo'!S12-'Z5 Ikana-Nkangamo'!P12*C924/'Z5 Ikana-Nkangamo'!G12</f>
        <v>1629.8075754348</v>
      </c>
      <c r="G924" s="51" t="n">
        <f aca="false">'Z5 Ikana-Nkangamo'!$B$8-E924</f>
        <v>154.35</v>
      </c>
      <c r="H924" s="52" t="n">
        <f aca="false">F924-E924</f>
        <v>116.157575434795</v>
      </c>
      <c r="I924" s="52" t="n">
        <f aca="false">MAX(H924,G924)</f>
        <v>154.35</v>
      </c>
      <c r="J924" s="4" t="str">
        <f aca="false">IFERROR("PN"&amp;SMALL(PN_list,COUNTIF(PN_list,"&lt;"&amp;I924*bar_per_m)+1),"&gt; max PN")</f>
        <v>PN16</v>
      </c>
      <c r="K924" s="4" t="str">
        <f aca="false">IF(L924="no","end at tank",IF(H924&lt;0,"NEGATIVE",IF(H924&lt;p_min-0.005,"low","OK")))</f>
        <v>OK</v>
      </c>
      <c r="L924" s="4" t="s">
        <v>414</v>
      </c>
    </row>
    <row r="925" customFormat="false" ht="15" hidden="false" customHeight="false" outlineLevel="0" collapsed="false">
      <c r="A925" s="4" t="s">
        <v>42</v>
      </c>
      <c r="B925" s="4" t="s">
        <v>368</v>
      </c>
      <c r="C925" s="47" t="n">
        <v>25311.37</v>
      </c>
      <c r="D925" s="48" t="n">
        <v>1514.4</v>
      </c>
      <c r="E925" s="49" t="n">
        <f aca="false">D925-cover</f>
        <v>1513.2</v>
      </c>
      <c r="F925" s="50" t="n">
        <f aca="false">'Z5 Ikana-Nkangamo'!S12-'Z5 Ikana-Nkangamo'!P12*C925/'Z5 Ikana-Nkangamo'!G12</f>
        <v>1629.74128365299</v>
      </c>
      <c r="G925" s="51" t="n">
        <f aca="false">'Z5 Ikana-Nkangamo'!$B$8-E925</f>
        <v>154.8</v>
      </c>
      <c r="H925" s="52" t="n">
        <f aca="false">F925-E925</f>
        <v>116.541283652985</v>
      </c>
      <c r="I925" s="52" t="n">
        <f aca="false">MAX(H925,G925)</f>
        <v>154.8</v>
      </c>
      <c r="J925" s="4" t="str">
        <f aca="false">IFERROR("PN"&amp;SMALL(PN_list,COUNTIF(PN_list,"&lt;"&amp;I925*bar_per_m)+1),"&gt; max PN")</f>
        <v>PN16</v>
      </c>
      <c r="K925" s="4" t="str">
        <f aca="false">IF(L925="no","end at tank",IF(H925&lt;0,"NEGATIVE",IF(H925&lt;p_min-0.005,"low","OK")))</f>
        <v>OK</v>
      </c>
      <c r="L925" s="4" t="s">
        <v>414</v>
      </c>
    </row>
    <row r="926" customFormat="false" ht="15" hidden="false" customHeight="false" outlineLevel="0" collapsed="false">
      <c r="A926" s="4" t="s">
        <v>42</v>
      </c>
      <c r="B926" s="4" t="s">
        <v>368</v>
      </c>
      <c r="C926" s="47" t="n">
        <v>25361.38</v>
      </c>
      <c r="D926" s="48" t="n">
        <v>1513.87</v>
      </c>
      <c r="E926" s="49" t="n">
        <f aca="false">D926-cover</f>
        <v>1512.67</v>
      </c>
      <c r="F926" s="50" t="n">
        <f aca="false">'Z5 Ikana-Nkangamo'!S12-'Z5 Ikana-Nkangamo'!P12*C926/'Z5 Ikana-Nkangamo'!G12</f>
        <v>1629.67497861282</v>
      </c>
      <c r="G926" s="51" t="n">
        <f aca="false">'Z5 Ikana-Nkangamo'!$B$8-E926</f>
        <v>155.33</v>
      </c>
      <c r="H926" s="52" t="n">
        <f aca="false">F926-E926</f>
        <v>117.004978612819</v>
      </c>
      <c r="I926" s="52" t="n">
        <f aca="false">MAX(H926,G926)</f>
        <v>155.33</v>
      </c>
      <c r="J926" s="4" t="str">
        <f aca="false">IFERROR("PN"&amp;SMALL(PN_list,COUNTIF(PN_list,"&lt;"&amp;I926*bar_per_m)+1),"&gt; max PN")</f>
        <v>PN16</v>
      </c>
      <c r="K926" s="4" t="str">
        <f aca="false">IF(L926="no","end at tank",IF(H926&lt;0,"NEGATIVE",IF(H926&lt;p_min-0.005,"low","OK")))</f>
        <v>OK</v>
      </c>
      <c r="L926" s="4" t="s">
        <v>414</v>
      </c>
    </row>
    <row r="927" customFormat="false" ht="15" hidden="false" customHeight="false" outlineLevel="0" collapsed="false">
      <c r="A927" s="4" t="s">
        <v>42</v>
      </c>
      <c r="B927" s="4" t="s">
        <v>368</v>
      </c>
      <c r="C927" s="47" t="n">
        <v>25411.39</v>
      </c>
      <c r="D927" s="48" t="n">
        <v>1512.97</v>
      </c>
      <c r="E927" s="49" t="n">
        <f aca="false">D927-cover</f>
        <v>1511.77</v>
      </c>
      <c r="F927" s="50" t="n">
        <f aca="false">'Z5 Ikana-Nkangamo'!S12-'Z5 Ikana-Nkangamo'!P12*C927/'Z5 Ikana-Nkangamo'!G12</f>
        <v>1629.60867357265</v>
      </c>
      <c r="G927" s="51" t="n">
        <f aca="false">'Z5 Ikana-Nkangamo'!$B$8-E927</f>
        <v>156.23</v>
      </c>
      <c r="H927" s="52" t="n">
        <f aca="false">F927-E927</f>
        <v>117.838673572652</v>
      </c>
      <c r="I927" s="52" t="n">
        <f aca="false">MAX(H927,G927)</f>
        <v>156.23</v>
      </c>
      <c r="J927" s="4" t="str">
        <f aca="false">IFERROR("PN"&amp;SMALL(PN_list,COUNTIF(PN_list,"&lt;"&amp;I927*bar_per_m)+1),"&gt; max PN")</f>
        <v>PN16</v>
      </c>
      <c r="K927" s="4" t="str">
        <f aca="false">IF(L927="no","end at tank",IF(H927&lt;0,"NEGATIVE",IF(H927&lt;p_min-0.005,"low","OK")))</f>
        <v>OK</v>
      </c>
      <c r="L927" s="4" t="s">
        <v>414</v>
      </c>
    </row>
    <row r="928" customFormat="false" ht="15" hidden="false" customHeight="false" outlineLevel="0" collapsed="false">
      <c r="A928" s="4" t="s">
        <v>42</v>
      </c>
      <c r="B928" s="4" t="s">
        <v>368</v>
      </c>
      <c r="C928" s="47" t="n">
        <v>25461.39</v>
      </c>
      <c r="D928" s="48" t="n">
        <v>1512.08</v>
      </c>
      <c r="E928" s="49" t="n">
        <f aca="false">D928-cover</f>
        <v>1510.88</v>
      </c>
      <c r="F928" s="50" t="n">
        <f aca="false">'Z5 Ikana-Nkangamo'!S12-'Z5 Ikana-Nkangamo'!P12*C928/'Z5 Ikana-Nkangamo'!G12</f>
        <v>1629.54238179084</v>
      </c>
      <c r="G928" s="51" t="n">
        <f aca="false">'Z5 Ikana-Nkangamo'!$B$8-E928</f>
        <v>157.12</v>
      </c>
      <c r="H928" s="52" t="n">
        <f aca="false">F928-E928</f>
        <v>118.662381790843</v>
      </c>
      <c r="I928" s="52" t="n">
        <f aca="false">MAX(H928,G928)</f>
        <v>157.12</v>
      </c>
      <c r="J928" s="4" t="str">
        <f aca="false">IFERROR("PN"&amp;SMALL(PN_list,COUNTIF(PN_list,"&lt;"&amp;I928*bar_per_m)+1),"&gt; max PN")</f>
        <v>PN16</v>
      </c>
      <c r="K928" s="4" t="str">
        <f aca="false">IF(L928="no","end at tank",IF(H928&lt;0,"NEGATIVE",IF(H928&lt;p_min-0.005,"low","OK")))</f>
        <v>OK</v>
      </c>
      <c r="L928" s="4" t="s">
        <v>414</v>
      </c>
    </row>
    <row r="929" customFormat="false" ht="15" hidden="false" customHeight="false" outlineLevel="0" collapsed="false">
      <c r="A929" s="4" t="s">
        <v>42</v>
      </c>
      <c r="B929" s="4" t="s">
        <v>368</v>
      </c>
      <c r="C929" s="47" t="n">
        <v>25511.42</v>
      </c>
      <c r="D929" s="48" t="n">
        <v>1510.47</v>
      </c>
      <c r="E929" s="49" t="n">
        <f aca="false">D929-cover</f>
        <v>1509.27</v>
      </c>
      <c r="F929" s="50" t="n">
        <f aca="false">'Z5 Ikana-Nkangamo'!S12-'Z5 Ikana-Nkangamo'!P12*C929/'Z5 Ikana-Nkangamo'!G12</f>
        <v>1629.47605023396</v>
      </c>
      <c r="G929" s="51" t="n">
        <f aca="false">'Z5 Ikana-Nkangamo'!$B$8-E929</f>
        <v>158.73</v>
      </c>
      <c r="H929" s="52" t="n">
        <f aca="false">F929-E929</f>
        <v>120.206050233963</v>
      </c>
      <c r="I929" s="52" t="n">
        <f aca="false">MAX(H929,G929)</f>
        <v>158.73</v>
      </c>
      <c r="J929" s="4" t="str">
        <f aca="false">IFERROR("PN"&amp;SMALL(PN_list,COUNTIF(PN_list,"&lt;"&amp;I929*bar_per_m)+1),"&gt; max PN")</f>
        <v>PN16</v>
      </c>
      <c r="K929" s="4" t="str">
        <f aca="false">IF(L929="no","end at tank",IF(H929&lt;0,"NEGATIVE",IF(H929&lt;p_min-0.005,"low","OK")))</f>
        <v>OK</v>
      </c>
      <c r="L929" s="4" t="s">
        <v>414</v>
      </c>
    </row>
    <row r="930" customFormat="false" ht="15" hidden="false" customHeight="false" outlineLevel="0" collapsed="false">
      <c r="A930" s="4" t="s">
        <v>42</v>
      </c>
      <c r="B930" s="4" t="s">
        <v>368</v>
      </c>
      <c r="C930" s="47" t="n">
        <v>25561.44</v>
      </c>
      <c r="D930" s="48" t="n">
        <v>1509</v>
      </c>
      <c r="E930" s="49" t="n">
        <f aca="false">D930-cover</f>
        <v>1507.8</v>
      </c>
      <c r="F930" s="50" t="n">
        <f aca="false">'Z5 Ikana-Nkangamo'!S12-'Z5 Ikana-Nkangamo'!P12*C930/'Z5 Ikana-Nkangamo'!G12</f>
        <v>1629.40973193544</v>
      </c>
      <c r="G930" s="51" t="n">
        <f aca="false">'Z5 Ikana-Nkangamo'!$B$8-E930</f>
        <v>160.2</v>
      </c>
      <c r="H930" s="52" t="n">
        <f aca="false">F930-E930</f>
        <v>121.609731935441</v>
      </c>
      <c r="I930" s="52" t="n">
        <f aca="false">MAX(H930,G930)</f>
        <v>160.2</v>
      </c>
      <c r="J930" s="4" t="str">
        <f aca="false">IFERROR("PN"&amp;SMALL(PN_list,COUNTIF(PN_list,"&lt;"&amp;I930*bar_per_m)+1),"&gt; max PN")</f>
        <v>PN16</v>
      </c>
      <c r="K930" s="4" t="str">
        <f aca="false">IF(L930="no","end at tank",IF(H930&lt;0,"NEGATIVE",IF(H930&lt;p_min-0.005,"low","OK")))</f>
        <v>OK</v>
      </c>
      <c r="L930" s="4" t="s">
        <v>414</v>
      </c>
    </row>
    <row r="931" customFormat="false" ht="15" hidden="false" customHeight="false" outlineLevel="0" collapsed="false">
      <c r="A931" s="4" t="s">
        <v>42</v>
      </c>
      <c r="B931" s="4" t="s">
        <v>368</v>
      </c>
      <c r="C931" s="47" t="n">
        <v>25611.45</v>
      </c>
      <c r="D931" s="48" t="n">
        <v>1507.92</v>
      </c>
      <c r="E931" s="49" t="n">
        <f aca="false">D931-cover</f>
        <v>1506.72</v>
      </c>
      <c r="F931" s="50" t="n">
        <f aca="false">'Z5 Ikana-Nkangamo'!S12-'Z5 Ikana-Nkangamo'!P12*C931/'Z5 Ikana-Nkangamo'!G12</f>
        <v>1629.34342689527</v>
      </c>
      <c r="G931" s="51" t="n">
        <f aca="false">'Z5 Ikana-Nkangamo'!$B$8-E931</f>
        <v>161.28</v>
      </c>
      <c r="H931" s="52" t="n">
        <f aca="false">F931-E931</f>
        <v>122.623426895274</v>
      </c>
      <c r="I931" s="52" t="n">
        <f aca="false">MAX(H931,G931)</f>
        <v>161.28</v>
      </c>
      <c r="J931" s="4" t="str">
        <f aca="false">IFERROR("PN"&amp;SMALL(PN_list,COUNTIF(PN_list,"&lt;"&amp;I931*bar_per_m)+1),"&gt; max PN")</f>
        <v>PN16</v>
      </c>
      <c r="K931" s="4" t="str">
        <f aca="false">IF(L931="no","end at tank",IF(H931&lt;0,"NEGATIVE",IF(H931&lt;p_min-0.005,"low","OK")))</f>
        <v>OK</v>
      </c>
      <c r="L931" s="4" t="s">
        <v>414</v>
      </c>
    </row>
    <row r="932" customFormat="false" ht="15" hidden="false" customHeight="false" outlineLevel="0" collapsed="false">
      <c r="A932" s="4" t="s">
        <v>42</v>
      </c>
      <c r="B932" s="4" t="s">
        <v>368</v>
      </c>
      <c r="C932" s="47" t="n">
        <v>25661.53</v>
      </c>
      <c r="D932" s="48" t="n">
        <v>1505.22</v>
      </c>
      <c r="E932" s="49" t="n">
        <f aca="false">D932-cover</f>
        <v>1504.02</v>
      </c>
      <c r="F932" s="50" t="n">
        <f aca="false">'Z5 Ikana-Nkangamo'!S12-'Z5 Ikana-Nkangamo'!P12*C932/'Z5 Ikana-Nkangamo'!G12</f>
        <v>1629.27702904661</v>
      </c>
      <c r="G932" s="51" t="n">
        <f aca="false">'Z5 Ikana-Nkangamo'!$B$8-E932</f>
        <v>163.98</v>
      </c>
      <c r="H932" s="52" t="n">
        <f aca="false">F932-E932</f>
        <v>125.257029046614</v>
      </c>
      <c r="I932" s="52" t="n">
        <f aca="false">MAX(H932,G932)</f>
        <v>163.98</v>
      </c>
      <c r="J932" s="4" t="str">
        <f aca="false">IFERROR("PN"&amp;SMALL(PN_list,COUNTIF(PN_list,"&lt;"&amp;I932*bar_per_m)+1),"&gt; max PN")</f>
        <v>PN25</v>
      </c>
      <c r="K932" s="4" t="str">
        <f aca="false">IF(L932="no","end at tank",IF(H932&lt;0,"NEGATIVE",IF(H932&lt;p_min-0.005,"low","OK")))</f>
        <v>OK</v>
      </c>
      <c r="L932" s="4" t="s">
        <v>414</v>
      </c>
    </row>
    <row r="933" customFormat="false" ht="15" hidden="false" customHeight="false" outlineLevel="0" collapsed="false">
      <c r="A933" s="4" t="s">
        <v>42</v>
      </c>
      <c r="B933" s="4" t="s">
        <v>368</v>
      </c>
      <c r="C933" s="47" t="n">
        <v>25711.56</v>
      </c>
      <c r="D933" s="48" t="n">
        <v>1503.5</v>
      </c>
      <c r="E933" s="49" t="n">
        <f aca="false">D933-cover</f>
        <v>1502.3</v>
      </c>
      <c r="F933" s="50" t="n">
        <f aca="false">'Z5 Ikana-Nkangamo'!S12-'Z5 Ikana-Nkangamo'!P12*C933/'Z5 Ikana-Nkangamo'!G12</f>
        <v>1629.21069748973</v>
      </c>
      <c r="G933" s="51" t="n">
        <f aca="false">'Z5 Ikana-Nkangamo'!$B$8-E933</f>
        <v>165.7</v>
      </c>
      <c r="H933" s="52" t="n">
        <f aca="false">F933-E933</f>
        <v>126.910697489735</v>
      </c>
      <c r="I933" s="52" t="n">
        <f aca="false">MAX(H933,G933)</f>
        <v>165.7</v>
      </c>
      <c r="J933" s="4" t="str">
        <f aca="false">IFERROR("PN"&amp;SMALL(PN_list,COUNTIF(PN_list,"&lt;"&amp;I933*bar_per_m)+1),"&gt; max PN")</f>
        <v>PN25</v>
      </c>
      <c r="K933" s="4" t="str">
        <f aca="false">IF(L933="no","end at tank",IF(H933&lt;0,"NEGATIVE",IF(H933&lt;p_min-0.005,"low","OK")))</f>
        <v>OK</v>
      </c>
      <c r="L933" s="4" t="s">
        <v>414</v>
      </c>
    </row>
    <row r="934" customFormat="false" ht="15" hidden="false" customHeight="false" outlineLevel="0" collapsed="false">
      <c r="A934" s="4" t="s">
        <v>42</v>
      </c>
      <c r="B934" s="4" t="s">
        <v>368</v>
      </c>
      <c r="C934" s="47" t="n">
        <v>25761.59</v>
      </c>
      <c r="D934" s="48" t="n">
        <v>1501.62</v>
      </c>
      <c r="E934" s="49" t="n">
        <f aca="false">D934-cover</f>
        <v>1500.42</v>
      </c>
      <c r="F934" s="50" t="n">
        <f aca="false">'Z5 Ikana-Nkangamo'!S12-'Z5 Ikana-Nkangamo'!P12*C934/'Z5 Ikana-Nkangamo'!G12</f>
        <v>1629.14436593286</v>
      </c>
      <c r="G934" s="51" t="n">
        <f aca="false">'Z5 Ikana-Nkangamo'!$B$8-E934</f>
        <v>167.58</v>
      </c>
      <c r="H934" s="52" t="n">
        <f aca="false">F934-E934</f>
        <v>128.724365932856</v>
      </c>
      <c r="I934" s="52" t="n">
        <f aca="false">MAX(H934,G934)</f>
        <v>167.58</v>
      </c>
      <c r="J934" s="4" t="str">
        <f aca="false">IFERROR("PN"&amp;SMALL(PN_list,COUNTIF(PN_list,"&lt;"&amp;I934*bar_per_m)+1),"&gt; max PN")</f>
        <v>PN25</v>
      </c>
      <c r="K934" s="4" t="str">
        <f aca="false">IF(L934="no","end at tank",IF(H934&lt;0,"NEGATIVE",IF(H934&lt;p_min-0.005,"low","OK")))</f>
        <v>OK</v>
      </c>
      <c r="L934" s="4" t="s">
        <v>414</v>
      </c>
    </row>
    <row r="935" customFormat="false" ht="15" hidden="false" customHeight="false" outlineLevel="0" collapsed="false">
      <c r="A935" s="4" t="s">
        <v>42</v>
      </c>
      <c r="B935" s="4" t="s">
        <v>368</v>
      </c>
      <c r="C935" s="47" t="n">
        <v>25811.64</v>
      </c>
      <c r="D935" s="48" t="n">
        <v>1499.46</v>
      </c>
      <c r="E935" s="49" t="n">
        <f aca="false">D935-cover</f>
        <v>1498.26</v>
      </c>
      <c r="F935" s="50" t="n">
        <f aca="false">'Z5 Ikana-Nkangamo'!S12-'Z5 Ikana-Nkangamo'!P12*C935/'Z5 Ikana-Nkangamo'!G12</f>
        <v>1629.07800785926</v>
      </c>
      <c r="G935" s="51" t="n">
        <f aca="false">'Z5 Ikana-Nkangamo'!$B$8-E935</f>
        <v>169.74</v>
      </c>
      <c r="H935" s="52" t="n">
        <f aca="false">F935-E935</f>
        <v>130.818007859264</v>
      </c>
      <c r="I935" s="52" t="n">
        <f aca="false">MAX(H935,G935)</f>
        <v>169.74</v>
      </c>
      <c r="J935" s="4" t="str">
        <f aca="false">IFERROR("PN"&amp;SMALL(PN_list,COUNTIF(PN_list,"&lt;"&amp;I935*bar_per_m)+1),"&gt; max PN")</f>
        <v>PN25</v>
      </c>
      <c r="K935" s="4" t="str">
        <f aca="false">IF(L935="no","end at tank",IF(H935&lt;0,"NEGATIVE",IF(H935&lt;p_min-0.005,"low","OK")))</f>
        <v>OK</v>
      </c>
      <c r="L935" s="4" t="s">
        <v>414</v>
      </c>
    </row>
    <row r="936" customFormat="false" ht="15" hidden="false" customHeight="false" outlineLevel="0" collapsed="false">
      <c r="A936" s="4" t="s">
        <v>42</v>
      </c>
      <c r="B936" s="4" t="s">
        <v>368</v>
      </c>
      <c r="C936" s="47" t="n">
        <v>25861.73</v>
      </c>
      <c r="D936" s="48" t="n">
        <v>1496.4</v>
      </c>
      <c r="E936" s="49" t="n">
        <f aca="false">D936-cover</f>
        <v>1495.2</v>
      </c>
      <c r="F936" s="50" t="n">
        <f aca="false">'Z5 Ikana-Nkangamo'!S12-'Z5 Ikana-Nkangamo'!P12*C936/'Z5 Ikana-Nkangamo'!G12</f>
        <v>1629.01159675225</v>
      </c>
      <c r="G936" s="51" t="n">
        <f aca="false">'Z5 Ikana-Nkangamo'!$B$8-E936</f>
        <v>172.8</v>
      </c>
      <c r="H936" s="52" t="n">
        <f aca="false">F936-E936</f>
        <v>133.811596752247</v>
      </c>
      <c r="I936" s="52" t="n">
        <f aca="false">MAX(H936,G936)</f>
        <v>172.8</v>
      </c>
      <c r="J936" s="4" t="str">
        <f aca="false">IFERROR("PN"&amp;SMALL(PN_list,COUNTIF(PN_list,"&lt;"&amp;I936*bar_per_m)+1),"&gt; max PN")</f>
        <v>PN25</v>
      </c>
      <c r="K936" s="4" t="str">
        <f aca="false">IF(L936="no","end at tank",IF(H936&lt;0,"NEGATIVE",IF(H936&lt;p_min-0.005,"low","OK")))</f>
        <v>OK</v>
      </c>
      <c r="L936" s="4" t="s">
        <v>414</v>
      </c>
    </row>
    <row r="937" customFormat="false" ht="15" hidden="false" customHeight="false" outlineLevel="0" collapsed="false">
      <c r="A937" s="4" t="s">
        <v>42</v>
      </c>
      <c r="B937" s="4" t="s">
        <v>368</v>
      </c>
      <c r="C937" s="47" t="n">
        <v>25911.77</v>
      </c>
      <c r="D937" s="48" t="n">
        <v>1494.46</v>
      </c>
      <c r="E937" s="49" t="n">
        <f aca="false">D937-cover</f>
        <v>1493.26</v>
      </c>
      <c r="F937" s="50" t="n">
        <f aca="false">'Z5 Ikana-Nkangamo'!S12-'Z5 Ikana-Nkangamo'!P12*C937/'Z5 Ikana-Nkangamo'!G12</f>
        <v>1628.94525193701</v>
      </c>
      <c r="G937" s="51" t="n">
        <f aca="false">'Z5 Ikana-Nkangamo'!$B$8-E937</f>
        <v>174.74</v>
      </c>
      <c r="H937" s="52" t="n">
        <f aca="false">F937-E937</f>
        <v>135.685251937011</v>
      </c>
      <c r="I937" s="52" t="n">
        <f aca="false">MAX(H937,G937)</f>
        <v>174.74</v>
      </c>
      <c r="J937" s="4" t="str">
        <f aca="false">IFERROR("PN"&amp;SMALL(PN_list,COUNTIF(PN_list,"&lt;"&amp;I937*bar_per_m)+1),"&gt; max PN")</f>
        <v>PN25</v>
      </c>
      <c r="K937" s="4" t="str">
        <f aca="false">IF(L937="no","end at tank",IF(H937&lt;0,"NEGATIVE",IF(H937&lt;p_min-0.005,"low","OK")))</f>
        <v>OK</v>
      </c>
      <c r="L937" s="4" t="s">
        <v>414</v>
      </c>
    </row>
    <row r="938" customFormat="false" ht="15" hidden="false" customHeight="false" outlineLevel="0" collapsed="false">
      <c r="A938" s="4" t="s">
        <v>42</v>
      </c>
      <c r="B938" s="4" t="s">
        <v>368</v>
      </c>
      <c r="C938" s="47" t="n">
        <v>25961.86</v>
      </c>
      <c r="D938" s="48" t="n">
        <v>1491.45</v>
      </c>
      <c r="E938" s="49" t="n">
        <f aca="false">D938-cover</f>
        <v>1490.25</v>
      </c>
      <c r="F938" s="50" t="n">
        <f aca="false">'Z5 Ikana-Nkangamo'!S12-'Z5 Ikana-Nkangamo'!P12*C938/'Z5 Ikana-Nkangamo'!G12</f>
        <v>1628.87884082999</v>
      </c>
      <c r="G938" s="51" t="n">
        <f aca="false">'Z5 Ikana-Nkangamo'!$B$8-E938</f>
        <v>177.75</v>
      </c>
      <c r="H938" s="52" t="n">
        <f aca="false">F938-E938</f>
        <v>138.628840829994</v>
      </c>
      <c r="I938" s="52" t="n">
        <f aca="false">MAX(H938,G938)</f>
        <v>177.75</v>
      </c>
      <c r="J938" s="4" t="str">
        <f aca="false">IFERROR("PN"&amp;SMALL(PN_list,COUNTIF(PN_list,"&lt;"&amp;I938*bar_per_m)+1),"&gt; max PN")</f>
        <v>PN25</v>
      </c>
      <c r="K938" s="4" t="str">
        <f aca="false">IF(L938="no","end at tank",IF(H938&lt;0,"NEGATIVE",IF(H938&lt;p_min-0.005,"low","OK")))</f>
        <v>OK</v>
      </c>
      <c r="L938" s="4" t="s">
        <v>414</v>
      </c>
    </row>
    <row r="939" customFormat="false" ht="15" hidden="false" customHeight="false" outlineLevel="0" collapsed="false">
      <c r="A939" s="4" t="s">
        <v>42</v>
      </c>
      <c r="B939" s="4" t="s">
        <v>368</v>
      </c>
      <c r="C939" s="47" t="n">
        <v>26011.99</v>
      </c>
      <c r="D939" s="48" t="n">
        <v>1487.84</v>
      </c>
      <c r="E939" s="49" t="n">
        <f aca="false">D939-cover</f>
        <v>1486.64</v>
      </c>
      <c r="F939" s="50" t="n">
        <f aca="false">'Z5 Ikana-Nkangamo'!S12-'Z5 Ikana-Nkangamo'!P12*C939/'Z5 Ikana-Nkangamo'!G12</f>
        <v>1628.81237668955</v>
      </c>
      <c r="G939" s="51" t="n">
        <f aca="false">'Z5 Ikana-Nkangamo'!$B$8-E939</f>
        <v>181.36</v>
      </c>
      <c r="H939" s="52" t="n">
        <f aca="false">F939-E939</f>
        <v>142.172376689552</v>
      </c>
      <c r="I939" s="52" t="n">
        <f aca="false">MAX(H939,G939)</f>
        <v>181.36</v>
      </c>
      <c r="J939" s="4" t="str">
        <f aca="false">IFERROR("PN"&amp;SMALL(PN_list,COUNTIF(PN_list,"&lt;"&amp;I939*bar_per_m)+1),"&gt; max PN")</f>
        <v>PN25</v>
      </c>
      <c r="K939" s="4" t="str">
        <f aca="false">IF(L939="no","end at tank",IF(H939&lt;0,"NEGATIVE",IF(H939&lt;p_min-0.005,"low","OK")))</f>
        <v>OK</v>
      </c>
      <c r="L939" s="4" t="s">
        <v>414</v>
      </c>
    </row>
    <row r="940" customFormat="false" ht="15" hidden="false" customHeight="false" outlineLevel="0" collapsed="false">
      <c r="A940" s="4" t="s">
        <v>42</v>
      </c>
      <c r="B940" s="4" t="s">
        <v>368</v>
      </c>
      <c r="C940" s="47" t="n">
        <v>26062.21</v>
      </c>
      <c r="D940" s="48" t="n">
        <v>1483.08</v>
      </c>
      <c r="E940" s="49" t="n">
        <f aca="false">D940-cover</f>
        <v>1481.88</v>
      </c>
      <c r="F940" s="50" t="n">
        <f aca="false">'Z5 Ikana-Nkangamo'!S12-'Z5 Ikana-Nkangamo'!P12*C940/'Z5 Ikana-Nkangamo'!G12</f>
        <v>1628.7457932239</v>
      </c>
      <c r="G940" s="51" t="n">
        <f aca="false">'Z5 Ikana-Nkangamo'!$B$8-E940</f>
        <v>186.12</v>
      </c>
      <c r="H940" s="52" t="n">
        <f aca="false">F940-E940</f>
        <v>146.865793223902</v>
      </c>
      <c r="I940" s="52" t="n">
        <f aca="false">MAX(H940,G940)</f>
        <v>186.12</v>
      </c>
      <c r="J940" s="4" t="str">
        <f aca="false">IFERROR("PN"&amp;SMALL(PN_list,COUNTIF(PN_list,"&lt;"&amp;I940*bar_per_m)+1),"&gt; max PN")</f>
        <v>PN25</v>
      </c>
      <c r="K940" s="4" t="str">
        <f aca="false">IF(L940="no","end at tank",IF(H940&lt;0,"NEGATIVE",IF(H940&lt;p_min-0.005,"low","OK")))</f>
        <v>OK</v>
      </c>
      <c r="L940" s="4" t="s">
        <v>414</v>
      </c>
    </row>
    <row r="941" customFormat="false" ht="15" hidden="false" customHeight="false" outlineLevel="0" collapsed="false">
      <c r="A941" s="4" t="s">
        <v>42</v>
      </c>
      <c r="B941" s="4" t="s">
        <v>368</v>
      </c>
      <c r="C941" s="47" t="n">
        <v>26112.37</v>
      </c>
      <c r="D941" s="48" t="n">
        <v>1479.18</v>
      </c>
      <c r="E941" s="49" t="n">
        <f aca="false">D941-cover</f>
        <v>1477.98</v>
      </c>
      <c r="F941" s="50" t="n">
        <f aca="false">'Z5 Ikana-Nkangamo'!S12-'Z5 Ikana-Nkangamo'!P12*C941/'Z5 Ikana-Nkangamo'!G12</f>
        <v>1628.67928930839</v>
      </c>
      <c r="G941" s="51" t="n">
        <f aca="false">'Z5 Ikana-Nkangamo'!$B$8-E941</f>
        <v>190.02</v>
      </c>
      <c r="H941" s="52" t="n">
        <f aca="false">F941-E941</f>
        <v>150.69928930839</v>
      </c>
      <c r="I941" s="52" t="n">
        <f aca="false">MAX(H941,G941)</f>
        <v>190.02</v>
      </c>
      <c r="J941" s="4" t="str">
        <f aca="false">IFERROR("PN"&amp;SMALL(PN_list,COUNTIF(PN_list,"&lt;"&amp;I941*bar_per_m)+1),"&gt; max PN")</f>
        <v>PN25</v>
      </c>
      <c r="K941" s="4" t="str">
        <f aca="false">IF(L941="no","end at tank",IF(H941&lt;0,"NEGATIVE",IF(H941&lt;p_min-0.005,"low","OK")))</f>
        <v>OK</v>
      </c>
      <c r="L941" s="4" t="s">
        <v>414</v>
      </c>
    </row>
    <row r="942" customFormat="false" ht="15" hidden="false" customHeight="false" outlineLevel="0" collapsed="false">
      <c r="A942" s="4" t="s">
        <v>42</v>
      </c>
      <c r="B942" s="4" t="s">
        <v>368</v>
      </c>
      <c r="C942" s="47" t="n">
        <v>26162.37</v>
      </c>
      <c r="D942" s="48" t="n">
        <v>1479.48</v>
      </c>
      <c r="E942" s="49" t="n">
        <f aca="false">D942-cover</f>
        <v>1478.28</v>
      </c>
      <c r="F942" s="50" t="n">
        <f aca="false">'Z5 Ikana-Nkangamo'!S12-'Z5 Ikana-Nkangamo'!P12*C942/'Z5 Ikana-Nkangamo'!G12</f>
        <v>1628.61299752658</v>
      </c>
      <c r="G942" s="51" t="n">
        <f aca="false">'Z5 Ikana-Nkangamo'!$B$8-E942</f>
        <v>189.72</v>
      </c>
      <c r="H942" s="52" t="n">
        <f aca="false">F942-E942</f>
        <v>150.33299752658</v>
      </c>
      <c r="I942" s="52" t="n">
        <f aca="false">MAX(H942,G942)</f>
        <v>189.72</v>
      </c>
      <c r="J942" s="4" t="str">
        <f aca="false">IFERROR("PN"&amp;SMALL(PN_list,COUNTIF(PN_list,"&lt;"&amp;I942*bar_per_m)+1),"&gt; max PN")</f>
        <v>PN25</v>
      </c>
      <c r="K942" s="4" t="str">
        <f aca="false">IF(L942="no","end at tank",IF(H942&lt;0,"NEGATIVE",IF(H942&lt;p_min-0.005,"low","OK")))</f>
        <v>OK</v>
      </c>
      <c r="L942" s="4" t="s">
        <v>414</v>
      </c>
    </row>
    <row r="943" customFormat="false" ht="15" hidden="false" customHeight="false" outlineLevel="0" collapsed="false">
      <c r="A943" s="4" t="s">
        <v>42</v>
      </c>
      <c r="B943" s="4" t="s">
        <v>368</v>
      </c>
      <c r="C943" s="47" t="n">
        <v>26212.77</v>
      </c>
      <c r="D943" s="48" t="n">
        <v>1485.85</v>
      </c>
      <c r="E943" s="49" t="n">
        <f aca="false">D943-cover</f>
        <v>1484.65</v>
      </c>
      <c r="F943" s="50" t="n">
        <f aca="false">'Z5 Ikana-Nkangamo'!S12-'Z5 Ikana-Nkangamo'!P12*C943/'Z5 Ikana-Nkangamo'!G12</f>
        <v>1628.54617541052</v>
      </c>
      <c r="G943" s="51" t="n">
        <f aca="false">'Z5 Ikana-Nkangamo'!$B$8-E943</f>
        <v>183.35</v>
      </c>
      <c r="H943" s="52" t="n">
        <f aca="false">F943-E943</f>
        <v>143.896175410516</v>
      </c>
      <c r="I943" s="52" t="n">
        <f aca="false">MAX(H943,G943)</f>
        <v>183.35</v>
      </c>
      <c r="J943" s="4" t="str">
        <f aca="false">IFERROR("PN"&amp;SMALL(PN_list,COUNTIF(PN_list,"&lt;"&amp;I943*bar_per_m)+1),"&gt; max PN")</f>
        <v>PN25</v>
      </c>
      <c r="K943" s="4" t="str">
        <f aca="false">IF(L943="no","end at tank",IF(H943&lt;0,"NEGATIVE",IF(H943&lt;p_min-0.005,"low","OK")))</f>
        <v>OK</v>
      </c>
      <c r="L943" s="4" t="s">
        <v>414</v>
      </c>
    </row>
    <row r="944" customFormat="false" ht="15" hidden="false" customHeight="false" outlineLevel="0" collapsed="false">
      <c r="A944" s="4" t="s">
        <v>42</v>
      </c>
      <c r="B944" s="4" t="s">
        <v>368</v>
      </c>
      <c r="C944" s="47" t="n">
        <v>26262.88</v>
      </c>
      <c r="D944" s="48" t="n">
        <v>1489.21</v>
      </c>
      <c r="E944" s="49" t="n">
        <f aca="false">D944-cover</f>
        <v>1488.01</v>
      </c>
      <c r="F944" s="50" t="n">
        <f aca="false">'Z5 Ikana-Nkangamo'!S12-'Z5 Ikana-Nkangamo'!P12*C944/'Z5 Ikana-Nkangamo'!G12</f>
        <v>1628.47973778679</v>
      </c>
      <c r="G944" s="51" t="n">
        <f aca="false">'Z5 Ikana-Nkangamo'!$B$8-E944</f>
        <v>179.99</v>
      </c>
      <c r="H944" s="52" t="n">
        <f aca="false">F944-E944</f>
        <v>140.469737786785</v>
      </c>
      <c r="I944" s="52" t="n">
        <f aca="false">MAX(H944,G944)</f>
        <v>179.99</v>
      </c>
      <c r="J944" s="4" t="str">
        <f aca="false">IFERROR("PN"&amp;SMALL(PN_list,COUNTIF(PN_list,"&lt;"&amp;I944*bar_per_m)+1),"&gt; max PN")</f>
        <v>PN25</v>
      </c>
      <c r="K944" s="4" t="str">
        <f aca="false">IF(L944="no","end at tank",IF(H944&lt;0,"NEGATIVE",IF(H944&lt;p_min-0.005,"low","OK")))</f>
        <v>OK</v>
      </c>
      <c r="L944" s="4" t="s">
        <v>414</v>
      </c>
    </row>
    <row r="945" customFormat="false" ht="15" hidden="false" customHeight="false" outlineLevel="0" collapsed="false">
      <c r="A945" s="4" t="s">
        <v>42</v>
      </c>
      <c r="B945" s="4" t="s">
        <v>368</v>
      </c>
      <c r="C945" s="47" t="n">
        <v>26312.2</v>
      </c>
      <c r="D945" s="48" t="n">
        <v>1491.1</v>
      </c>
      <c r="E945" s="49" t="n">
        <f aca="false">D945-cover</f>
        <v>1489.9</v>
      </c>
      <c r="F945" s="50" t="n">
        <f aca="false">'Z5 Ikana-Nkangamo'!S12-'Z5 Ikana-Nkangamo'!P12*C945/'Z5 Ikana-Nkangamo'!G12</f>
        <v>1628.41434757321</v>
      </c>
      <c r="G945" s="51" t="n">
        <f aca="false">'Z5 Ikana-Nkangamo'!$B$8-E945</f>
        <v>178.1</v>
      </c>
      <c r="H945" s="52" t="n">
        <f aca="false">F945-E945</f>
        <v>138.514347573208</v>
      </c>
      <c r="I945" s="52" t="n">
        <f aca="false">MAX(H945,G945)</f>
        <v>178.1</v>
      </c>
      <c r="J945" s="4" t="str">
        <f aca="false">IFERROR("PN"&amp;SMALL(PN_list,COUNTIF(PN_list,"&lt;"&amp;I945*bar_per_m)+1),"&gt; max PN")</f>
        <v>PN25</v>
      </c>
      <c r="K945" s="4" t="str">
        <f aca="false">IF(L945="no","end at tank",IF(H945&lt;0,"NEGATIVE",IF(H945&lt;p_min-0.005,"low","OK")))</f>
        <v>OK</v>
      </c>
      <c r="L945" s="4" t="s">
        <v>414</v>
      </c>
    </row>
    <row r="946" customFormat="false" ht="15" hidden="false" customHeight="false" outlineLevel="0" collapsed="false">
      <c r="A946" s="4" t="s">
        <v>42</v>
      </c>
      <c r="B946" s="4" t="s">
        <v>368</v>
      </c>
      <c r="C946" s="47" t="n">
        <v>26362.23</v>
      </c>
      <c r="D946" s="48" t="n">
        <v>1492.86</v>
      </c>
      <c r="E946" s="49" t="n">
        <f aca="false">D946-cover</f>
        <v>1491.66</v>
      </c>
      <c r="F946" s="50" t="n">
        <f aca="false">'Z5 Ikana-Nkangamo'!S12-'Z5 Ikana-Nkangamo'!P12*C946/'Z5 Ikana-Nkangamo'!G12</f>
        <v>1628.34801601633</v>
      </c>
      <c r="G946" s="51" t="n">
        <f aca="false">'Z5 Ikana-Nkangamo'!$B$8-E946</f>
        <v>176.34</v>
      </c>
      <c r="H946" s="52" t="n">
        <f aca="false">F946-E946</f>
        <v>136.688016016329</v>
      </c>
      <c r="I946" s="52" t="n">
        <f aca="false">MAX(H946,G946)</f>
        <v>176.34</v>
      </c>
      <c r="J946" s="4" t="str">
        <f aca="false">IFERROR("PN"&amp;SMALL(PN_list,COUNTIF(PN_list,"&lt;"&amp;I946*bar_per_m)+1),"&gt; max PN")</f>
        <v>PN25</v>
      </c>
      <c r="K946" s="4" t="str">
        <f aca="false">IF(L946="no","end at tank",IF(H946&lt;0,"NEGATIVE",IF(H946&lt;p_min-0.005,"low","OK")))</f>
        <v>OK</v>
      </c>
      <c r="L946" s="4" t="s">
        <v>414</v>
      </c>
    </row>
    <row r="947" customFormat="false" ht="15" hidden="false" customHeight="false" outlineLevel="0" collapsed="false">
      <c r="A947" s="4" t="s">
        <v>42</v>
      </c>
      <c r="B947" s="4" t="s">
        <v>368</v>
      </c>
      <c r="C947" s="47" t="n">
        <v>26412.26</v>
      </c>
      <c r="D947" s="48" t="n">
        <v>1494.57</v>
      </c>
      <c r="E947" s="49" t="n">
        <f aca="false">D947-cover</f>
        <v>1493.37</v>
      </c>
      <c r="F947" s="50" t="n">
        <f aca="false">'Z5 Ikana-Nkangamo'!S12-'Z5 Ikana-Nkangamo'!P12*C947/'Z5 Ikana-Nkangamo'!G12</f>
        <v>1628.28168445945</v>
      </c>
      <c r="G947" s="51" t="n">
        <f aca="false">'Z5 Ikana-Nkangamo'!$B$8-E947</f>
        <v>174.63</v>
      </c>
      <c r="H947" s="52" t="n">
        <f aca="false">F947-E947</f>
        <v>134.91168445945</v>
      </c>
      <c r="I947" s="52" t="n">
        <f aca="false">MAX(H947,G947)</f>
        <v>174.63</v>
      </c>
      <c r="J947" s="4" t="str">
        <f aca="false">IFERROR("PN"&amp;SMALL(PN_list,COUNTIF(PN_list,"&lt;"&amp;I947*bar_per_m)+1),"&gt; max PN")</f>
        <v>PN25</v>
      </c>
      <c r="K947" s="4" t="str">
        <f aca="false">IF(L947="no","end at tank",IF(H947&lt;0,"NEGATIVE",IF(H947&lt;p_min-0.005,"low","OK")))</f>
        <v>OK</v>
      </c>
      <c r="L947" s="4" t="s">
        <v>414</v>
      </c>
    </row>
    <row r="948" customFormat="false" ht="15" hidden="false" customHeight="false" outlineLevel="0" collapsed="false">
      <c r="A948" s="4" t="s">
        <v>42</v>
      </c>
      <c r="B948" s="4" t="s">
        <v>368</v>
      </c>
      <c r="C948" s="47" t="n">
        <v>26462.28</v>
      </c>
      <c r="D948" s="48" t="n">
        <v>1495.9</v>
      </c>
      <c r="E948" s="49" t="n">
        <f aca="false">D948-cover</f>
        <v>1494.7</v>
      </c>
      <c r="F948" s="50" t="n">
        <f aca="false">'Z5 Ikana-Nkangamo'!S12-'Z5 Ikana-Nkangamo'!P12*C948/'Z5 Ikana-Nkangamo'!G12</f>
        <v>1628.21536616093</v>
      </c>
      <c r="G948" s="51" t="n">
        <f aca="false">'Z5 Ikana-Nkangamo'!$B$8-E948</f>
        <v>173.3</v>
      </c>
      <c r="H948" s="52" t="n">
        <f aca="false">F948-E948</f>
        <v>133.515366160927</v>
      </c>
      <c r="I948" s="52" t="n">
        <f aca="false">MAX(H948,G948)</f>
        <v>173.3</v>
      </c>
      <c r="J948" s="4" t="str">
        <f aca="false">IFERROR("PN"&amp;SMALL(PN_list,COUNTIF(PN_list,"&lt;"&amp;I948*bar_per_m)+1),"&gt; max PN")</f>
        <v>PN25</v>
      </c>
      <c r="K948" s="4" t="str">
        <f aca="false">IF(L948="no","end at tank",IF(H948&lt;0,"NEGATIVE",IF(H948&lt;p_min-0.005,"low","OK")))</f>
        <v>OK</v>
      </c>
      <c r="L948" s="4" t="s">
        <v>414</v>
      </c>
    </row>
    <row r="949" customFormat="false" ht="15" hidden="false" customHeight="false" outlineLevel="0" collapsed="false">
      <c r="A949" s="4" t="s">
        <v>42</v>
      </c>
      <c r="B949" s="4" t="s">
        <v>368</v>
      </c>
      <c r="C949" s="47" t="n">
        <v>26512.3</v>
      </c>
      <c r="D949" s="48" t="n">
        <v>1497.18</v>
      </c>
      <c r="E949" s="49" t="n">
        <f aca="false">D949-cover</f>
        <v>1495.98</v>
      </c>
      <c r="F949" s="50" t="n">
        <f aca="false">'Z5 Ikana-Nkangamo'!S12-'Z5 Ikana-Nkangamo'!P12*C949/'Z5 Ikana-Nkangamo'!G12</f>
        <v>1628.1490478624</v>
      </c>
      <c r="G949" s="51" t="n">
        <f aca="false">'Z5 Ikana-Nkangamo'!$B$8-E949</f>
        <v>172.02</v>
      </c>
      <c r="H949" s="52" t="n">
        <f aca="false">F949-E949</f>
        <v>132.169047862405</v>
      </c>
      <c r="I949" s="52" t="n">
        <f aca="false">MAX(H949,G949)</f>
        <v>172.02</v>
      </c>
      <c r="J949" s="4" t="str">
        <f aca="false">IFERROR("PN"&amp;SMALL(PN_list,COUNTIF(PN_list,"&lt;"&amp;I949*bar_per_m)+1),"&gt; max PN")</f>
        <v>PN25</v>
      </c>
      <c r="K949" s="4" t="str">
        <f aca="false">IF(L949="no","end at tank",IF(H949&lt;0,"NEGATIVE",IF(H949&lt;p_min-0.005,"low","OK")))</f>
        <v>OK</v>
      </c>
      <c r="L949" s="4" t="s">
        <v>414</v>
      </c>
    </row>
    <row r="950" customFormat="false" ht="15" hidden="false" customHeight="false" outlineLevel="0" collapsed="false">
      <c r="A950" s="4" t="s">
        <v>42</v>
      </c>
      <c r="B950" s="4" t="s">
        <v>368</v>
      </c>
      <c r="C950" s="47" t="n">
        <v>26562.3</v>
      </c>
      <c r="D950" s="48" t="n">
        <v>1497.99</v>
      </c>
      <c r="E950" s="49" t="n">
        <f aca="false">D950-cover</f>
        <v>1496.79</v>
      </c>
      <c r="F950" s="50" t="n">
        <f aca="false">'Z5 Ikana-Nkangamo'!S12-'Z5 Ikana-Nkangamo'!P12*C950/'Z5 Ikana-Nkangamo'!G12</f>
        <v>1628.0827560806</v>
      </c>
      <c r="G950" s="51" t="n">
        <f aca="false">'Z5 Ikana-Nkangamo'!$B$8-E950</f>
        <v>171.21</v>
      </c>
      <c r="H950" s="52" t="n">
        <f aca="false">F950-E950</f>
        <v>131.292756080595</v>
      </c>
      <c r="I950" s="52" t="n">
        <f aca="false">MAX(H950,G950)</f>
        <v>171.21</v>
      </c>
      <c r="J950" s="4" t="str">
        <f aca="false">IFERROR("PN"&amp;SMALL(PN_list,COUNTIF(PN_list,"&lt;"&amp;I950*bar_per_m)+1),"&gt; max PN")</f>
        <v>PN25</v>
      </c>
      <c r="K950" s="4" t="str">
        <f aca="false">IF(L950="no","end at tank",IF(H950&lt;0,"NEGATIVE",IF(H950&lt;p_min-0.005,"low","OK")))</f>
        <v>OK</v>
      </c>
      <c r="L950" s="4" t="s">
        <v>414</v>
      </c>
    </row>
    <row r="951" customFormat="false" ht="15" hidden="false" customHeight="false" outlineLevel="0" collapsed="false">
      <c r="A951" s="4" t="s">
        <v>42</v>
      </c>
      <c r="B951" s="4" t="s">
        <v>368</v>
      </c>
      <c r="C951" s="47" t="n">
        <v>26612.31</v>
      </c>
      <c r="D951" s="48" t="n">
        <v>1498.67</v>
      </c>
      <c r="E951" s="49" t="n">
        <f aca="false">D951-cover</f>
        <v>1497.47</v>
      </c>
      <c r="F951" s="50" t="n">
        <f aca="false">'Z5 Ikana-Nkangamo'!S12-'Z5 Ikana-Nkangamo'!P12*C951/'Z5 Ikana-Nkangamo'!G12</f>
        <v>1628.01645104043</v>
      </c>
      <c r="G951" s="51" t="n">
        <f aca="false">'Z5 Ikana-Nkangamo'!$B$8-E951</f>
        <v>170.53</v>
      </c>
      <c r="H951" s="52" t="n">
        <f aca="false">F951-E951</f>
        <v>130.546451040428</v>
      </c>
      <c r="I951" s="52" t="n">
        <f aca="false">MAX(H951,G951)</f>
        <v>170.53</v>
      </c>
      <c r="J951" s="4" t="str">
        <f aca="false">IFERROR("PN"&amp;SMALL(PN_list,COUNTIF(PN_list,"&lt;"&amp;I951*bar_per_m)+1),"&gt; max PN")</f>
        <v>PN25</v>
      </c>
      <c r="K951" s="4" t="str">
        <f aca="false">IF(L951="no","end at tank",IF(H951&lt;0,"NEGATIVE",IF(H951&lt;p_min-0.005,"low","OK")))</f>
        <v>OK</v>
      </c>
      <c r="L951" s="4" t="s">
        <v>414</v>
      </c>
    </row>
    <row r="952" customFormat="false" ht="15" hidden="false" customHeight="false" outlineLevel="0" collapsed="false">
      <c r="A952" s="4" t="s">
        <v>42</v>
      </c>
      <c r="B952" s="4" t="s">
        <v>368</v>
      </c>
      <c r="C952" s="47" t="n">
        <v>26662.31</v>
      </c>
      <c r="D952" s="48" t="n">
        <v>1498.24</v>
      </c>
      <c r="E952" s="49" t="n">
        <f aca="false">D952-cover</f>
        <v>1497.04</v>
      </c>
      <c r="F952" s="50" t="n">
        <f aca="false">'Z5 Ikana-Nkangamo'!S12-'Z5 Ikana-Nkangamo'!P12*C952/'Z5 Ikana-Nkangamo'!G12</f>
        <v>1627.95015925862</v>
      </c>
      <c r="G952" s="51" t="n">
        <f aca="false">'Z5 Ikana-Nkangamo'!$B$8-E952</f>
        <v>170.96</v>
      </c>
      <c r="H952" s="52" t="n">
        <f aca="false">F952-E952</f>
        <v>130.910159258618</v>
      </c>
      <c r="I952" s="52" t="n">
        <f aca="false">MAX(H952,G952)</f>
        <v>170.96</v>
      </c>
      <c r="J952" s="4" t="str">
        <f aca="false">IFERROR("PN"&amp;SMALL(PN_list,COUNTIF(PN_list,"&lt;"&amp;I952*bar_per_m)+1),"&gt; max PN")</f>
        <v>PN25</v>
      </c>
      <c r="K952" s="4" t="str">
        <f aca="false">IF(L952="no","end at tank",IF(H952&lt;0,"NEGATIVE",IF(H952&lt;p_min-0.005,"low","OK")))</f>
        <v>OK</v>
      </c>
      <c r="L952" s="4" t="s">
        <v>414</v>
      </c>
    </row>
    <row r="953" customFormat="false" ht="15" hidden="false" customHeight="false" outlineLevel="0" collapsed="false">
      <c r="A953" s="4" t="s">
        <v>42</v>
      </c>
      <c r="B953" s="4" t="s">
        <v>368</v>
      </c>
      <c r="C953" s="47" t="n">
        <v>26712.31</v>
      </c>
      <c r="D953" s="48" t="n">
        <v>1497.87</v>
      </c>
      <c r="E953" s="49" t="n">
        <f aca="false">D953-cover</f>
        <v>1496.67</v>
      </c>
      <c r="F953" s="50" t="n">
        <f aca="false">'Z5 Ikana-Nkangamo'!S12-'Z5 Ikana-Nkangamo'!P12*C953/'Z5 Ikana-Nkangamo'!G12</f>
        <v>1627.88386747681</v>
      </c>
      <c r="G953" s="51" t="n">
        <f aca="false">'Z5 Ikana-Nkangamo'!$B$8-E953</f>
        <v>171.33</v>
      </c>
      <c r="H953" s="52" t="n">
        <f aca="false">F953-E953</f>
        <v>131.213867476809</v>
      </c>
      <c r="I953" s="52" t="n">
        <f aca="false">MAX(H953,G953)</f>
        <v>171.33</v>
      </c>
      <c r="J953" s="4" t="str">
        <f aca="false">IFERROR("PN"&amp;SMALL(PN_list,COUNTIF(PN_list,"&lt;"&amp;I953*bar_per_m)+1),"&gt; max PN")</f>
        <v>PN25</v>
      </c>
      <c r="K953" s="4" t="str">
        <f aca="false">IF(L953="no","end at tank",IF(H953&lt;0,"NEGATIVE",IF(H953&lt;p_min-0.005,"low","OK")))</f>
        <v>OK</v>
      </c>
      <c r="L953" s="4" t="s">
        <v>414</v>
      </c>
    </row>
    <row r="954" customFormat="false" ht="15" hidden="false" customHeight="false" outlineLevel="0" collapsed="false">
      <c r="A954" s="4" t="s">
        <v>42</v>
      </c>
      <c r="B954" s="4" t="s">
        <v>368</v>
      </c>
      <c r="C954" s="47" t="n">
        <v>26762.35</v>
      </c>
      <c r="D954" s="48" t="n">
        <v>1495.81</v>
      </c>
      <c r="E954" s="49" t="n">
        <f aca="false">D954-cover</f>
        <v>1494.61</v>
      </c>
      <c r="F954" s="50" t="n">
        <f aca="false">'Z5 Ikana-Nkangamo'!S12-'Z5 Ikana-Nkangamo'!P12*C954/'Z5 Ikana-Nkangamo'!G12</f>
        <v>1627.81752266157</v>
      </c>
      <c r="G954" s="51" t="n">
        <f aca="false">'Z5 Ikana-Nkangamo'!$B$8-E954</f>
        <v>173.39</v>
      </c>
      <c r="H954" s="52" t="n">
        <f aca="false">F954-E954</f>
        <v>133.207522661573</v>
      </c>
      <c r="I954" s="52" t="n">
        <f aca="false">MAX(H954,G954)</f>
        <v>173.39</v>
      </c>
      <c r="J954" s="4" t="str">
        <f aca="false">IFERROR("PN"&amp;SMALL(PN_list,COUNTIF(PN_list,"&lt;"&amp;I954*bar_per_m)+1),"&gt; max PN")</f>
        <v>PN25</v>
      </c>
      <c r="K954" s="4" t="str">
        <f aca="false">IF(L954="no","end at tank",IF(H954&lt;0,"NEGATIVE",IF(H954&lt;p_min-0.005,"low","OK")))</f>
        <v>OK</v>
      </c>
      <c r="L954" s="4" t="s">
        <v>414</v>
      </c>
    </row>
    <row r="955" customFormat="false" ht="15" hidden="false" customHeight="false" outlineLevel="0" collapsed="false">
      <c r="A955" s="4" t="s">
        <v>42</v>
      </c>
      <c r="B955" s="4" t="s">
        <v>368</v>
      </c>
      <c r="C955" s="47" t="n">
        <v>26812.35</v>
      </c>
      <c r="D955" s="48" t="n">
        <v>1495.3</v>
      </c>
      <c r="E955" s="49" t="n">
        <f aca="false">D955-cover</f>
        <v>1494.1</v>
      </c>
      <c r="F955" s="50" t="n">
        <f aca="false">'Z5 Ikana-Nkangamo'!S12-'Z5 Ikana-Nkangamo'!P12*C955/'Z5 Ikana-Nkangamo'!G12</f>
        <v>1627.75123087976</v>
      </c>
      <c r="G955" s="51" t="n">
        <f aca="false">'Z5 Ikana-Nkangamo'!$B$8-E955</f>
        <v>173.9</v>
      </c>
      <c r="H955" s="52" t="n">
        <f aca="false">F955-E955</f>
        <v>133.651230879763</v>
      </c>
      <c r="I955" s="52" t="n">
        <f aca="false">MAX(H955,G955)</f>
        <v>173.9</v>
      </c>
      <c r="J955" s="4" t="str">
        <f aca="false">IFERROR("PN"&amp;SMALL(PN_list,COUNTIF(PN_list,"&lt;"&amp;I955*bar_per_m)+1),"&gt; max PN")</f>
        <v>PN25</v>
      </c>
      <c r="K955" s="4" t="str">
        <f aca="false">IF(L955="no","end at tank",IF(H955&lt;0,"NEGATIVE",IF(H955&lt;p_min-0.005,"low","OK")))</f>
        <v>OK</v>
      </c>
      <c r="L955" s="4" t="s">
        <v>414</v>
      </c>
    </row>
    <row r="956" customFormat="false" ht="15" hidden="false" customHeight="false" outlineLevel="0" collapsed="false">
      <c r="A956" s="4" t="s">
        <v>42</v>
      </c>
      <c r="B956" s="4" t="s">
        <v>368</v>
      </c>
      <c r="C956" s="47" t="n">
        <v>26862.37</v>
      </c>
      <c r="D956" s="48" t="n">
        <v>1494.03</v>
      </c>
      <c r="E956" s="49" t="n">
        <f aca="false">D956-cover</f>
        <v>1492.83</v>
      </c>
      <c r="F956" s="50" t="n">
        <f aca="false">'Z5 Ikana-Nkangamo'!S12-'Z5 Ikana-Nkangamo'!P12*C956/'Z5 Ikana-Nkangamo'!G12</f>
        <v>1627.68491258124</v>
      </c>
      <c r="G956" s="51" t="n">
        <f aca="false">'Z5 Ikana-Nkangamo'!$B$8-E956</f>
        <v>175.17</v>
      </c>
      <c r="H956" s="52" t="n">
        <f aca="false">F956-E956</f>
        <v>134.854912581241</v>
      </c>
      <c r="I956" s="52" t="n">
        <f aca="false">MAX(H956,G956)</f>
        <v>175.17</v>
      </c>
      <c r="J956" s="4" t="str">
        <f aca="false">IFERROR("PN"&amp;SMALL(PN_list,COUNTIF(PN_list,"&lt;"&amp;I956*bar_per_m)+1),"&gt; max PN")</f>
        <v>PN25</v>
      </c>
      <c r="K956" s="4" t="str">
        <f aca="false">IF(L956="no","end at tank",IF(H956&lt;0,"NEGATIVE",IF(H956&lt;p_min-0.005,"low","OK")))</f>
        <v>OK</v>
      </c>
      <c r="L956" s="4" t="s">
        <v>414</v>
      </c>
    </row>
    <row r="957" customFormat="false" ht="15" hidden="false" customHeight="false" outlineLevel="0" collapsed="false">
      <c r="A957" s="4" t="s">
        <v>42</v>
      </c>
      <c r="B957" s="4" t="s">
        <v>368</v>
      </c>
      <c r="C957" s="47" t="n">
        <v>26912.4</v>
      </c>
      <c r="D957" s="48" t="n">
        <v>1492.19</v>
      </c>
      <c r="E957" s="49" t="n">
        <f aca="false">D957-cover</f>
        <v>1490.99</v>
      </c>
      <c r="F957" s="50" t="n">
        <f aca="false">'Z5 Ikana-Nkangamo'!S12-'Z5 Ikana-Nkangamo'!P12*C957/'Z5 Ikana-Nkangamo'!G12</f>
        <v>1627.61858102436</v>
      </c>
      <c r="G957" s="51" t="n">
        <f aca="false">'Z5 Ikana-Nkangamo'!$B$8-E957</f>
        <v>177.01</v>
      </c>
      <c r="H957" s="52" t="n">
        <f aca="false">F957-E957</f>
        <v>136.628581024361</v>
      </c>
      <c r="I957" s="52" t="n">
        <f aca="false">MAX(H957,G957)</f>
        <v>177.01</v>
      </c>
      <c r="J957" s="4" t="str">
        <f aca="false">IFERROR("PN"&amp;SMALL(PN_list,COUNTIF(PN_list,"&lt;"&amp;I957*bar_per_m)+1),"&gt; max PN")</f>
        <v>PN25</v>
      </c>
      <c r="K957" s="4" t="str">
        <f aca="false">IF(L957="no","end at tank",IF(H957&lt;0,"NEGATIVE",IF(H957&lt;p_min-0.005,"low","OK")))</f>
        <v>OK</v>
      </c>
      <c r="L957" s="4" t="s">
        <v>414</v>
      </c>
    </row>
    <row r="958" customFormat="false" ht="15" hidden="false" customHeight="false" outlineLevel="0" collapsed="false">
      <c r="A958" s="4" t="s">
        <v>42</v>
      </c>
      <c r="B958" s="4" t="s">
        <v>368</v>
      </c>
      <c r="C958" s="47" t="n">
        <v>26962.43</v>
      </c>
      <c r="D958" s="48" t="n">
        <v>1490.65</v>
      </c>
      <c r="E958" s="49" t="n">
        <f aca="false">D958-cover</f>
        <v>1489.45</v>
      </c>
      <c r="F958" s="50" t="n">
        <f aca="false">'Z5 Ikana-Nkangamo'!S12-'Z5 Ikana-Nkangamo'!P12*C958/'Z5 Ikana-Nkangamo'!G12</f>
        <v>1627.55224946748</v>
      </c>
      <c r="G958" s="51" t="n">
        <f aca="false">'Z5 Ikana-Nkangamo'!$B$8-E958</f>
        <v>178.55</v>
      </c>
      <c r="H958" s="52" t="n">
        <f aca="false">F958-E958</f>
        <v>138.102249467483</v>
      </c>
      <c r="I958" s="52" t="n">
        <f aca="false">MAX(H958,G958)</f>
        <v>178.55</v>
      </c>
      <c r="J958" s="4" t="str">
        <f aca="false">IFERROR("PN"&amp;SMALL(PN_list,COUNTIF(PN_list,"&lt;"&amp;I958*bar_per_m)+1),"&gt; max PN")</f>
        <v>PN25</v>
      </c>
      <c r="K958" s="4" t="str">
        <f aca="false">IF(L958="no","end at tank",IF(H958&lt;0,"NEGATIVE",IF(H958&lt;p_min-0.005,"low","OK")))</f>
        <v>OK</v>
      </c>
      <c r="L958" s="4" t="s">
        <v>414</v>
      </c>
    </row>
    <row r="959" customFormat="false" ht="15" hidden="false" customHeight="false" outlineLevel="0" collapsed="false">
      <c r="A959" s="4" t="s">
        <v>42</v>
      </c>
      <c r="B959" s="4" t="s">
        <v>368</v>
      </c>
      <c r="C959" s="47" t="n">
        <v>27012.46</v>
      </c>
      <c r="D959" s="48" t="n">
        <v>1488.98</v>
      </c>
      <c r="E959" s="49" t="n">
        <f aca="false">D959-cover</f>
        <v>1487.78</v>
      </c>
      <c r="F959" s="50" t="n">
        <f aca="false">'Z5 Ikana-Nkangamo'!S12-'Z5 Ikana-Nkangamo'!P12*C959/'Z5 Ikana-Nkangamo'!G12</f>
        <v>1627.4859179106</v>
      </c>
      <c r="G959" s="51" t="n">
        <f aca="false">'Z5 Ikana-Nkangamo'!$B$8-E959</f>
        <v>180.22</v>
      </c>
      <c r="H959" s="52" t="n">
        <f aca="false">F959-E959</f>
        <v>139.705917910604</v>
      </c>
      <c r="I959" s="52" t="n">
        <f aca="false">MAX(H959,G959)</f>
        <v>180.22</v>
      </c>
      <c r="J959" s="4" t="str">
        <f aca="false">IFERROR("PN"&amp;SMALL(PN_list,COUNTIF(PN_list,"&lt;"&amp;I959*bar_per_m)+1),"&gt; max PN")</f>
        <v>PN25</v>
      </c>
      <c r="K959" s="4" t="str">
        <f aca="false">IF(L959="no","end at tank",IF(H959&lt;0,"NEGATIVE",IF(H959&lt;p_min-0.005,"low","OK")))</f>
        <v>OK</v>
      </c>
      <c r="L959" s="4" t="s">
        <v>414</v>
      </c>
    </row>
    <row r="960" customFormat="false" ht="15" hidden="false" customHeight="false" outlineLevel="0" collapsed="false">
      <c r="A960" s="4" t="s">
        <v>42</v>
      </c>
      <c r="B960" s="4" t="s">
        <v>368</v>
      </c>
      <c r="C960" s="47" t="n">
        <v>27062.51</v>
      </c>
      <c r="D960" s="48" t="n">
        <v>1486.62</v>
      </c>
      <c r="E960" s="49" t="n">
        <f aca="false">D960-cover</f>
        <v>1485.42</v>
      </c>
      <c r="F960" s="50" t="n">
        <f aca="false">'Z5 Ikana-Nkangamo'!S12-'Z5 Ikana-Nkangamo'!P12*C960/'Z5 Ikana-Nkangamo'!G12</f>
        <v>1627.41955983701</v>
      </c>
      <c r="G960" s="51" t="n">
        <f aca="false">'Z5 Ikana-Nkangamo'!$B$8-E960</f>
        <v>182.58</v>
      </c>
      <c r="H960" s="52" t="n">
        <f aca="false">F960-E960</f>
        <v>141.999559837012</v>
      </c>
      <c r="I960" s="52" t="n">
        <f aca="false">MAX(H960,G960)</f>
        <v>182.58</v>
      </c>
      <c r="J960" s="4" t="str">
        <f aca="false">IFERROR("PN"&amp;SMALL(PN_list,COUNTIF(PN_list,"&lt;"&amp;I960*bar_per_m)+1),"&gt; max PN")</f>
        <v>PN25</v>
      </c>
      <c r="K960" s="4" t="str">
        <f aca="false">IF(L960="no","end at tank",IF(H960&lt;0,"NEGATIVE",IF(H960&lt;p_min-0.005,"low","OK")))</f>
        <v>OK</v>
      </c>
      <c r="L960" s="4" t="s">
        <v>414</v>
      </c>
    </row>
    <row r="961" customFormat="false" ht="15" hidden="false" customHeight="false" outlineLevel="0" collapsed="false">
      <c r="A961" s="4" t="s">
        <v>42</v>
      </c>
      <c r="B961" s="4" t="s">
        <v>368</v>
      </c>
      <c r="C961" s="47" t="n">
        <v>27112.54</v>
      </c>
      <c r="D961" s="48" t="n">
        <v>1484.97</v>
      </c>
      <c r="E961" s="49" t="n">
        <f aca="false">D961-cover</f>
        <v>1483.77</v>
      </c>
      <c r="F961" s="50" t="n">
        <f aca="false">'Z5 Ikana-Nkangamo'!S12-'Z5 Ikana-Nkangamo'!P12*C961/'Z5 Ikana-Nkangamo'!G12</f>
        <v>1627.35322828013</v>
      </c>
      <c r="G961" s="51" t="n">
        <f aca="false">'Z5 Ikana-Nkangamo'!$B$8-E961</f>
        <v>184.23</v>
      </c>
      <c r="H961" s="52" t="n">
        <f aca="false">F961-E961</f>
        <v>143.583228280133</v>
      </c>
      <c r="I961" s="52" t="n">
        <f aca="false">MAX(H961,G961)</f>
        <v>184.23</v>
      </c>
      <c r="J961" s="4" t="str">
        <f aca="false">IFERROR("PN"&amp;SMALL(PN_list,COUNTIF(PN_list,"&lt;"&amp;I961*bar_per_m)+1),"&gt; max PN")</f>
        <v>PN25</v>
      </c>
      <c r="K961" s="4" t="str">
        <f aca="false">IF(L961="no","end at tank",IF(H961&lt;0,"NEGATIVE",IF(H961&lt;p_min-0.005,"low","OK")))</f>
        <v>OK</v>
      </c>
      <c r="L961" s="4" t="s">
        <v>414</v>
      </c>
    </row>
    <row r="962" customFormat="false" ht="15" hidden="false" customHeight="false" outlineLevel="0" collapsed="false">
      <c r="A962" s="4" t="s">
        <v>42</v>
      </c>
      <c r="B962" s="4" t="s">
        <v>368</v>
      </c>
      <c r="C962" s="47" t="n">
        <v>27162.58</v>
      </c>
      <c r="D962" s="48" t="n">
        <v>1482.9</v>
      </c>
      <c r="E962" s="49" t="n">
        <f aca="false">D962-cover</f>
        <v>1481.7</v>
      </c>
      <c r="F962" s="50" t="n">
        <f aca="false">'Z5 Ikana-Nkangamo'!S12-'Z5 Ikana-Nkangamo'!P12*C962/'Z5 Ikana-Nkangamo'!G12</f>
        <v>1627.2868834649</v>
      </c>
      <c r="G962" s="51" t="n">
        <f aca="false">'Z5 Ikana-Nkangamo'!$B$8-E962</f>
        <v>186.3</v>
      </c>
      <c r="H962" s="52" t="n">
        <f aca="false">F962-E962</f>
        <v>145.586883464897</v>
      </c>
      <c r="I962" s="52" t="n">
        <f aca="false">MAX(H962,G962)</f>
        <v>186.3</v>
      </c>
      <c r="J962" s="4" t="str">
        <f aca="false">IFERROR("PN"&amp;SMALL(PN_list,COUNTIF(PN_list,"&lt;"&amp;I962*bar_per_m)+1),"&gt; max PN")</f>
        <v>PN25</v>
      </c>
      <c r="K962" s="4" t="str">
        <f aca="false">IF(L962="no","end at tank",IF(H962&lt;0,"NEGATIVE",IF(H962&lt;p_min-0.005,"low","OK")))</f>
        <v>OK</v>
      </c>
      <c r="L962" s="4" t="s">
        <v>414</v>
      </c>
    </row>
    <row r="963" customFormat="false" ht="15" hidden="false" customHeight="false" outlineLevel="0" collapsed="false">
      <c r="A963" s="4" t="s">
        <v>42</v>
      </c>
      <c r="B963" s="4" t="s">
        <v>368</v>
      </c>
      <c r="C963" s="47" t="n">
        <v>27212.6</v>
      </c>
      <c r="D963" s="48" t="n">
        <v>1481.6</v>
      </c>
      <c r="E963" s="49" t="n">
        <f aca="false">D963-cover</f>
        <v>1480.4</v>
      </c>
      <c r="F963" s="50" t="n">
        <f aca="false">'Z5 Ikana-Nkangamo'!S12-'Z5 Ikana-Nkangamo'!P12*C963/'Z5 Ikana-Nkangamo'!G12</f>
        <v>1627.22056516637</v>
      </c>
      <c r="G963" s="51" t="n">
        <f aca="false">'Z5 Ikana-Nkangamo'!$B$8-E963</f>
        <v>187.6</v>
      </c>
      <c r="H963" s="52" t="n">
        <f aca="false">F963-E963</f>
        <v>146.820565166375</v>
      </c>
      <c r="I963" s="52" t="n">
        <f aca="false">MAX(H963,G963)</f>
        <v>187.6</v>
      </c>
      <c r="J963" s="4" t="str">
        <f aca="false">IFERROR("PN"&amp;SMALL(PN_list,COUNTIF(PN_list,"&lt;"&amp;I963*bar_per_m)+1),"&gt; max PN")</f>
        <v>PN25</v>
      </c>
      <c r="K963" s="4" t="str">
        <f aca="false">IF(L963="no","end at tank",IF(H963&lt;0,"NEGATIVE",IF(H963&lt;p_min-0.005,"low","OK")))</f>
        <v>OK</v>
      </c>
      <c r="L963" s="4" t="s">
        <v>414</v>
      </c>
    </row>
    <row r="964" customFormat="false" ht="15" hidden="false" customHeight="false" outlineLevel="0" collapsed="false">
      <c r="A964" s="4" t="s">
        <v>42</v>
      </c>
      <c r="B964" s="4" t="s">
        <v>368</v>
      </c>
      <c r="C964" s="47" t="n">
        <v>27262.61</v>
      </c>
      <c r="D964" s="48" t="n">
        <v>1482.43</v>
      </c>
      <c r="E964" s="49" t="n">
        <f aca="false">D964-cover</f>
        <v>1481.23</v>
      </c>
      <c r="F964" s="50" t="n">
        <f aca="false">'Z5 Ikana-Nkangamo'!S12-'Z5 Ikana-Nkangamo'!P12*C964/'Z5 Ikana-Nkangamo'!G12</f>
        <v>1627.15426012621</v>
      </c>
      <c r="G964" s="51" t="n">
        <f aca="false">'Z5 Ikana-Nkangamo'!$B$8-E964</f>
        <v>186.77</v>
      </c>
      <c r="H964" s="52" t="n">
        <f aca="false">F964-E964</f>
        <v>145.924260126208</v>
      </c>
      <c r="I964" s="52" t="n">
        <f aca="false">MAX(H964,G964)</f>
        <v>186.77</v>
      </c>
      <c r="J964" s="4" t="str">
        <f aca="false">IFERROR("PN"&amp;SMALL(PN_list,COUNTIF(PN_list,"&lt;"&amp;I964*bar_per_m)+1),"&gt; max PN")</f>
        <v>PN25</v>
      </c>
      <c r="K964" s="4" t="str">
        <f aca="false">IF(L964="no","end at tank",IF(H964&lt;0,"NEGATIVE",IF(H964&lt;p_min-0.005,"low","OK")))</f>
        <v>OK</v>
      </c>
      <c r="L964" s="4" t="s">
        <v>414</v>
      </c>
    </row>
    <row r="965" customFormat="false" ht="15" hidden="false" customHeight="false" outlineLevel="0" collapsed="false">
      <c r="A965" s="4" t="s">
        <v>42</v>
      </c>
      <c r="B965" s="4" t="s">
        <v>368</v>
      </c>
      <c r="C965" s="47" t="n">
        <v>27312.62</v>
      </c>
      <c r="D965" s="48" t="n">
        <v>1483.56</v>
      </c>
      <c r="E965" s="49" t="n">
        <f aca="false">D965-cover</f>
        <v>1482.36</v>
      </c>
      <c r="F965" s="50" t="n">
        <f aca="false">'Z5 Ikana-Nkangamo'!S12-'Z5 Ikana-Nkangamo'!P12*C965/'Z5 Ikana-Nkangamo'!G12</f>
        <v>1627.08795508604</v>
      </c>
      <c r="G965" s="51" t="n">
        <f aca="false">'Z5 Ikana-Nkangamo'!$B$8-E965</f>
        <v>185.64</v>
      </c>
      <c r="H965" s="52" t="n">
        <f aca="false">F965-E965</f>
        <v>144.727955086042</v>
      </c>
      <c r="I965" s="52" t="n">
        <f aca="false">MAX(H965,G965)</f>
        <v>185.64</v>
      </c>
      <c r="J965" s="4" t="str">
        <f aca="false">IFERROR("PN"&amp;SMALL(PN_list,COUNTIF(PN_list,"&lt;"&amp;I965*bar_per_m)+1),"&gt; max PN")</f>
        <v>PN25</v>
      </c>
      <c r="K965" s="4" t="str">
        <f aca="false">IF(L965="no","end at tank",IF(H965&lt;0,"NEGATIVE",IF(H965&lt;p_min-0.005,"low","OK")))</f>
        <v>OK</v>
      </c>
      <c r="L965" s="4" t="s">
        <v>414</v>
      </c>
    </row>
    <row r="966" customFormat="false" ht="15" hidden="false" customHeight="false" outlineLevel="0" collapsed="false">
      <c r="A966" s="4" t="s">
        <v>42</v>
      </c>
      <c r="B966" s="4" t="s">
        <v>368</v>
      </c>
      <c r="C966" s="47" t="n">
        <v>27362.65</v>
      </c>
      <c r="D966" s="48" t="n">
        <v>1485.3</v>
      </c>
      <c r="E966" s="49" t="n">
        <f aca="false">D966-cover</f>
        <v>1484.1</v>
      </c>
      <c r="F966" s="50" t="n">
        <f aca="false">'Z5 Ikana-Nkangamo'!S12-'Z5 Ikana-Nkangamo'!P12*C966/'Z5 Ikana-Nkangamo'!G12</f>
        <v>1627.02162352916</v>
      </c>
      <c r="G966" s="51" t="n">
        <f aca="false">'Z5 Ikana-Nkangamo'!$B$8-E966</f>
        <v>183.9</v>
      </c>
      <c r="H966" s="52" t="n">
        <f aca="false">F966-E966</f>
        <v>142.921623529163</v>
      </c>
      <c r="I966" s="52" t="n">
        <f aca="false">MAX(H966,G966)</f>
        <v>183.9</v>
      </c>
      <c r="J966" s="4" t="str">
        <f aca="false">IFERROR("PN"&amp;SMALL(PN_list,COUNTIF(PN_list,"&lt;"&amp;I966*bar_per_m)+1),"&gt; max PN")</f>
        <v>PN25</v>
      </c>
      <c r="K966" s="4" t="str">
        <f aca="false">IF(L966="no","end at tank",IF(H966&lt;0,"NEGATIVE",IF(H966&lt;p_min-0.005,"low","OK")))</f>
        <v>OK</v>
      </c>
      <c r="L966" s="4" t="s">
        <v>414</v>
      </c>
    </row>
    <row r="967" customFormat="false" ht="15" hidden="false" customHeight="false" outlineLevel="0" collapsed="false">
      <c r="A967" s="4" t="s">
        <v>42</v>
      </c>
      <c r="B967" s="4" t="s">
        <v>368</v>
      </c>
      <c r="C967" s="47" t="n">
        <v>27412.66</v>
      </c>
      <c r="D967" s="48" t="n">
        <v>1486.32</v>
      </c>
      <c r="E967" s="49" t="n">
        <f aca="false">D967-cover</f>
        <v>1485.12</v>
      </c>
      <c r="F967" s="50" t="n">
        <f aca="false">'Z5 Ikana-Nkangamo'!S12-'Z5 Ikana-Nkangamo'!P12*C967/'Z5 Ikana-Nkangamo'!G12</f>
        <v>1626.955318489</v>
      </c>
      <c r="G967" s="51" t="n">
        <f aca="false">'Z5 Ikana-Nkangamo'!$B$8-E967</f>
        <v>182.88</v>
      </c>
      <c r="H967" s="52" t="n">
        <f aca="false">F967-E967</f>
        <v>141.835318488997</v>
      </c>
      <c r="I967" s="52" t="n">
        <f aca="false">MAX(H967,G967)</f>
        <v>182.88</v>
      </c>
      <c r="J967" s="4" t="str">
        <f aca="false">IFERROR("PN"&amp;SMALL(PN_list,COUNTIF(PN_list,"&lt;"&amp;I967*bar_per_m)+1),"&gt; max PN")</f>
        <v>PN25</v>
      </c>
      <c r="K967" s="4" t="str">
        <f aca="false">IF(L967="no","end at tank",IF(H967&lt;0,"NEGATIVE",IF(H967&lt;p_min-0.005,"low","OK")))</f>
        <v>OK</v>
      </c>
      <c r="L967" s="4" t="s">
        <v>414</v>
      </c>
    </row>
    <row r="968" customFormat="false" ht="15" hidden="false" customHeight="false" outlineLevel="0" collapsed="false">
      <c r="A968" s="4" t="s">
        <v>42</v>
      </c>
      <c r="B968" s="4" t="s">
        <v>368</v>
      </c>
      <c r="C968" s="47" t="n">
        <v>27462.66</v>
      </c>
      <c r="D968" s="48" t="n">
        <v>1487.08</v>
      </c>
      <c r="E968" s="49" t="n">
        <f aca="false">D968-cover</f>
        <v>1485.88</v>
      </c>
      <c r="F968" s="50" t="n">
        <f aca="false">'Z5 Ikana-Nkangamo'!S12-'Z5 Ikana-Nkangamo'!P12*C968/'Z5 Ikana-Nkangamo'!G12</f>
        <v>1626.88902670719</v>
      </c>
      <c r="G968" s="51" t="n">
        <f aca="false">'Z5 Ikana-Nkangamo'!$B$8-E968</f>
        <v>182.12</v>
      </c>
      <c r="H968" s="52" t="n">
        <f aca="false">F968-E968</f>
        <v>141.009026707187</v>
      </c>
      <c r="I968" s="52" t="n">
        <f aca="false">MAX(H968,G968)</f>
        <v>182.12</v>
      </c>
      <c r="J968" s="4" t="str">
        <f aca="false">IFERROR("PN"&amp;SMALL(PN_list,COUNTIF(PN_list,"&lt;"&amp;I968*bar_per_m)+1),"&gt; max PN")</f>
        <v>PN25</v>
      </c>
      <c r="K968" s="4" t="str">
        <f aca="false">IF(L968="no","end at tank",IF(H968&lt;0,"NEGATIVE",IF(H968&lt;p_min-0.005,"low","OK")))</f>
        <v>OK</v>
      </c>
      <c r="L968" s="4" t="s">
        <v>414</v>
      </c>
    </row>
    <row r="969" customFormat="false" ht="15" hidden="false" customHeight="false" outlineLevel="0" collapsed="false">
      <c r="A969" s="4" t="s">
        <v>42</v>
      </c>
      <c r="B969" s="4" t="s">
        <v>368</v>
      </c>
      <c r="C969" s="47" t="n">
        <v>27512.66</v>
      </c>
      <c r="D969" s="48" t="n">
        <v>1486.97</v>
      </c>
      <c r="E969" s="49" t="n">
        <f aca="false">D969-cover</f>
        <v>1485.77</v>
      </c>
      <c r="F969" s="50" t="n">
        <f aca="false">'Z5 Ikana-Nkangamo'!S12-'Z5 Ikana-Nkangamo'!P12*C969/'Z5 Ikana-Nkangamo'!G12</f>
        <v>1626.82273492538</v>
      </c>
      <c r="G969" s="51" t="n">
        <f aca="false">'Z5 Ikana-Nkangamo'!$B$8-E969</f>
        <v>182.23</v>
      </c>
      <c r="H969" s="52" t="n">
        <f aca="false">F969-E969</f>
        <v>141.052734925377</v>
      </c>
      <c r="I969" s="52" t="n">
        <f aca="false">MAX(H969,G969)</f>
        <v>182.23</v>
      </c>
      <c r="J969" s="4" t="str">
        <f aca="false">IFERROR("PN"&amp;SMALL(PN_list,COUNTIF(PN_list,"&lt;"&amp;I969*bar_per_m)+1),"&gt; max PN")</f>
        <v>PN25</v>
      </c>
      <c r="K969" s="4" t="str">
        <f aca="false">IF(L969="no","end at tank",IF(H969&lt;0,"NEGATIVE",IF(H969&lt;p_min-0.005,"low","OK")))</f>
        <v>OK</v>
      </c>
      <c r="L969" s="4" t="s">
        <v>414</v>
      </c>
    </row>
    <row r="970" customFormat="false" ht="15" hidden="false" customHeight="false" outlineLevel="0" collapsed="false">
      <c r="A970" s="4" t="s">
        <v>42</v>
      </c>
      <c r="B970" s="4" t="s">
        <v>368</v>
      </c>
      <c r="C970" s="47" t="n">
        <v>27562.67</v>
      </c>
      <c r="D970" s="48" t="n">
        <v>1487.35</v>
      </c>
      <c r="E970" s="49" t="n">
        <f aca="false">D970-cover</f>
        <v>1486.15</v>
      </c>
      <c r="F970" s="50" t="n">
        <f aca="false">'Z5 Ikana-Nkangamo'!S12-'Z5 Ikana-Nkangamo'!P12*C970/'Z5 Ikana-Nkangamo'!G12</f>
        <v>1626.75642988521</v>
      </c>
      <c r="G970" s="51" t="n">
        <f aca="false">'Z5 Ikana-Nkangamo'!$B$8-E970</f>
        <v>181.85</v>
      </c>
      <c r="H970" s="52" t="n">
        <f aca="false">F970-E970</f>
        <v>140.606429885211</v>
      </c>
      <c r="I970" s="52" t="n">
        <f aca="false">MAX(H970,G970)</f>
        <v>181.85</v>
      </c>
      <c r="J970" s="4" t="str">
        <f aca="false">IFERROR("PN"&amp;SMALL(PN_list,COUNTIF(PN_list,"&lt;"&amp;I970*bar_per_m)+1),"&gt; max PN")</f>
        <v>PN25</v>
      </c>
      <c r="K970" s="4" t="str">
        <f aca="false">IF(L970="no","end at tank",IF(H970&lt;0,"NEGATIVE",IF(H970&lt;p_min-0.005,"low","OK")))</f>
        <v>OK</v>
      </c>
      <c r="L970" s="4" t="s">
        <v>414</v>
      </c>
    </row>
    <row r="971" customFormat="false" ht="15" hidden="false" customHeight="false" outlineLevel="0" collapsed="false">
      <c r="A971" s="4" t="s">
        <v>42</v>
      </c>
      <c r="B971" s="4" t="s">
        <v>368</v>
      </c>
      <c r="C971" s="47" t="n">
        <v>27612.67</v>
      </c>
      <c r="D971" s="48" t="n">
        <v>1487.56</v>
      </c>
      <c r="E971" s="49" t="n">
        <f aca="false">D971-cover</f>
        <v>1486.36</v>
      </c>
      <c r="F971" s="50" t="n">
        <f aca="false">'Z5 Ikana-Nkangamo'!S12-'Z5 Ikana-Nkangamo'!P12*C971/'Z5 Ikana-Nkangamo'!G12</f>
        <v>1626.6901381034</v>
      </c>
      <c r="G971" s="51" t="n">
        <f aca="false">'Z5 Ikana-Nkangamo'!$B$8-E971</f>
        <v>181.64</v>
      </c>
      <c r="H971" s="52" t="n">
        <f aca="false">F971-E971</f>
        <v>140.330138103401</v>
      </c>
      <c r="I971" s="52" t="n">
        <f aca="false">MAX(H971,G971)</f>
        <v>181.64</v>
      </c>
      <c r="J971" s="4" t="str">
        <f aca="false">IFERROR("PN"&amp;SMALL(PN_list,COUNTIF(PN_list,"&lt;"&amp;I971*bar_per_m)+1),"&gt; max PN")</f>
        <v>PN25</v>
      </c>
      <c r="K971" s="4" t="str">
        <f aca="false">IF(L971="no","end at tank",IF(H971&lt;0,"NEGATIVE",IF(H971&lt;p_min-0.005,"low","OK")))</f>
        <v>OK</v>
      </c>
      <c r="L971" s="4" t="s">
        <v>414</v>
      </c>
    </row>
    <row r="972" customFormat="false" ht="15" hidden="false" customHeight="false" outlineLevel="0" collapsed="false">
      <c r="A972" s="4" t="s">
        <v>42</v>
      </c>
      <c r="B972" s="4" t="s">
        <v>368</v>
      </c>
      <c r="C972" s="47" t="n">
        <v>27662.68</v>
      </c>
      <c r="D972" s="48" t="n">
        <v>1486.22</v>
      </c>
      <c r="E972" s="49" t="n">
        <f aca="false">D972-cover</f>
        <v>1485.02</v>
      </c>
      <c r="F972" s="50" t="n">
        <f aca="false">'Z5 Ikana-Nkangamo'!S12-'Z5 Ikana-Nkangamo'!P12*C972/'Z5 Ikana-Nkangamo'!G12</f>
        <v>1626.62383306323</v>
      </c>
      <c r="G972" s="51" t="n">
        <f aca="false">'Z5 Ikana-Nkangamo'!$B$8-E972</f>
        <v>182.98</v>
      </c>
      <c r="H972" s="52" t="n">
        <f aca="false">F972-E972</f>
        <v>141.603833063234</v>
      </c>
      <c r="I972" s="52" t="n">
        <f aca="false">MAX(H972,G972)</f>
        <v>182.98</v>
      </c>
      <c r="J972" s="4" t="str">
        <f aca="false">IFERROR("PN"&amp;SMALL(PN_list,COUNTIF(PN_list,"&lt;"&amp;I972*bar_per_m)+1),"&gt; max PN")</f>
        <v>PN25</v>
      </c>
      <c r="K972" s="4" t="str">
        <f aca="false">IF(L972="no","end at tank",IF(H972&lt;0,"NEGATIVE",IF(H972&lt;p_min-0.005,"low","OK")))</f>
        <v>OK</v>
      </c>
      <c r="L972" s="4" t="s">
        <v>414</v>
      </c>
    </row>
    <row r="973" customFormat="false" ht="15" hidden="false" customHeight="false" outlineLevel="0" collapsed="false">
      <c r="A973" s="4" t="s">
        <v>42</v>
      </c>
      <c r="B973" s="4" t="s">
        <v>368</v>
      </c>
      <c r="C973" s="47" t="n">
        <v>27712.69</v>
      </c>
      <c r="D973" s="48" t="n">
        <v>1485.93</v>
      </c>
      <c r="E973" s="49" t="n">
        <f aca="false">D973-cover</f>
        <v>1484.73</v>
      </c>
      <c r="F973" s="50" t="n">
        <f aca="false">'Z5 Ikana-Nkangamo'!S12-'Z5 Ikana-Nkangamo'!P12*C973/'Z5 Ikana-Nkangamo'!G12</f>
        <v>1626.55752802307</v>
      </c>
      <c r="G973" s="51" t="n">
        <f aca="false">'Z5 Ikana-Nkangamo'!$B$8-E973</f>
        <v>183.27</v>
      </c>
      <c r="H973" s="52" t="n">
        <f aca="false">F973-E973</f>
        <v>141.827528023068</v>
      </c>
      <c r="I973" s="52" t="n">
        <f aca="false">MAX(H973,G973)</f>
        <v>183.27</v>
      </c>
      <c r="J973" s="4" t="str">
        <f aca="false">IFERROR("PN"&amp;SMALL(PN_list,COUNTIF(PN_list,"&lt;"&amp;I973*bar_per_m)+1),"&gt; max PN")</f>
        <v>PN25</v>
      </c>
      <c r="K973" s="4" t="str">
        <f aca="false">IF(L973="no","end at tank",IF(H973&lt;0,"NEGATIVE",IF(H973&lt;p_min-0.005,"low","OK")))</f>
        <v>OK</v>
      </c>
      <c r="L973" s="4" t="s">
        <v>414</v>
      </c>
    </row>
    <row r="974" customFormat="false" ht="15" hidden="false" customHeight="false" outlineLevel="0" collapsed="false">
      <c r="A974" s="4" t="s">
        <v>42</v>
      </c>
      <c r="B974" s="4" t="s">
        <v>368</v>
      </c>
      <c r="C974" s="47" t="n">
        <v>27762.71</v>
      </c>
      <c r="D974" s="48" t="n">
        <v>1484.33</v>
      </c>
      <c r="E974" s="49" t="n">
        <f aca="false">D974-cover</f>
        <v>1483.13</v>
      </c>
      <c r="F974" s="50" t="n">
        <f aca="false">'Z5 Ikana-Nkangamo'!S12-'Z5 Ikana-Nkangamo'!P12*C974/'Z5 Ikana-Nkangamo'!G12</f>
        <v>1626.49120972455</v>
      </c>
      <c r="G974" s="51" t="n">
        <f aca="false">'Z5 Ikana-Nkangamo'!$B$8-E974</f>
        <v>184.87</v>
      </c>
      <c r="H974" s="52" t="n">
        <f aca="false">F974-E974</f>
        <v>143.361209724545</v>
      </c>
      <c r="I974" s="52" t="n">
        <f aca="false">MAX(H974,G974)</f>
        <v>184.87</v>
      </c>
      <c r="J974" s="4" t="str">
        <f aca="false">IFERROR("PN"&amp;SMALL(PN_list,COUNTIF(PN_list,"&lt;"&amp;I974*bar_per_m)+1),"&gt; max PN")</f>
        <v>PN25</v>
      </c>
      <c r="K974" s="4" t="str">
        <f aca="false">IF(L974="no","end at tank",IF(H974&lt;0,"NEGATIVE",IF(H974&lt;p_min-0.005,"low","OK")))</f>
        <v>OK</v>
      </c>
      <c r="L974" s="4" t="s">
        <v>414</v>
      </c>
    </row>
    <row r="975" customFormat="false" ht="15" hidden="false" customHeight="false" outlineLevel="0" collapsed="false">
      <c r="A975" s="4" t="s">
        <v>42</v>
      </c>
      <c r="B975" s="4" t="s">
        <v>368</v>
      </c>
      <c r="C975" s="47" t="n">
        <v>27812.75</v>
      </c>
      <c r="D975" s="48" t="n">
        <v>1482.39</v>
      </c>
      <c r="E975" s="49" t="n">
        <f aca="false">D975-cover</f>
        <v>1481.19</v>
      </c>
      <c r="F975" s="50" t="n">
        <f aca="false">'Z5 Ikana-Nkangamo'!S12-'Z5 Ikana-Nkangamo'!P12*C975/'Z5 Ikana-Nkangamo'!G12</f>
        <v>1626.42486490931</v>
      </c>
      <c r="G975" s="51" t="n">
        <f aca="false">'Z5 Ikana-Nkangamo'!$B$8-E975</f>
        <v>186.81</v>
      </c>
      <c r="H975" s="52" t="n">
        <f aca="false">F975-E975</f>
        <v>145.23486490931</v>
      </c>
      <c r="I975" s="52" t="n">
        <f aca="false">MAX(H975,G975)</f>
        <v>186.81</v>
      </c>
      <c r="J975" s="4" t="str">
        <f aca="false">IFERROR("PN"&amp;SMALL(PN_list,COUNTIF(PN_list,"&lt;"&amp;I975*bar_per_m)+1),"&gt; max PN")</f>
        <v>PN25</v>
      </c>
      <c r="K975" s="4" t="str">
        <f aca="false">IF(L975="no","end at tank",IF(H975&lt;0,"NEGATIVE",IF(H975&lt;p_min-0.005,"low","OK")))</f>
        <v>OK</v>
      </c>
      <c r="L975" s="4" t="s">
        <v>414</v>
      </c>
    </row>
    <row r="976" customFormat="false" ht="15" hidden="false" customHeight="false" outlineLevel="0" collapsed="false">
      <c r="A976" s="4" t="s">
        <v>42</v>
      </c>
      <c r="B976" s="4" t="s">
        <v>368</v>
      </c>
      <c r="C976" s="47" t="n">
        <v>27862.76</v>
      </c>
      <c r="D976" s="48" t="n">
        <v>1481.31</v>
      </c>
      <c r="E976" s="49" t="n">
        <f aca="false">D976-cover</f>
        <v>1480.11</v>
      </c>
      <c r="F976" s="50" t="n">
        <f aca="false">'Z5 Ikana-Nkangamo'!S12-'Z5 Ikana-Nkangamo'!P12*C976/'Z5 Ikana-Nkangamo'!G12</f>
        <v>1626.35855986914</v>
      </c>
      <c r="G976" s="51" t="n">
        <f aca="false">'Z5 Ikana-Nkangamo'!$B$8-E976</f>
        <v>187.89</v>
      </c>
      <c r="H976" s="52" t="n">
        <f aca="false">F976-E976</f>
        <v>146.248559869144</v>
      </c>
      <c r="I976" s="52" t="n">
        <f aca="false">MAX(H976,G976)</f>
        <v>187.89</v>
      </c>
      <c r="J976" s="4" t="str">
        <f aca="false">IFERROR("PN"&amp;SMALL(PN_list,COUNTIF(PN_list,"&lt;"&amp;I976*bar_per_m)+1),"&gt; max PN")</f>
        <v>PN25</v>
      </c>
      <c r="K976" s="4" t="str">
        <f aca="false">IF(L976="no","end at tank",IF(H976&lt;0,"NEGATIVE",IF(H976&lt;p_min-0.005,"low","OK")))</f>
        <v>OK</v>
      </c>
      <c r="L976" s="4" t="s">
        <v>414</v>
      </c>
    </row>
    <row r="977" customFormat="false" ht="15" hidden="false" customHeight="false" outlineLevel="0" collapsed="false">
      <c r="A977" s="4" t="s">
        <v>42</v>
      </c>
      <c r="B977" s="4" t="s">
        <v>368</v>
      </c>
      <c r="C977" s="47" t="n">
        <v>27912.82</v>
      </c>
      <c r="D977" s="48" t="n">
        <v>1478.91</v>
      </c>
      <c r="E977" s="49" t="n">
        <f aca="false">D977-cover</f>
        <v>1477.71</v>
      </c>
      <c r="F977" s="50" t="n">
        <f aca="false">'Z5 Ikana-Nkangamo'!S12-'Z5 Ikana-Nkangamo'!P12*C977/'Z5 Ikana-Nkangamo'!G12</f>
        <v>1626.2921885372</v>
      </c>
      <c r="G977" s="51" t="n">
        <f aca="false">'Z5 Ikana-Nkangamo'!$B$8-E977</f>
        <v>190.29</v>
      </c>
      <c r="H977" s="52" t="n">
        <f aca="false">F977-E977</f>
        <v>148.582188537195</v>
      </c>
      <c r="I977" s="52" t="n">
        <f aca="false">MAX(H977,G977)</f>
        <v>190.29</v>
      </c>
      <c r="J977" s="4" t="str">
        <f aca="false">IFERROR("PN"&amp;SMALL(PN_list,COUNTIF(PN_list,"&lt;"&amp;I977*bar_per_m)+1),"&gt; max PN")</f>
        <v>PN25</v>
      </c>
      <c r="K977" s="4" t="str">
        <f aca="false">IF(L977="no","end at tank",IF(H977&lt;0,"NEGATIVE",IF(H977&lt;p_min-0.005,"low","OK")))</f>
        <v>OK</v>
      </c>
      <c r="L977" s="4" t="s">
        <v>414</v>
      </c>
    </row>
    <row r="978" customFormat="false" ht="15" hidden="false" customHeight="false" outlineLevel="0" collapsed="false">
      <c r="A978" s="4" t="s">
        <v>42</v>
      </c>
      <c r="B978" s="4" t="s">
        <v>368</v>
      </c>
      <c r="C978" s="47" t="n">
        <v>27962.86</v>
      </c>
      <c r="D978" s="48" t="n">
        <v>1476.8</v>
      </c>
      <c r="E978" s="49" t="n">
        <f aca="false">D978-cover</f>
        <v>1475.6</v>
      </c>
      <c r="F978" s="50" t="n">
        <f aca="false">'Z5 Ikana-Nkangamo'!S12-'Z5 Ikana-Nkangamo'!P12*C978/'Z5 Ikana-Nkangamo'!G12</f>
        <v>1626.22584372196</v>
      </c>
      <c r="G978" s="51" t="n">
        <f aca="false">'Z5 Ikana-Nkangamo'!$B$8-E978</f>
        <v>192.4</v>
      </c>
      <c r="H978" s="52" t="n">
        <f aca="false">F978-E978</f>
        <v>150.62584372196</v>
      </c>
      <c r="I978" s="52" t="n">
        <f aca="false">MAX(H978,G978)</f>
        <v>192.4</v>
      </c>
      <c r="J978" s="4" t="str">
        <f aca="false">IFERROR("PN"&amp;SMALL(PN_list,COUNTIF(PN_list,"&lt;"&amp;I978*bar_per_m)+1),"&gt; max PN")</f>
        <v>PN25</v>
      </c>
      <c r="K978" s="4" t="str">
        <f aca="false">IF(L978="no","end at tank",IF(H978&lt;0,"NEGATIVE",IF(H978&lt;p_min-0.005,"low","OK")))</f>
        <v>OK</v>
      </c>
      <c r="L978" s="4" t="s">
        <v>414</v>
      </c>
    </row>
    <row r="979" customFormat="false" ht="15" hidden="false" customHeight="false" outlineLevel="0" collapsed="false">
      <c r="A979" s="4" t="s">
        <v>42</v>
      </c>
      <c r="B979" s="4" t="s">
        <v>368</v>
      </c>
      <c r="C979" s="47" t="n">
        <v>28012.91</v>
      </c>
      <c r="D979" s="48" t="n">
        <v>1474.64</v>
      </c>
      <c r="E979" s="49" t="n">
        <f aca="false">D979-cover</f>
        <v>1473.44</v>
      </c>
      <c r="F979" s="50" t="n">
        <f aca="false">'Z5 Ikana-Nkangamo'!S12-'Z5 Ikana-Nkangamo'!P12*C979/'Z5 Ikana-Nkangamo'!G12</f>
        <v>1626.15948564837</v>
      </c>
      <c r="G979" s="51" t="n">
        <f aca="false">'Z5 Ikana-Nkangamo'!$B$8-E979</f>
        <v>194.56</v>
      </c>
      <c r="H979" s="52" t="n">
        <f aca="false">F979-E979</f>
        <v>152.719485648368</v>
      </c>
      <c r="I979" s="52" t="n">
        <f aca="false">MAX(H979,G979)</f>
        <v>194.56</v>
      </c>
      <c r="J979" s="4" t="str">
        <f aca="false">IFERROR("PN"&amp;SMALL(PN_list,COUNTIF(PN_list,"&lt;"&amp;I979*bar_per_m)+1),"&gt; max PN")</f>
        <v>PN25</v>
      </c>
      <c r="K979" s="4" t="str">
        <f aca="false">IF(L979="no","end at tank",IF(H979&lt;0,"NEGATIVE",IF(H979&lt;p_min-0.005,"low","OK")))</f>
        <v>OK</v>
      </c>
      <c r="L979" s="4" t="s">
        <v>414</v>
      </c>
    </row>
    <row r="980" customFormat="false" ht="15" hidden="false" customHeight="false" outlineLevel="0" collapsed="false">
      <c r="A980" s="4" t="s">
        <v>42</v>
      </c>
      <c r="B980" s="4" t="s">
        <v>368</v>
      </c>
      <c r="C980" s="47" t="n">
        <v>28062.92</v>
      </c>
      <c r="D980" s="48" t="n">
        <v>1475.41</v>
      </c>
      <c r="E980" s="49" t="n">
        <f aca="false">D980-cover</f>
        <v>1474.21</v>
      </c>
      <c r="F980" s="50" t="n">
        <f aca="false">'Z5 Ikana-Nkangamo'!S12-'Z5 Ikana-Nkangamo'!P12*C980/'Z5 Ikana-Nkangamo'!G12</f>
        <v>1626.0931806082</v>
      </c>
      <c r="G980" s="51" t="n">
        <f aca="false">'Z5 Ikana-Nkangamo'!$B$8-E980</f>
        <v>193.79</v>
      </c>
      <c r="H980" s="52" t="n">
        <f aca="false">F980-E980</f>
        <v>151.883180608202</v>
      </c>
      <c r="I980" s="52" t="n">
        <f aca="false">MAX(H980,G980)</f>
        <v>193.79</v>
      </c>
      <c r="J980" s="4" t="str">
        <f aca="false">IFERROR("PN"&amp;SMALL(PN_list,COUNTIF(PN_list,"&lt;"&amp;I980*bar_per_m)+1),"&gt; max PN")</f>
        <v>PN25</v>
      </c>
      <c r="K980" s="4" t="str">
        <f aca="false">IF(L980="no","end at tank",IF(H980&lt;0,"NEGATIVE",IF(H980&lt;p_min-0.005,"low","OK")))</f>
        <v>OK</v>
      </c>
      <c r="L980" s="4" t="s">
        <v>414</v>
      </c>
    </row>
    <row r="981" customFormat="false" ht="15" hidden="false" customHeight="false" outlineLevel="0" collapsed="false">
      <c r="A981" s="4" t="s">
        <v>42</v>
      </c>
      <c r="B981" s="4" t="s">
        <v>368</v>
      </c>
      <c r="C981" s="47" t="n">
        <v>28112.95</v>
      </c>
      <c r="D981" s="48" t="n">
        <v>1477.38</v>
      </c>
      <c r="E981" s="49" t="n">
        <f aca="false">D981-cover</f>
        <v>1476.18</v>
      </c>
      <c r="F981" s="50" t="n">
        <f aca="false">'Z5 Ikana-Nkangamo'!S12-'Z5 Ikana-Nkangamo'!P12*C981/'Z5 Ikana-Nkangamo'!G12</f>
        <v>1626.02684905132</v>
      </c>
      <c r="G981" s="51" t="n">
        <f aca="false">'Z5 Ikana-Nkangamo'!$B$8-E981</f>
        <v>191.82</v>
      </c>
      <c r="H981" s="52" t="n">
        <f aca="false">F981-E981</f>
        <v>149.846849051323</v>
      </c>
      <c r="I981" s="52" t="n">
        <f aca="false">MAX(H981,G981)</f>
        <v>191.82</v>
      </c>
      <c r="J981" s="4" t="str">
        <f aca="false">IFERROR("PN"&amp;SMALL(PN_list,COUNTIF(PN_list,"&lt;"&amp;I981*bar_per_m)+1),"&gt; max PN")</f>
        <v>PN25</v>
      </c>
      <c r="K981" s="4" t="str">
        <f aca="false">IF(L981="no","end at tank",IF(H981&lt;0,"NEGATIVE",IF(H981&lt;p_min-0.005,"low","OK")))</f>
        <v>OK</v>
      </c>
      <c r="L981" s="4" t="s">
        <v>414</v>
      </c>
    </row>
    <row r="982" customFormat="false" ht="15" hidden="false" customHeight="false" outlineLevel="0" collapsed="false">
      <c r="A982" s="4" t="s">
        <v>42</v>
      </c>
      <c r="B982" s="4" t="s">
        <v>368</v>
      </c>
      <c r="C982" s="47" t="n">
        <v>28162.98</v>
      </c>
      <c r="D982" s="48" t="n">
        <v>1478.85</v>
      </c>
      <c r="E982" s="49" t="n">
        <f aca="false">D982-cover</f>
        <v>1477.65</v>
      </c>
      <c r="F982" s="50" t="n">
        <f aca="false">'Z5 Ikana-Nkangamo'!S12-'Z5 Ikana-Nkangamo'!P12*C982/'Z5 Ikana-Nkangamo'!G12</f>
        <v>1625.96051749444</v>
      </c>
      <c r="G982" s="51" t="n">
        <f aca="false">'Z5 Ikana-Nkangamo'!$B$8-E982</f>
        <v>190.35</v>
      </c>
      <c r="H982" s="52" t="n">
        <f aca="false">F982-E982</f>
        <v>148.310517494444</v>
      </c>
      <c r="I982" s="52" t="n">
        <f aca="false">MAX(H982,G982)</f>
        <v>190.35</v>
      </c>
      <c r="J982" s="4" t="str">
        <f aca="false">IFERROR("PN"&amp;SMALL(PN_list,COUNTIF(PN_list,"&lt;"&amp;I982*bar_per_m)+1),"&gt; max PN")</f>
        <v>PN25</v>
      </c>
      <c r="K982" s="4" t="str">
        <f aca="false">IF(L982="no","end at tank",IF(H982&lt;0,"NEGATIVE",IF(H982&lt;p_min-0.005,"low","OK")))</f>
        <v>OK</v>
      </c>
      <c r="L982" s="4" t="s">
        <v>414</v>
      </c>
    </row>
    <row r="983" customFormat="false" ht="15" hidden="false" customHeight="false" outlineLevel="0" collapsed="false">
      <c r="A983" s="4" t="s">
        <v>42</v>
      </c>
      <c r="B983" s="4" t="s">
        <v>368</v>
      </c>
      <c r="C983" s="47" t="n">
        <v>28213.02</v>
      </c>
      <c r="D983" s="48" t="n">
        <v>1480.95</v>
      </c>
      <c r="E983" s="49" t="n">
        <f aca="false">D983-cover</f>
        <v>1479.75</v>
      </c>
      <c r="F983" s="50" t="n">
        <f aca="false">'Z5 Ikana-Nkangamo'!S12-'Z5 Ikana-Nkangamo'!P12*C983/'Z5 Ikana-Nkangamo'!G12</f>
        <v>1625.89417267921</v>
      </c>
      <c r="G983" s="51" t="n">
        <f aca="false">'Z5 Ikana-Nkangamo'!$B$8-E983</f>
        <v>188.25</v>
      </c>
      <c r="H983" s="52" t="n">
        <f aca="false">F983-E983</f>
        <v>146.144172679209</v>
      </c>
      <c r="I983" s="52" t="n">
        <f aca="false">MAX(H983,G983)</f>
        <v>188.25</v>
      </c>
      <c r="J983" s="4" t="str">
        <f aca="false">IFERROR("PN"&amp;SMALL(PN_list,COUNTIF(PN_list,"&lt;"&amp;I983*bar_per_m)+1),"&gt; max PN")</f>
        <v>PN25</v>
      </c>
      <c r="K983" s="4" t="str">
        <f aca="false">IF(L983="no","end at tank",IF(H983&lt;0,"NEGATIVE",IF(H983&lt;p_min-0.005,"low","OK")))</f>
        <v>OK</v>
      </c>
      <c r="L983" s="4" t="s">
        <v>414</v>
      </c>
    </row>
    <row r="984" customFormat="false" ht="15" hidden="false" customHeight="false" outlineLevel="0" collapsed="false">
      <c r="A984" s="4" t="s">
        <v>42</v>
      </c>
      <c r="B984" s="4" t="s">
        <v>368</v>
      </c>
      <c r="C984" s="47" t="n">
        <v>28263.08</v>
      </c>
      <c r="D984" s="48" t="n">
        <v>1483.44</v>
      </c>
      <c r="E984" s="49" t="n">
        <f aca="false">D984-cover</f>
        <v>1482.24</v>
      </c>
      <c r="F984" s="50" t="n">
        <f aca="false">'Z5 Ikana-Nkangamo'!S12-'Z5 Ikana-Nkangamo'!P12*C984/'Z5 Ikana-Nkangamo'!G12</f>
        <v>1625.82780134726</v>
      </c>
      <c r="G984" s="51" t="n">
        <f aca="false">'Z5 Ikana-Nkangamo'!$B$8-E984</f>
        <v>185.76</v>
      </c>
      <c r="H984" s="52" t="n">
        <f aca="false">F984-E984</f>
        <v>143.58780134726</v>
      </c>
      <c r="I984" s="52" t="n">
        <f aca="false">MAX(H984,G984)</f>
        <v>185.76</v>
      </c>
      <c r="J984" s="4" t="str">
        <f aca="false">IFERROR("PN"&amp;SMALL(PN_list,COUNTIF(PN_list,"&lt;"&amp;I984*bar_per_m)+1),"&gt; max PN")</f>
        <v>PN25</v>
      </c>
      <c r="K984" s="4" t="str">
        <f aca="false">IF(L984="no","end at tank",IF(H984&lt;0,"NEGATIVE",IF(H984&lt;p_min-0.005,"low","OK")))</f>
        <v>OK</v>
      </c>
      <c r="L984" s="4" t="s">
        <v>414</v>
      </c>
    </row>
    <row r="985" customFormat="false" ht="15" hidden="false" customHeight="false" outlineLevel="0" collapsed="false">
      <c r="A985" s="4" t="s">
        <v>42</v>
      </c>
      <c r="B985" s="4" t="s">
        <v>368</v>
      </c>
      <c r="C985" s="47" t="n">
        <v>28313.09</v>
      </c>
      <c r="D985" s="48" t="n">
        <v>1484.11</v>
      </c>
      <c r="E985" s="49" t="n">
        <f aca="false">D985-cover</f>
        <v>1482.91</v>
      </c>
      <c r="F985" s="50" t="n">
        <f aca="false">'Z5 Ikana-Nkangamo'!S12-'Z5 Ikana-Nkangamo'!P12*C985/'Z5 Ikana-Nkangamo'!G12</f>
        <v>1625.76149630709</v>
      </c>
      <c r="G985" s="51" t="n">
        <f aca="false">'Z5 Ikana-Nkangamo'!$B$8-E985</f>
        <v>185.09</v>
      </c>
      <c r="H985" s="52" t="n">
        <f aca="false">F985-E985</f>
        <v>142.851496307094</v>
      </c>
      <c r="I985" s="52" t="n">
        <f aca="false">MAX(H985,G985)</f>
        <v>185.09</v>
      </c>
      <c r="J985" s="4" t="str">
        <f aca="false">IFERROR("PN"&amp;SMALL(PN_list,COUNTIF(PN_list,"&lt;"&amp;I985*bar_per_m)+1),"&gt; max PN")</f>
        <v>PN25</v>
      </c>
      <c r="K985" s="4" t="str">
        <f aca="false">IF(L985="no","end at tank",IF(H985&lt;0,"NEGATIVE",IF(H985&lt;p_min-0.005,"low","OK")))</f>
        <v>OK</v>
      </c>
      <c r="L985" s="4" t="s">
        <v>414</v>
      </c>
    </row>
    <row r="986" customFormat="false" ht="15" hidden="false" customHeight="false" outlineLevel="0" collapsed="false">
      <c r="A986" s="4" t="s">
        <v>42</v>
      </c>
      <c r="B986" s="4" t="s">
        <v>368</v>
      </c>
      <c r="C986" s="47" t="n">
        <v>28363.16</v>
      </c>
      <c r="D986" s="48" t="n">
        <v>1486.81</v>
      </c>
      <c r="E986" s="49" t="n">
        <f aca="false">D986-cover</f>
        <v>1485.61</v>
      </c>
      <c r="F986" s="50" t="n">
        <f aca="false">'Z5 Ikana-Nkangamo'!S12-'Z5 Ikana-Nkangamo'!P12*C986/'Z5 Ikana-Nkangamo'!G12</f>
        <v>1625.69511171679</v>
      </c>
      <c r="G986" s="51" t="n">
        <f aca="false">'Z5 Ikana-Nkangamo'!$B$8-E986</f>
        <v>182.39</v>
      </c>
      <c r="H986" s="52" t="n">
        <f aca="false">F986-E986</f>
        <v>140.08511171679</v>
      </c>
      <c r="I986" s="52" t="n">
        <f aca="false">MAX(H986,G986)</f>
        <v>182.39</v>
      </c>
      <c r="J986" s="4" t="str">
        <f aca="false">IFERROR("PN"&amp;SMALL(PN_list,COUNTIF(PN_list,"&lt;"&amp;I986*bar_per_m)+1),"&gt; max PN")</f>
        <v>PN25</v>
      </c>
      <c r="K986" s="4" t="str">
        <f aca="false">IF(L986="no","end at tank",IF(H986&lt;0,"NEGATIVE",IF(H986&lt;p_min-0.005,"low","OK")))</f>
        <v>OK</v>
      </c>
      <c r="L986" s="4" t="s">
        <v>414</v>
      </c>
    </row>
    <row r="987" customFormat="false" ht="15" hidden="false" customHeight="false" outlineLevel="0" collapsed="false">
      <c r="A987" s="4" t="s">
        <v>42</v>
      </c>
      <c r="B987" s="4" t="s">
        <v>368</v>
      </c>
      <c r="C987" s="47" t="n">
        <v>28413.17</v>
      </c>
      <c r="D987" s="48" t="n">
        <v>1488.06</v>
      </c>
      <c r="E987" s="49" t="n">
        <f aca="false">D987-cover</f>
        <v>1486.86</v>
      </c>
      <c r="F987" s="50" t="n">
        <f aca="false">'Z5 Ikana-Nkangamo'!S12-'Z5 Ikana-Nkangamo'!P12*C987/'Z5 Ikana-Nkangamo'!G12</f>
        <v>1625.62880667662</v>
      </c>
      <c r="G987" s="51" t="n">
        <f aca="false">'Z5 Ikana-Nkangamo'!$B$8-E987</f>
        <v>181.14</v>
      </c>
      <c r="H987" s="52" t="n">
        <f aca="false">F987-E987</f>
        <v>138.768806676623</v>
      </c>
      <c r="I987" s="52" t="n">
        <f aca="false">MAX(H987,G987)</f>
        <v>181.14</v>
      </c>
      <c r="J987" s="4" t="str">
        <f aca="false">IFERROR("PN"&amp;SMALL(PN_list,COUNTIF(PN_list,"&lt;"&amp;I987*bar_per_m)+1),"&gt; max PN")</f>
        <v>PN25</v>
      </c>
      <c r="K987" s="4" t="str">
        <f aca="false">IF(L987="no","end at tank",IF(H987&lt;0,"NEGATIVE",IF(H987&lt;p_min-0.005,"low","OK")))</f>
        <v>OK</v>
      </c>
      <c r="L987" s="4" t="s">
        <v>414</v>
      </c>
    </row>
    <row r="988" customFormat="false" ht="15" hidden="false" customHeight="false" outlineLevel="0" collapsed="false">
      <c r="A988" s="4" t="s">
        <v>42</v>
      </c>
      <c r="B988" s="4" t="s">
        <v>368</v>
      </c>
      <c r="C988" s="47" t="n">
        <v>28463.18</v>
      </c>
      <c r="D988" s="48" t="n">
        <v>1488.62</v>
      </c>
      <c r="E988" s="49" t="n">
        <f aca="false">D988-cover</f>
        <v>1487.42</v>
      </c>
      <c r="F988" s="50" t="n">
        <f aca="false">'Z5 Ikana-Nkangamo'!S12-'Z5 Ikana-Nkangamo'!P12*C988/'Z5 Ikana-Nkangamo'!G12</f>
        <v>1625.56250163646</v>
      </c>
      <c r="G988" s="51" t="n">
        <f aca="false">'Z5 Ikana-Nkangamo'!$B$8-E988</f>
        <v>180.58</v>
      </c>
      <c r="H988" s="52" t="n">
        <f aca="false">F988-E988</f>
        <v>138.142501636457</v>
      </c>
      <c r="I988" s="52" t="n">
        <f aca="false">MAX(H988,G988)</f>
        <v>180.58</v>
      </c>
      <c r="J988" s="4" t="str">
        <f aca="false">IFERROR("PN"&amp;SMALL(PN_list,COUNTIF(PN_list,"&lt;"&amp;I988*bar_per_m)+1),"&gt; max PN")</f>
        <v>PN25</v>
      </c>
      <c r="K988" s="4" t="str">
        <f aca="false">IF(L988="no","end at tank",IF(H988&lt;0,"NEGATIVE",IF(H988&lt;p_min-0.005,"low","OK")))</f>
        <v>OK</v>
      </c>
      <c r="L988" s="4" t="s">
        <v>414</v>
      </c>
    </row>
    <row r="989" customFormat="false" ht="15" hidden="false" customHeight="false" outlineLevel="0" collapsed="false">
      <c r="A989" s="4" t="s">
        <v>42</v>
      </c>
      <c r="B989" s="4" t="s">
        <v>368</v>
      </c>
      <c r="C989" s="47" t="n">
        <v>28513.18</v>
      </c>
      <c r="D989" s="48" t="n">
        <v>1489.09</v>
      </c>
      <c r="E989" s="49" t="n">
        <f aca="false">D989-cover</f>
        <v>1487.89</v>
      </c>
      <c r="F989" s="50" t="n">
        <f aca="false">'Z5 Ikana-Nkangamo'!S12-'Z5 Ikana-Nkangamo'!P12*C989/'Z5 Ikana-Nkangamo'!G12</f>
        <v>1625.49620985465</v>
      </c>
      <c r="G989" s="51" t="n">
        <f aca="false">'Z5 Ikana-Nkangamo'!$B$8-E989</f>
        <v>180.11</v>
      </c>
      <c r="H989" s="52" t="n">
        <f aca="false">F989-E989</f>
        <v>137.606209854647</v>
      </c>
      <c r="I989" s="52" t="n">
        <f aca="false">MAX(H989,G989)</f>
        <v>180.11</v>
      </c>
      <c r="J989" s="4" t="str">
        <f aca="false">IFERROR("PN"&amp;SMALL(PN_list,COUNTIF(PN_list,"&lt;"&amp;I989*bar_per_m)+1),"&gt; max PN")</f>
        <v>PN25</v>
      </c>
      <c r="K989" s="4" t="str">
        <f aca="false">IF(L989="no","end at tank",IF(H989&lt;0,"NEGATIVE",IF(H989&lt;p_min-0.005,"low","OK")))</f>
        <v>OK</v>
      </c>
      <c r="L989" s="4" t="s">
        <v>414</v>
      </c>
    </row>
    <row r="990" customFormat="false" ht="15" hidden="false" customHeight="false" outlineLevel="0" collapsed="false">
      <c r="A990" s="4" t="s">
        <v>42</v>
      </c>
      <c r="B990" s="4" t="s">
        <v>368</v>
      </c>
      <c r="C990" s="47" t="n">
        <v>28563.18</v>
      </c>
      <c r="D990" s="48" t="n">
        <v>1489.62</v>
      </c>
      <c r="E990" s="49" t="n">
        <f aca="false">D990-cover</f>
        <v>1488.42</v>
      </c>
      <c r="F990" s="50" t="n">
        <f aca="false">'Z5 Ikana-Nkangamo'!S12-'Z5 Ikana-Nkangamo'!P12*C990/'Z5 Ikana-Nkangamo'!G12</f>
        <v>1625.42991807284</v>
      </c>
      <c r="G990" s="51" t="n">
        <f aca="false">'Z5 Ikana-Nkangamo'!$B$8-E990</f>
        <v>179.58</v>
      </c>
      <c r="H990" s="52" t="n">
        <f aca="false">F990-E990</f>
        <v>137.009918072837</v>
      </c>
      <c r="I990" s="52" t="n">
        <f aca="false">MAX(H990,G990)</f>
        <v>179.58</v>
      </c>
      <c r="J990" s="4" t="str">
        <f aca="false">IFERROR("PN"&amp;SMALL(PN_list,COUNTIF(PN_list,"&lt;"&amp;I990*bar_per_m)+1),"&gt; max PN")</f>
        <v>PN25</v>
      </c>
      <c r="K990" s="4" t="str">
        <f aca="false">IF(L990="no","end at tank",IF(H990&lt;0,"NEGATIVE",IF(H990&lt;p_min-0.005,"low","OK")))</f>
        <v>OK</v>
      </c>
      <c r="L990" s="4" t="s">
        <v>414</v>
      </c>
    </row>
    <row r="991" customFormat="false" ht="15" hidden="false" customHeight="false" outlineLevel="0" collapsed="false">
      <c r="A991" s="4" t="s">
        <v>42</v>
      </c>
      <c r="B991" s="4" t="s">
        <v>368</v>
      </c>
      <c r="C991" s="47" t="n">
        <v>28613.18</v>
      </c>
      <c r="D991" s="48" t="n">
        <v>1489.62</v>
      </c>
      <c r="E991" s="49" t="n">
        <f aca="false">D991-cover</f>
        <v>1488.42</v>
      </c>
      <c r="F991" s="50" t="n">
        <f aca="false">'Z5 Ikana-Nkangamo'!S12-'Z5 Ikana-Nkangamo'!P12*C991/'Z5 Ikana-Nkangamo'!G12</f>
        <v>1625.36362629103</v>
      </c>
      <c r="G991" s="51" t="n">
        <f aca="false">'Z5 Ikana-Nkangamo'!$B$8-E991</f>
        <v>179.58</v>
      </c>
      <c r="H991" s="52" t="n">
        <f aca="false">F991-E991</f>
        <v>136.943626291027</v>
      </c>
      <c r="I991" s="52" t="n">
        <f aca="false">MAX(H991,G991)</f>
        <v>179.58</v>
      </c>
      <c r="J991" s="4" t="str">
        <f aca="false">IFERROR("PN"&amp;SMALL(PN_list,COUNTIF(PN_list,"&lt;"&amp;I991*bar_per_m)+1),"&gt; max PN")</f>
        <v>PN25</v>
      </c>
      <c r="K991" s="4" t="str">
        <f aca="false">IF(L991="no","end at tank",IF(H991&lt;0,"NEGATIVE",IF(H991&lt;p_min-0.005,"low","OK")))</f>
        <v>OK</v>
      </c>
      <c r="L991" s="4" t="s">
        <v>414</v>
      </c>
    </row>
    <row r="992" customFormat="false" ht="15" hidden="false" customHeight="false" outlineLevel="0" collapsed="false">
      <c r="A992" s="4" t="s">
        <v>42</v>
      </c>
      <c r="B992" s="4" t="s">
        <v>368</v>
      </c>
      <c r="C992" s="47" t="n">
        <v>28663.2</v>
      </c>
      <c r="D992" s="48" t="n">
        <v>1490.74</v>
      </c>
      <c r="E992" s="49" t="n">
        <f aca="false">D992-cover</f>
        <v>1489.54</v>
      </c>
      <c r="F992" s="50" t="n">
        <f aca="false">'Z5 Ikana-Nkangamo'!S12-'Z5 Ikana-Nkangamo'!P12*C992/'Z5 Ikana-Nkangamo'!G12</f>
        <v>1625.2973079925</v>
      </c>
      <c r="G992" s="51" t="n">
        <f aca="false">'Z5 Ikana-Nkangamo'!$B$8-E992</f>
        <v>178.46</v>
      </c>
      <c r="H992" s="52" t="n">
        <f aca="false">F992-E992</f>
        <v>135.757307992505</v>
      </c>
      <c r="I992" s="52" t="n">
        <f aca="false">MAX(H992,G992)</f>
        <v>178.46</v>
      </c>
      <c r="J992" s="4" t="str">
        <f aca="false">IFERROR("PN"&amp;SMALL(PN_list,COUNTIF(PN_list,"&lt;"&amp;I992*bar_per_m)+1),"&gt; max PN")</f>
        <v>PN25</v>
      </c>
      <c r="K992" s="4" t="str">
        <f aca="false">IF(L992="no","end at tank",IF(H992&lt;0,"NEGATIVE",IF(H992&lt;p_min-0.005,"low","OK")))</f>
        <v>OK</v>
      </c>
      <c r="L992" s="4" t="s">
        <v>414</v>
      </c>
    </row>
    <row r="993" customFormat="false" ht="15" hidden="false" customHeight="false" outlineLevel="0" collapsed="false">
      <c r="A993" s="4" t="s">
        <v>42</v>
      </c>
      <c r="B993" s="4" t="s">
        <v>368</v>
      </c>
      <c r="C993" s="47" t="n">
        <v>28713.2</v>
      </c>
      <c r="D993" s="48" t="n">
        <v>1490.81</v>
      </c>
      <c r="E993" s="49" t="n">
        <f aca="false">D993-cover</f>
        <v>1489.61</v>
      </c>
      <c r="F993" s="50" t="n">
        <f aca="false">'Z5 Ikana-Nkangamo'!S12-'Z5 Ikana-Nkangamo'!P12*C993/'Z5 Ikana-Nkangamo'!G12</f>
        <v>1625.23101621069</v>
      </c>
      <c r="G993" s="51" t="n">
        <f aca="false">'Z5 Ikana-Nkangamo'!$B$8-E993</f>
        <v>178.39</v>
      </c>
      <c r="H993" s="52" t="n">
        <f aca="false">F993-E993</f>
        <v>135.621016210695</v>
      </c>
      <c r="I993" s="52" t="n">
        <f aca="false">MAX(H993,G993)</f>
        <v>178.39</v>
      </c>
      <c r="J993" s="4" t="str">
        <f aca="false">IFERROR("PN"&amp;SMALL(PN_list,COUNTIF(PN_list,"&lt;"&amp;I993*bar_per_m)+1),"&gt; max PN")</f>
        <v>PN25</v>
      </c>
      <c r="K993" s="4" t="str">
        <f aca="false">IF(L993="no","end at tank",IF(H993&lt;0,"NEGATIVE",IF(H993&lt;p_min-0.005,"low","OK")))</f>
        <v>OK</v>
      </c>
      <c r="L993" s="4" t="s">
        <v>414</v>
      </c>
    </row>
    <row r="994" customFormat="false" ht="15" hidden="false" customHeight="false" outlineLevel="0" collapsed="false">
      <c r="A994" s="4" t="s">
        <v>42</v>
      </c>
      <c r="B994" s="4" t="s">
        <v>368</v>
      </c>
      <c r="C994" s="47" t="n">
        <v>28763.2</v>
      </c>
      <c r="D994" s="48" t="n">
        <v>1490.19</v>
      </c>
      <c r="E994" s="49" t="n">
        <f aca="false">D994-cover</f>
        <v>1488.99</v>
      </c>
      <c r="F994" s="50" t="n">
        <f aca="false">'Z5 Ikana-Nkangamo'!S12-'Z5 Ikana-Nkangamo'!P12*C994/'Z5 Ikana-Nkangamo'!G12</f>
        <v>1625.16472442888</v>
      </c>
      <c r="G994" s="51" t="n">
        <f aca="false">'Z5 Ikana-Nkangamo'!$B$8-E994</f>
        <v>179.01</v>
      </c>
      <c r="H994" s="52" t="n">
        <f aca="false">F994-E994</f>
        <v>136.174724428885</v>
      </c>
      <c r="I994" s="52" t="n">
        <f aca="false">MAX(H994,G994)</f>
        <v>179.01</v>
      </c>
      <c r="J994" s="4" t="str">
        <f aca="false">IFERROR("PN"&amp;SMALL(PN_list,COUNTIF(PN_list,"&lt;"&amp;I994*bar_per_m)+1),"&gt; max PN")</f>
        <v>PN25</v>
      </c>
      <c r="K994" s="4" t="str">
        <f aca="false">IF(L994="no","end at tank",IF(H994&lt;0,"NEGATIVE",IF(H994&lt;p_min-0.005,"low","OK")))</f>
        <v>OK</v>
      </c>
      <c r="L994" s="4" t="s">
        <v>414</v>
      </c>
    </row>
    <row r="995" customFormat="false" ht="15" hidden="false" customHeight="false" outlineLevel="0" collapsed="false">
      <c r="A995" s="4" t="s">
        <v>42</v>
      </c>
      <c r="B995" s="4" t="s">
        <v>368</v>
      </c>
      <c r="C995" s="47" t="n">
        <v>28813.2</v>
      </c>
      <c r="D995" s="48" t="n">
        <v>1491.38</v>
      </c>
      <c r="E995" s="49" t="n">
        <f aca="false">D995-cover</f>
        <v>1490.18</v>
      </c>
      <c r="F995" s="50" t="n">
        <f aca="false">'Z5 Ikana-Nkangamo'!S12-'Z5 Ikana-Nkangamo'!P12*C995/'Z5 Ikana-Nkangamo'!G12</f>
        <v>1625.09843264707</v>
      </c>
      <c r="G995" s="51" t="n">
        <f aca="false">'Z5 Ikana-Nkangamo'!$B$8-E995</f>
        <v>177.82</v>
      </c>
      <c r="H995" s="52" t="n">
        <f aca="false">F995-E995</f>
        <v>134.918432647075</v>
      </c>
      <c r="I995" s="52" t="n">
        <f aca="false">MAX(H995,G995)</f>
        <v>177.82</v>
      </c>
      <c r="J995" s="4" t="str">
        <f aca="false">IFERROR("PN"&amp;SMALL(PN_list,COUNTIF(PN_list,"&lt;"&amp;I995*bar_per_m)+1),"&gt; max PN")</f>
        <v>PN25</v>
      </c>
      <c r="K995" s="4" t="str">
        <f aca="false">IF(L995="no","end at tank",IF(H995&lt;0,"NEGATIVE",IF(H995&lt;p_min-0.005,"low","OK")))</f>
        <v>OK</v>
      </c>
      <c r="L995" s="4" t="s">
        <v>414</v>
      </c>
    </row>
    <row r="996" customFormat="false" ht="15" hidden="false" customHeight="false" outlineLevel="0" collapsed="false">
      <c r="A996" s="4" t="s">
        <v>42</v>
      </c>
      <c r="B996" s="4" t="s">
        <v>368</v>
      </c>
      <c r="C996" s="47" t="n">
        <v>28863.21</v>
      </c>
      <c r="D996" s="48" t="n">
        <v>1490.52</v>
      </c>
      <c r="E996" s="49" t="n">
        <f aca="false">D996-cover</f>
        <v>1489.32</v>
      </c>
      <c r="F996" s="50" t="n">
        <f aca="false">'Z5 Ikana-Nkangamo'!S12-'Z5 Ikana-Nkangamo'!P12*C996/'Z5 Ikana-Nkangamo'!G12</f>
        <v>1625.03212760691</v>
      </c>
      <c r="G996" s="51" t="n">
        <f aca="false">'Z5 Ikana-Nkangamo'!$B$8-E996</f>
        <v>178.68</v>
      </c>
      <c r="H996" s="52" t="n">
        <f aca="false">F996-E996</f>
        <v>135.712127606909</v>
      </c>
      <c r="I996" s="52" t="n">
        <f aca="false">MAX(H996,G996)</f>
        <v>178.68</v>
      </c>
      <c r="J996" s="4" t="str">
        <f aca="false">IFERROR("PN"&amp;SMALL(PN_list,COUNTIF(PN_list,"&lt;"&amp;I996*bar_per_m)+1),"&gt; max PN")</f>
        <v>PN25</v>
      </c>
      <c r="K996" s="4" t="str">
        <f aca="false">IF(L996="no","end at tank",IF(H996&lt;0,"NEGATIVE",IF(H996&lt;p_min-0.005,"low","OK")))</f>
        <v>OK</v>
      </c>
      <c r="L996" s="4" t="s">
        <v>414</v>
      </c>
    </row>
    <row r="997" customFormat="false" ht="15" hidden="false" customHeight="false" outlineLevel="0" collapsed="false">
      <c r="A997" s="4" t="s">
        <v>42</v>
      </c>
      <c r="B997" s="4" t="s">
        <v>368</v>
      </c>
      <c r="C997" s="47" t="n">
        <v>28913.21</v>
      </c>
      <c r="D997" s="48" t="n">
        <v>1489.88</v>
      </c>
      <c r="E997" s="49" t="n">
        <f aca="false">D997-cover</f>
        <v>1488.68</v>
      </c>
      <c r="F997" s="50" t="n">
        <f aca="false">'Z5 Ikana-Nkangamo'!S12-'Z5 Ikana-Nkangamo'!P12*C997/'Z5 Ikana-Nkangamo'!G12</f>
        <v>1624.9658358251</v>
      </c>
      <c r="G997" s="51" t="n">
        <f aca="false">'Z5 Ikana-Nkangamo'!$B$8-E997</f>
        <v>179.32</v>
      </c>
      <c r="H997" s="52" t="n">
        <f aca="false">F997-E997</f>
        <v>136.285835825099</v>
      </c>
      <c r="I997" s="52" t="n">
        <f aca="false">MAX(H997,G997)</f>
        <v>179.32</v>
      </c>
      <c r="J997" s="4" t="str">
        <f aca="false">IFERROR("PN"&amp;SMALL(PN_list,COUNTIF(PN_list,"&lt;"&amp;I997*bar_per_m)+1),"&gt; max PN")</f>
        <v>PN25</v>
      </c>
      <c r="K997" s="4" t="str">
        <f aca="false">IF(L997="no","end at tank",IF(H997&lt;0,"NEGATIVE",IF(H997&lt;p_min-0.005,"low","OK")))</f>
        <v>OK</v>
      </c>
      <c r="L997" s="4" t="s">
        <v>414</v>
      </c>
    </row>
    <row r="998" customFormat="false" ht="15" hidden="false" customHeight="false" outlineLevel="0" collapsed="false">
      <c r="A998" s="4" t="s">
        <v>42</v>
      </c>
      <c r="B998" s="4" t="s">
        <v>368</v>
      </c>
      <c r="C998" s="47" t="n">
        <v>28963.22</v>
      </c>
      <c r="D998" s="48" t="n">
        <v>1488.96</v>
      </c>
      <c r="E998" s="49" t="n">
        <f aca="false">D998-cover</f>
        <v>1487.76</v>
      </c>
      <c r="F998" s="50" t="n">
        <f aca="false">'Z5 Ikana-Nkangamo'!S12-'Z5 Ikana-Nkangamo'!P12*C998/'Z5 Ikana-Nkangamo'!G12</f>
        <v>1624.89953078493</v>
      </c>
      <c r="G998" s="51" t="n">
        <f aca="false">'Z5 Ikana-Nkangamo'!$B$8-E998</f>
        <v>180.24</v>
      </c>
      <c r="H998" s="52" t="n">
        <f aca="false">F998-E998</f>
        <v>137.139530784932</v>
      </c>
      <c r="I998" s="52" t="n">
        <f aca="false">MAX(H998,G998)</f>
        <v>180.24</v>
      </c>
      <c r="J998" s="4" t="str">
        <f aca="false">IFERROR("PN"&amp;SMALL(PN_list,COUNTIF(PN_list,"&lt;"&amp;I998*bar_per_m)+1),"&gt; max PN")</f>
        <v>PN25</v>
      </c>
      <c r="K998" s="4" t="str">
        <f aca="false">IF(L998="no","end at tank",IF(H998&lt;0,"NEGATIVE",IF(H998&lt;p_min-0.005,"low","OK")))</f>
        <v>OK</v>
      </c>
      <c r="L998" s="4" t="s">
        <v>414</v>
      </c>
    </row>
    <row r="999" customFormat="false" ht="15" hidden="false" customHeight="false" outlineLevel="0" collapsed="false">
      <c r="A999" s="4" t="s">
        <v>42</v>
      </c>
      <c r="B999" s="4" t="s">
        <v>368</v>
      </c>
      <c r="C999" s="47" t="n">
        <v>29013.24</v>
      </c>
      <c r="D999" s="48" t="n">
        <v>1487.71</v>
      </c>
      <c r="E999" s="49" t="n">
        <f aca="false">D999-cover</f>
        <v>1486.51</v>
      </c>
      <c r="F999" s="50" t="n">
        <f aca="false">'Z5 Ikana-Nkangamo'!S12-'Z5 Ikana-Nkangamo'!P12*C999/'Z5 Ikana-Nkangamo'!G12</f>
        <v>1624.83321248641</v>
      </c>
      <c r="G999" s="51" t="n">
        <f aca="false">'Z5 Ikana-Nkangamo'!$B$8-E999</f>
        <v>181.49</v>
      </c>
      <c r="H999" s="52" t="n">
        <f aca="false">F999-E999</f>
        <v>138.32321248641</v>
      </c>
      <c r="I999" s="52" t="n">
        <f aca="false">MAX(H999,G999)</f>
        <v>181.49</v>
      </c>
      <c r="J999" s="4" t="str">
        <f aca="false">IFERROR("PN"&amp;SMALL(PN_list,COUNTIF(PN_list,"&lt;"&amp;I999*bar_per_m)+1),"&gt; max PN")</f>
        <v>PN25</v>
      </c>
      <c r="K999" s="4" t="str">
        <f aca="false">IF(L999="no","end at tank",IF(H999&lt;0,"NEGATIVE",IF(H999&lt;p_min-0.005,"low","OK")))</f>
        <v>OK</v>
      </c>
      <c r="L999" s="4" t="s">
        <v>414</v>
      </c>
    </row>
    <row r="1000" customFormat="false" ht="15" hidden="false" customHeight="false" outlineLevel="0" collapsed="false">
      <c r="A1000" s="4" t="s">
        <v>42</v>
      </c>
      <c r="B1000" s="4" t="s">
        <v>368</v>
      </c>
      <c r="C1000" s="47" t="n">
        <v>29063.24</v>
      </c>
      <c r="D1000" s="48" t="n">
        <v>1486.96</v>
      </c>
      <c r="E1000" s="49" t="n">
        <f aca="false">D1000-cover</f>
        <v>1485.76</v>
      </c>
      <c r="F1000" s="50" t="n">
        <f aca="false">'Z5 Ikana-Nkangamo'!S12-'Z5 Ikana-Nkangamo'!P12*C1000/'Z5 Ikana-Nkangamo'!G12</f>
        <v>1624.7669207046</v>
      </c>
      <c r="G1000" s="51" t="n">
        <f aca="false">'Z5 Ikana-Nkangamo'!$B$8-E1000</f>
        <v>182.24</v>
      </c>
      <c r="H1000" s="52" t="n">
        <f aca="false">F1000-E1000</f>
        <v>139.0069207046</v>
      </c>
      <c r="I1000" s="52" t="n">
        <f aca="false">MAX(H1000,G1000)</f>
        <v>182.24</v>
      </c>
      <c r="J1000" s="4" t="str">
        <f aca="false">IFERROR("PN"&amp;SMALL(PN_list,COUNTIF(PN_list,"&lt;"&amp;I1000*bar_per_m)+1),"&gt; max PN")</f>
        <v>PN25</v>
      </c>
      <c r="K1000" s="4" t="str">
        <f aca="false">IF(L1000="no","end at tank",IF(H1000&lt;0,"NEGATIVE",IF(H1000&lt;p_min-0.005,"low","OK")))</f>
        <v>OK</v>
      </c>
      <c r="L1000" s="4" t="s">
        <v>414</v>
      </c>
    </row>
    <row r="1001" customFormat="false" ht="15" hidden="false" customHeight="false" outlineLevel="0" collapsed="false">
      <c r="A1001" s="4" t="s">
        <v>42</v>
      </c>
      <c r="B1001" s="4" t="s">
        <v>368</v>
      </c>
      <c r="C1001" s="47" t="n">
        <v>29113.26</v>
      </c>
      <c r="D1001" s="48" t="n">
        <v>1485.9</v>
      </c>
      <c r="E1001" s="49" t="n">
        <f aca="false">D1001-cover</f>
        <v>1484.7</v>
      </c>
      <c r="F1001" s="50" t="n">
        <f aca="false">'Z5 Ikana-Nkangamo'!S12-'Z5 Ikana-Nkangamo'!P12*C1001/'Z5 Ikana-Nkangamo'!G12</f>
        <v>1624.70060240608</v>
      </c>
      <c r="G1001" s="51" t="n">
        <f aca="false">'Z5 Ikana-Nkangamo'!$B$8-E1001</f>
        <v>183.3</v>
      </c>
      <c r="H1001" s="52" t="n">
        <f aca="false">F1001-E1001</f>
        <v>140.000602406077</v>
      </c>
      <c r="I1001" s="52" t="n">
        <f aca="false">MAX(H1001,G1001)</f>
        <v>183.3</v>
      </c>
      <c r="J1001" s="4" t="str">
        <f aca="false">IFERROR("PN"&amp;SMALL(PN_list,COUNTIF(PN_list,"&lt;"&amp;I1001*bar_per_m)+1),"&gt; max PN")</f>
        <v>PN25</v>
      </c>
      <c r="K1001" s="4" t="str">
        <f aca="false">IF(L1001="no","end at tank",IF(H1001&lt;0,"NEGATIVE",IF(H1001&lt;p_min-0.005,"low","OK")))</f>
        <v>OK</v>
      </c>
      <c r="L1001" s="4" t="s">
        <v>414</v>
      </c>
    </row>
    <row r="1002" customFormat="false" ht="15" hidden="false" customHeight="false" outlineLevel="0" collapsed="false">
      <c r="A1002" s="4" t="s">
        <v>42</v>
      </c>
      <c r="B1002" s="4" t="s">
        <v>368</v>
      </c>
      <c r="C1002" s="47" t="n">
        <v>29163.32</v>
      </c>
      <c r="D1002" s="48" t="n">
        <v>1483.27</v>
      </c>
      <c r="E1002" s="49" t="n">
        <f aca="false">D1002-cover</f>
        <v>1482.07</v>
      </c>
      <c r="F1002" s="50" t="n">
        <f aca="false">'Z5 Ikana-Nkangamo'!S12-'Z5 Ikana-Nkangamo'!P12*C1002/'Z5 Ikana-Nkangamo'!G12</f>
        <v>1624.63423107413</v>
      </c>
      <c r="G1002" s="51" t="n">
        <f aca="false">'Z5 Ikana-Nkangamo'!$B$8-E1002</f>
        <v>185.93</v>
      </c>
      <c r="H1002" s="52" t="n">
        <f aca="false">F1002-E1002</f>
        <v>142.564231074129</v>
      </c>
      <c r="I1002" s="52" t="n">
        <f aca="false">MAX(H1002,G1002)</f>
        <v>185.93</v>
      </c>
      <c r="J1002" s="4" t="str">
        <f aca="false">IFERROR("PN"&amp;SMALL(PN_list,COUNTIF(PN_list,"&lt;"&amp;I1002*bar_per_m)+1),"&gt; max PN")</f>
        <v>PN25</v>
      </c>
      <c r="K1002" s="4" t="str">
        <f aca="false">IF(L1002="no","end at tank",IF(H1002&lt;0,"NEGATIVE",IF(H1002&lt;p_min-0.005,"low","OK")))</f>
        <v>OK</v>
      </c>
      <c r="L1002" s="4" t="s">
        <v>414</v>
      </c>
    </row>
    <row r="1003" customFormat="false" ht="15" hidden="false" customHeight="false" outlineLevel="0" collapsed="false">
      <c r="A1003" s="4" t="s">
        <v>42</v>
      </c>
      <c r="B1003" s="4" t="s">
        <v>368</v>
      </c>
      <c r="C1003" s="47" t="n">
        <v>29213.33</v>
      </c>
      <c r="D1003" s="48" t="n">
        <v>1483.63</v>
      </c>
      <c r="E1003" s="49" t="n">
        <f aca="false">D1003-cover</f>
        <v>1482.43</v>
      </c>
      <c r="F1003" s="50" t="n">
        <f aca="false">'Z5 Ikana-Nkangamo'!S12-'Z5 Ikana-Nkangamo'!P12*C1003/'Z5 Ikana-Nkangamo'!G12</f>
        <v>1624.56792603396</v>
      </c>
      <c r="G1003" s="51" t="n">
        <f aca="false">'Z5 Ikana-Nkangamo'!$B$8-E1003</f>
        <v>185.57</v>
      </c>
      <c r="H1003" s="52" t="n">
        <f aca="false">F1003-E1003</f>
        <v>142.137926033962</v>
      </c>
      <c r="I1003" s="52" t="n">
        <f aca="false">MAX(H1003,G1003)</f>
        <v>185.57</v>
      </c>
      <c r="J1003" s="4" t="str">
        <f aca="false">IFERROR("PN"&amp;SMALL(PN_list,COUNTIF(PN_list,"&lt;"&amp;I1003*bar_per_m)+1),"&gt; max PN")</f>
        <v>PN25</v>
      </c>
      <c r="K1003" s="4" t="str">
        <f aca="false">IF(L1003="no","end at tank",IF(H1003&lt;0,"NEGATIVE",IF(H1003&lt;p_min-0.005,"low","OK")))</f>
        <v>OK</v>
      </c>
      <c r="L1003" s="4" t="s">
        <v>414</v>
      </c>
    </row>
    <row r="1004" customFormat="false" ht="15" hidden="false" customHeight="false" outlineLevel="0" collapsed="false">
      <c r="A1004" s="4" t="s">
        <v>42</v>
      </c>
      <c r="B1004" s="4" t="s">
        <v>368</v>
      </c>
      <c r="C1004" s="47" t="n">
        <v>29263.34</v>
      </c>
      <c r="D1004" s="48" t="n">
        <v>1482.36</v>
      </c>
      <c r="E1004" s="49" t="n">
        <f aca="false">D1004-cover</f>
        <v>1481.16</v>
      </c>
      <c r="F1004" s="50" t="n">
        <f aca="false">'Z5 Ikana-Nkangamo'!S12-'Z5 Ikana-Nkangamo'!P12*C1004/'Z5 Ikana-Nkangamo'!G12</f>
        <v>1624.5016209938</v>
      </c>
      <c r="G1004" s="51" t="n">
        <f aca="false">'Z5 Ikana-Nkangamo'!$B$8-E1004</f>
        <v>186.84</v>
      </c>
      <c r="H1004" s="52" t="n">
        <f aca="false">F1004-E1004</f>
        <v>143.341620993796</v>
      </c>
      <c r="I1004" s="52" t="n">
        <f aca="false">MAX(H1004,G1004)</f>
        <v>186.84</v>
      </c>
      <c r="J1004" s="4" t="str">
        <f aca="false">IFERROR("PN"&amp;SMALL(PN_list,COUNTIF(PN_list,"&lt;"&amp;I1004*bar_per_m)+1),"&gt; max PN")</f>
        <v>PN25</v>
      </c>
      <c r="K1004" s="4" t="str">
        <f aca="false">IF(L1004="no","end at tank",IF(H1004&lt;0,"NEGATIVE",IF(H1004&lt;p_min-0.005,"low","OK")))</f>
        <v>OK</v>
      </c>
      <c r="L1004" s="4" t="s">
        <v>414</v>
      </c>
    </row>
    <row r="1005" customFormat="false" ht="15" hidden="false" customHeight="false" outlineLevel="0" collapsed="false">
      <c r="A1005" s="4" t="s">
        <v>42</v>
      </c>
      <c r="B1005" s="4" t="s">
        <v>368</v>
      </c>
      <c r="C1005" s="47" t="n">
        <v>29313.34</v>
      </c>
      <c r="D1005" s="48" t="n">
        <v>1482.26</v>
      </c>
      <c r="E1005" s="49" t="n">
        <f aca="false">D1005-cover</f>
        <v>1481.06</v>
      </c>
      <c r="F1005" s="50" t="n">
        <f aca="false">'Z5 Ikana-Nkangamo'!S12-'Z5 Ikana-Nkangamo'!P12*C1005/'Z5 Ikana-Nkangamo'!G12</f>
        <v>1624.43532921199</v>
      </c>
      <c r="G1005" s="51" t="n">
        <f aca="false">'Z5 Ikana-Nkangamo'!$B$8-E1005</f>
        <v>186.94</v>
      </c>
      <c r="H1005" s="52" t="n">
        <f aca="false">F1005-E1005</f>
        <v>143.375329211986</v>
      </c>
      <c r="I1005" s="52" t="n">
        <f aca="false">MAX(H1005,G1005)</f>
        <v>186.94</v>
      </c>
      <c r="J1005" s="4" t="str">
        <f aca="false">IFERROR("PN"&amp;SMALL(PN_list,COUNTIF(PN_list,"&lt;"&amp;I1005*bar_per_m)+1),"&gt; max PN")</f>
        <v>PN25</v>
      </c>
      <c r="K1005" s="4" t="str">
        <f aca="false">IF(L1005="no","end at tank",IF(H1005&lt;0,"NEGATIVE",IF(H1005&lt;p_min-0.005,"low","OK")))</f>
        <v>OK</v>
      </c>
      <c r="L1005" s="4" t="s">
        <v>414</v>
      </c>
    </row>
    <row r="1006" customFormat="false" ht="15" hidden="false" customHeight="false" outlineLevel="0" collapsed="false">
      <c r="A1006" s="4" t="s">
        <v>42</v>
      </c>
      <c r="B1006" s="4" t="s">
        <v>368</v>
      </c>
      <c r="C1006" s="47" t="n">
        <v>29363.36</v>
      </c>
      <c r="D1006" s="48" t="n">
        <v>1483.68</v>
      </c>
      <c r="E1006" s="49" t="n">
        <f aca="false">D1006-cover</f>
        <v>1482.48</v>
      </c>
      <c r="F1006" s="50" t="n">
        <f aca="false">'Z5 Ikana-Nkangamo'!S12-'Z5 Ikana-Nkangamo'!P12*C1006/'Z5 Ikana-Nkangamo'!G12</f>
        <v>1624.36901091346</v>
      </c>
      <c r="G1006" s="51" t="n">
        <f aca="false">'Z5 Ikana-Nkangamo'!$B$8-E1006</f>
        <v>185.52</v>
      </c>
      <c r="H1006" s="52" t="n">
        <f aca="false">F1006-E1006</f>
        <v>141.889010913464</v>
      </c>
      <c r="I1006" s="52" t="n">
        <f aca="false">MAX(H1006,G1006)</f>
        <v>185.52</v>
      </c>
      <c r="J1006" s="4" t="str">
        <f aca="false">IFERROR("PN"&amp;SMALL(PN_list,COUNTIF(PN_list,"&lt;"&amp;I1006*bar_per_m)+1),"&gt; max PN")</f>
        <v>PN25</v>
      </c>
      <c r="K1006" s="4" t="str">
        <f aca="false">IF(L1006="no","end at tank",IF(H1006&lt;0,"NEGATIVE",IF(H1006&lt;p_min-0.005,"low","OK")))</f>
        <v>OK</v>
      </c>
      <c r="L1006" s="4" t="s">
        <v>414</v>
      </c>
    </row>
    <row r="1007" customFormat="false" ht="15" hidden="false" customHeight="false" outlineLevel="0" collapsed="false">
      <c r="A1007" s="4" t="s">
        <v>42</v>
      </c>
      <c r="B1007" s="4" t="s">
        <v>368</v>
      </c>
      <c r="C1007" s="47" t="n">
        <v>29413.37</v>
      </c>
      <c r="D1007" s="48" t="n">
        <v>1484.59</v>
      </c>
      <c r="E1007" s="49" t="n">
        <f aca="false">D1007-cover</f>
        <v>1483.39</v>
      </c>
      <c r="F1007" s="50" t="n">
        <f aca="false">'Z5 Ikana-Nkangamo'!S12-'Z5 Ikana-Nkangamo'!P12*C1007/'Z5 Ikana-Nkangamo'!G12</f>
        <v>1624.3027058733</v>
      </c>
      <c r="G1007" s="51" t="n">
        <f aca="false">'Z5 Ikana-Nkangamo'!$B$8-E1007</f>
        <v>184.61</v>
      </c>
      <c r="H1007" s="52" t="n">
        <f aca="false">F1007-E1007</f>
        <v>140.912705873297</v>
      </c>
      <c r="I1007" s="52" t="n">
        <f aca="false">MAX(H1007,G1007)</f>
        <v>184.61</v>
      </c>
      <c r="J1007" s="4" t="str">
        <f aca="false">IFERROR("PN"&amp;SMALL(PN_list,COUNTIF(PN_list,"&lt;"&amp;I1007*bar_per_m)+1),"&gt; max PN")</f>
        <v>PN25</v>
      </c>
      <c r="K1007" s="4" t="str">
        <f aca="false">IF(L1007="no","end at tank",IF(H1007&lt;0,"NEGATIVE",IF(H1007&lt;p_min-0.005,"low","OK")))</f>
        <v>OK</v>
      </c>
      <c r="L1007" s="4" t="s">
        <v>414</v>
      </c>
    </row>
    <row r="1008" customFormat="false" ht="15" hidden="false" customHeight="false" outlineLevel="0" collapsed="false">
      <c r="A1008" s="4" t="s">
        <v>42</v>
      </c>
      <c r="B1008" s="4" t="s">
        <v>368</v>
      </c>
      <c r="C1008" s="47" t="n">
        <v>29463.39</v>
      </c>
      <c r="D1008" s="48" t="n">
        <v>1485.79</v>
      </c>
      <c r="E1008" s="49" t="n">
        <f aca="false">D1008-cover</f>
        <v>1484.59</v>
      </c>
      <c r="F1008" s="50" t="n">
        <f aca="false">'Z5 Ikana-Nkangamo'!S12-'Z5 Ikana-Nkangamo'!P12*C1008/'Z5 Ikana-Nkangamo'!G12</f>
        <v>1624.23638757477</v>
      </c>
      <c r="G1008" s="51" t="n">
        <f aca="false">'Z5 Ikana-Nkangamo'!$B$8-E1008</f>
        <v>183.41</v>
      </c>
      <c r="H1008" s="52" t="n">
        <f aca="false">F1008-E1008</f>
        <v>139.646387574775</v>
      </c>
      <c r="I1008" s="52" t="n">
        <f aca="false">MAX(H1008,G1008)</f>
        <v>183.41</v>
      </c>
      <c r="J1008" s="4" t="str">
        <f aca="false">IFERROR("PN"&amp;SMALL(PN_list,COUNTIF(PN_list,"&lt;"&amp;I1008*bar_per_m)+1),"&gt; max PN")</f>
        <v>PN25</v>
      </c>
      <c r="K1008" s="4" t="str">
        <f aca="false">IF(L1008="no","end at tank",IF(H1008&lt;0,"NEGATIVE",IF(H1008&lt;p_min-0.005,"low","OK")))</f>
        <v>OK</v>
      </c>
      <c r="L1008" s="4" t="s">
        <v>414</v>
      </c>
    </row>
    <row r="1009" customFormat="false" ht="15" hidden="false" customHeight="false" outlineLevel="0" collapsed="false">
      <c r="A1009" s="4" t="s">
        <v>42</v>
      </c>
      <c r="B1009" s="4" t="s">
        <v>368</v>
      </c>
      <c r="C1009" s="47" t="n">
        <v>29513.39</v>
      </c>
      <c r="D1009" s="48" t="n">
        <v>1486.52</v>
      </c>
      <c r="E1009" s="49" t="n">
        <f aca="false">D1009-cover</f>
        <v>1485.32</v>
      </c>
      <c r="F1009" s="50" t="n">
        <f aca="false">'Z5 Ikana-Nkangamo'!S12-'Z5 Ikana-Nkangamo'!P12*C1009/'Z5 Ikana-Nkangamo'!G12</f>
        <v>1624.17009579296</v>
      </c>
      <c r="G1009" s="51" t="n">
        <f aca="false">'Z5 Ikana-Nkangamo'!$B$8-E1009</f>
        <v>182.68</v>
      </c>
      <c r="H1009" s="52" t="n">
        <f aca="false">F1009-E1009</f>
        <v>138.850095792965</v>
      </c>
      <c r="I1009" s="52" t="n">
        <f aca="false">MAX(H1009,G1009)</f>
        <v>182.68</v>
      </c>
      <c r="J1009" s="4" t="str">
        <f aca="false">IFERROR("PN"&amp;SMALL(PN_list,COUNTIF(PN_list,"&lt;"&amp;I1009*bar_per_m)+1),"&gt; max PN")</f>
        <v>PN25</v>
      </c>
      <c r="K1009" s="4" t="str">
        <f aca="false">IF(L1009="no","end at tank",IF(H1009&lt;0,"NEGATIVE",IF(H1009&lt;p_min-0.005,"low","OK")))</f>
        <v>OK</v>
      </c>
      <c r="L1009" s="4" t="s">
        <v>414</v>
      </c>
    </row>
    <row r="1010" customFormat="false" ht="15" hidden="false" customHeight="false" outlineLevel="0" collapsed="false">
      <c r="A1010" s="4" t="s">
        <v>42</v>
      </c>
      <c r="B1010" s="4" t="s">
        <v>368</v>
      </c>
      <c r="C1010" s="47" t="n">
        <v>29563.39</v>
      </c>
      <c r="D1010" s="48" t="n">
        <v>1487</v>
      </c>
      <c r="E1010" s="49" t="n">
        <f aca="false">D1010-cover</f>
        <v>1485.8</v>
      </c>
      <c r="F1010" s="50" t="n">
        <f aca="false">'Z5 Ikana-Nkangamo'!S12-'Z5 Ikana-Nkangamo'!P12*C1010/'Z5 Ikana-Nkangamo'!G12</f>
        <v>1624.10380401115</v>
      </c>
      <c r="G1010" s="51" t="n">
        <f aca="false">'Z5 Ikana-Nkangamo'!$B$8-E1010</f>
        <v>182.2</v>
      </c>
      <c r="H1010" s="52" t="n">
        <f aca="false">F1010-E1010</f>
        <v>138.303804011155</v>
      </c>
      <c r="I1010" s="52" t="n">
        <f aca="false">MAX(H1010,G1010)</f>
        <v>182.2</v>
      </c>
      <c r="J1010" s="4" t="str">
        <f aca="false">IFERROR("PN"&amp;SMALL(PN_list,COUNTIF(PN_list,"&lt;"&amp;I1010*bar_per_m)+1),"&gt; max PN")</f>
        <v>PN25</v>
      </c>
      <c r="K1010" s="4" t="str">
        <f aca="false">IF(L1010="no","end at tank",IF(H1010&lt;0,"NEGATIVE",IF(H1010&lt;p_min-0.005,"low","OK")))</f>
        <v>OK</v>
      </c>
      <c r="L1010" s="4" t="s">
        <v>414</v>
      </c>
    </row>
    <row r="1011" customFormat="false" ht="15" hidden="false" customHeight="false" outlineLevel="0" collapsed="false">
      <c r="A1011" s="4" t="s">
        <v>42</v>
      </c>
      <c r="B1011" s="4" t="s">
        <v>368</v>
      </c>
      <c r="C1011" s="47" t="n">
        <v>29613.39</v>
      </c>
      <c r="D1011" s="48" t="n">
        <v>1487.45</v>
      </c>
      <c r="E1011" s="49" t="n">
        <f aca="false">D1011-cover</f>
        <v>1486.25</v>
      </c>
      <c r="F1011" s="50" t="n">
        <f aca="false">'Z5 Ikana-Nkangamo'!S12-'Z5 Ikana-Nkangamo'!P12*C1011/'Z5 Ikana-Nkangamo'!G12</f>
        <v>1624.03751222934</v>
      </c>
      <c r="G1011" s="51" t="n">
        <f aca="false">'Z5 Ikana-Nkangamo'!$B$8-E1011</f>
        <v>181.75</v>
      </c>
      <c r="H1011" s="52" t="n">
        <f aca="false">F1011-E1011</f>
        <v>137.787512229345</v>
      </c>
      <c r="I1011" s="52" t="n">
        <f aca="false">MAX(H1011,G1011)</f>
        <v>181.75</v>
      </c>
      <c r="J1011" s="4" t="str">
        <f aca="false">IFERROR("PN"&amp;SMALL(PN_list,COUNTIF(PN_list,"&lt;"&amp;I1011*bar_per_m)+1),"&gt; max PN")</f>
        <v>PN25</v>
      </c>
      <c r="K1011" s="4" t="str">
        <f aca="false">IF(L1011="no","end at tank",IF(H1011&lt;0,"NEGATIVE",IF(H1011&lt;p_min-0.005,"low","OK")))</f>
        <v>OK</v>
      </c>
      <c r="L1011" s="4" t="s">
        <v>414</v>
      </c>
    </row>
    <row r="1012" customFormat="false" ht="15" hidden="false" customHeight="false" outlineLevel="0" collapsed="false">
      <c r="A1012" s="4" t="s">
        <v>42</v>
      </c>
      <c r="B1012" s="4" t="s">
        <v>368</v>
      </c>
      <c r="C1012" s="47" t="n">
        <v>29663.4</v>
      </c>
      <c r="D1012" s="48" t="n">
        <v>1487.2</v>
      </c>
      <c r="E1012" s="49" t="n">
        <f aca="false">D1012-cover</f>
        <v>1486</v>
      </c>
      <c r="F1012" s="50" t="n">
        <f aca="false">'Z5 Ikana-Nkangamo'!S12-'Z5 Ikana-Nkangamo'!P12*C1012/'Z5 Ikana-Nkangamo'!G12</f>
        <v>1623.97120718918</v>
      </c>
      <c r="G1012" s="51" t="n">
        <f aca="false">'Z5 Ikana-Nkangamo'!$B$8-E1012</f>
        <v>182</v>
      </c>
      <c r="H1012" s="52" t="n">
        <f aca="false">F1012-E1012</f>
        <v>137.971207189179</v>
      </c>
      <c r="I1012" s="52" t="n">
        <f aca="false">MAX(H1012,G1012)</f>
        <v>182</v>
      </c>
      <c r="J1012" s="4" t="str">
        <f aca="false">IFERROR("PN"&amp;SMALL(PN_list,COUNTIF(PN_list,"&lt;"&amp;I1012*bar_per_m)+1),"&gt; max PN")</f>
        <v>PN25</v>
      </c>
      <c r="K1012" s="4" t="str">
        <f aca="false">IF(L1012="no","end at tank",IF(H1012&lt;0,"NEGATIVE",IF(H1012&lt;p_min-0.005,"low","OK")))</f>
        <v>OK</v>
      </c>
      <c r="L1012" s="4" t="s">
        <v>414</v>
      </c>
    </row>
    <row r="1013" customFormat="false" ht="15" hidden="false" customHeight="false" outlineLevel="0" collapsed="false">
      <c r="A1013" s="4" t="s">
        <v>42</v>
      </c>
      <c r="B1013" s="4" t="s">
        <v>368</v>
      </c>
      <c r="C1013" s="47" t="n">
        <v>29713.4</v>
      </c>
      <c r="D1013" s="48" t="n">
        <v>1486.51</v>
      </c>
      <c r="E1013" s="49" t="n">
        <f aca="false">D1013-cover</f>
        <v>1485.31</v>
      </c>
      <c r="F1013" s="50" t="n">
        <f aca="false">'Z5 Ikana-Nkangamo'!S12-'Z5 Ikana-Nkangamo'!P12*C1013/'Z5 Ikana-Nkangamo'!G12</f>
        <v>1623.90491540737</v>
      </c>
      <c r="G1013" s="51" t="n">
        <f aca="false">'Z5 Ikana-Nkangamo'!$B$8-E1013</f>
        <v>182.69</v>
      </c>
      <c r="H1013" s="52" t="n">
        <f aca="false">F1013-E1013</f>
        <v>138.594915407369</v>
      </c>
      <c r="I1013" s="52" t="n">
        <f aca="false">MAX(H1013,G1013)</f>
        <v>182.69</v>
      </c>
      <c r="J1013" s="4" t="str">
        <f aca="false">IFERROR("PN"&amp;SMALL(PN_list,COUNTIF(PN_list,"&lt;"&amp;I1013*bar_per_m)+1),"&gt; max PN")</f>
        <v>PN25</v>
      </c>
      <c r="K1013" s="4" t="str">
        <f aca="false">IF(L1013="no","end at tank",IF(H1013&lt;0,"NEGATIVE",IF(H1013&lt;p_min-0.005,"low","OK")))</f>
        <v>OK</v>
      </c>
      <c r="L1013" s="4" t="s">
        <v>414</v>
      </c>
    </row>
    <row r="1014" customFormat="false" ht="15" hidden="false" customHeight="false" outlineLevel="0" collapsed="false">
      <c r="A1014" s="4" t="s">
        <v>42</v>
      </c>
      <c r="B1014" s="4" t="s">
        <v>368</v>
      </c>
      <c r="C1014" s="47" t="n">
        <v>29763.4</v>
      </c>
      <c r="D1014" s="48" t="n">
        <v>1485.88</v>
      </c>
      <c r="E1014" s="49" t="n">
        <f aca="false">D1014-cover</f>
        <v>1484.68</v>
      </c>
      <c r="F1014" s="50" t="n">
        <f aca="false">'Z5 Ikana-Nkangamo'!S12-'Z5 Ikana-Nkangamo'!P12*C1014/'Z5 Ikana-Nkangamo'!G12</f>
        <v>1623.83862362556</v>
      </c>
      <c r="G1014" s="51" t="n">
        <f aca="false">'Z5 Ikana-Nkangamo'!$B$8-E1014</f>
        <v>183.32</v>
      </c>
      <c r="H1014" s="52" t="n">
        <f aca="false">F1014-E1014</f>
        <v>139.158623625558</v>
      </c>
      <c r="I1014" s="52" t="n">
        <f aca="false">MAX(H1014,G1014)</f>
        <v>183.32</v>
      </c>
      <c r="J1014" s="4" t="str">
        <f aca="false">IFERROR("PN"&amp;SMALL(PN_list,COUNTIF(PN_list,"&lt;"&amp;I1014*bar_per_m)+1),"&gt; max PN")</f>
        <v>PN25</v>
      </c>
      <c r="K1014" s="4" t="str">
        <f aca="false">IF(L1014="no","end at tank",IF(H1014&lt;0,"NEGATIVE",IF(H1014&lt;p_min-0.005,"low","OK")))</f>
        <v>OK</v>
      </c>
      <c r="L1014" s="4" t="s">
        <v>414</v>
      </c>
    </row>
    <row r="1015" customFormat="false" ht="15" hidden="false" customHeight="false" outlineLevel="0" collapsed="false">
      <c r="A1015" s="4" t="s">
        <v>42</v>
      </c>
      <c r="B1015" s="4" t="s">
        <v>368</v>
      </c>
      <c r="C1015" s="47" t="n">
        <v>29813.41</v>
      </c>
      <c r="D1015" s="48" t="n">
        <v>1486.33</v>
      </c>
      <c r="E1015" s="49" t="n">
        <f aca="false">D1015-cover</f>
        <v>1485.13</v>
      </c>
      <c r="F1015" s="50" t="n">
        <f aca="false">'Z5 Ikana-Nkangamo'!S12-'Z5 Ikana-Nkangamo'!P12*C1015/'Z5 Ikana-Nkangamo'!G12</f>
        <v>1623.77231858539</v>
      </c>
      <c r="G1015" s="51" t="n">
        <f aca="false">'Z5 Ikana-Nkangamo'!$B$8-E1015</f>
        <v>182.87</v>
      </c>
      <c r="H1015" s="52" t="n">
        <f aca="false">F1015-E1015</f>
        <v>138.642318585392</v>
      </c>
      <c r="I1015" s="52" t="n">
        <f aca="false">MAX(H1015,G1015)</f>
        <v>182.87</v>
      </c>
      <c r="J1015" s="4" t="str">
        <f aca="false">IFERROR("PN"&amp;SMALL(PN_list,COUNTIF(PN_list,"&lt;"&amp;I1015*bar_per_m)+1),"&gt; max PN")</f>
        <v>PN25</v>
      </c>
      <c r="K1015" s="4" t="str">
        <f aca="false">IF(L1015="no","end at tank",IF(H1015&lt;0,"NEGATIVE",IF(H1015&lt;p_min-0.005,"low","OK")))</f>
        <v>OK</v>
      </c>
      <c r="L1015" s="4" t="s">
        <v>414</v>
      </c>
    </row>
    <row r="1016" customFormat="false" ht="15" hidden="false" customHeight="false" outlineLevel="0" collapsed="false">
      <c r="A1016" s="4" t="s">
        <v>42</v>
      </c>
      <c r="B1016" s="4" t="s">
        <v>368</v>
      </c>
      <c r="C1016" s="47" t="n">
        <v>29863.41</v>
      </c>
      <c r="D1016" s="48" t="n">
        <v>1486.23</v>
      </c>
      <c r="E1016" s="49" t="n">
        <f aca="false">D1016-cover</f>
        <v>1485.03</v>
      </c>
      <c r="F1016" s="50" t="n">
        <f aca="false">'Z5 Ikana-Nkangamo'!S12-'Z5 Ikana-Nkangamo'!P12*C1016/'Z5 Ikana-Nkangamo'!G12</f>
        <v>1623.70602680358</v>
      </c>
      <c r="G1016" s="51" t="n">
        <f aca="false">'Z5 Ikana-Nkangamo'!$B$8-E1016</f>
        <v>182.97</v>
      </c>
      <c r="H1016" s="52" t="n">
        <f aca="false">F1016-E1016</f>
        <v>138.676026803582</v>
      </c>
      <c r="I1016" s="52" t="n">
        <f aca="false">MAX(H1016,G1016)</f>
        <v>182.97</v>
      </c>
      <c r="J1016" s="4" t="str">
        <f aca="false">IFERROR("PN"&amp;SMALL(PN_list,COUNTIF(PN_list,"&lt;"&amp;I1016*bar_per_m)+1),"&gt; max PN")</f>
        <v>PN25</v>
      </c>
      <c r="K1016" s="4" t="str">
        <f aca="false">IF(L1016="no","end at tank",IF(H1016&lt;0,"NEGATIVE",IF(H1016&lt;p_min-0.005,"low","OK")))</f>
        <v>OK</v>
      </c>
      <c r="L1016" s="4" t="s">
        <v>414</v>
      </c>
    </row>
    <row r="1017" customFormat="false" ht="15" hidden="false" customHeight="false" outlineLevel="0" collapsed="false">
      <c r="A1017" s="4" t="s">
        <v>42</v>
      </c>
      <c r="B1017" s="4" t="s">
        <v>368</v>
      </c>
      <c r="C1017" s="47" t="n">
        <v>29913.41</v>
      </c>
      <c r="D1017" s="48" t="n">
        <v>1485.79</v>
      </c>
      <c r="E1017" s="49" t="n">
        <f aca="false">D1017-cover</f>
        <v>1484.59</v>
      </c>
      <c r="F1017" s="50" t="n">
        <f aca="false">'Z5 Ikana-Nkangamo'!S12-'Z5 Ikana-Nkangamo'!P12*C1017/'Z5 Ikana-Nkangamo'!G12</f>
        <v>1623.63973502177</v>
      </c>
      <c r="G1017" s="51" t="n">
        <f aca="false">'Z5 Ikana-Nkangamo'!$B$8-E1017</f>
        <v>183.41</v>
      </c>
      <c r="H1017" s="52" t="n">
        <f aca="false">F1017-E1017</f>
        <v>139.049735021772</v>
      </c>
      <c r="I1017" s="52" t="n">
        <f aca="false">MAX(H1017,G1017)</f>
        <v>183.41</v>
      </c>
      <c r="J1017" s="4" t="str">
        <f aca="false">IFERROR("PN"&amp;SMALL(PN_list,COUNTIF(PN_list,"&lt;"&amp;I1017*bar_per_m)+1),"&gt; max PN")</f>
        <v>PN25</v>
      </c>
      <c r="K1017" s="4" t="str">
        <f aca="false">IF(L1017="no","end at tank",IF(H1017&lt;0,"NEGATIVE",IF(H1017&lt;p_min-0.005,"low","OK")))</f>
        <v>OK</v>
      </c>
      <c r="L1017" s="4" t="s">
        <v>414</v>
      </c>
    </row>
    <row r="1018" customFormat="false" ht="15" hidden="false" customHeight="false" outlineLevel="0" collapsed="false">
      <c r="A1018" s="4" t="s">
        <v>42</v>
      </c>
      <c r="B1018" s="4" t="s">
        <v>368</v>
      </c>
      <c r="C1018" s="47" t="n">
        <v>29963.42</v>
      </c>
      <c r="D1018" s="48" t="n">
        <v>1486.74</v>
      </c>
      <c r="E1018" s="49" t="n">
        <f aca="false">D1018-cover</f>
        <v>1485.54</v>
      </c>
      <c r="F1018" s="50" t="n">
        <f aca="false">'Z5 Ikana-Nkangamo'!S12-'Z5 Ikana-Nkangamo'!P12*C1018/'Z5 Ikana-Nkangamo'!G12</f>
        <v>1623.57342998161</v>
      </c>
      <c r="G1018" s="51" t="n">
        <f aca="false">'Z5 Ikana-Nkangamo'!$B$8-E1018</f>
        <v>182.46</v>
      </c>
      <c r="H1018" s="52" t="n">
        <f aca="false">F1018-E1018</f>
        <v>138.033429981606</v>
      </c>
      <c r="I1018" s="52" t="n">
        <f aca="false">MAX(H1018,G1018)</f>
        <v>182.46</v>
      </c>
      <c r="J1018" s="4" t="str">
        <f aca="false">IFERROR("PN"&amp;SMALL(PN_list,COUNTIF(PN_list,"&lt;"&amp;I1018*bar_per_m)+1),"&gt; max PN")</f>
        <v>PN25</v>
      </c>
      <c r="K1018" s="4" t="str">
        <f aca="false">IF(L1018="no","end at tank",IF(H1018&lt;0,"NEGATIVE",IF(H1018&lt;p_min-0.005,"low","OK")))</f>
        <v>OK</v>
      </c>
      <c r="L1018" s="4" t="s">
        <v>414</v>
      </c>
    </row>
    <row r="1019" customFormat="false" ht="15" hidden="false" customHeight="false" outlineLevel="0" collapsed="false">
      <c r="A1019" s="4" t="s">
        <v>42</v>
      </c>
      <c r="B1019" s="4" t="s">
        <v>368</v>
      </c>
      <c r="C1019" s="47" t="n">
        <v>30013.42</v>
      </c>
      <c r="D1019" s="48" t="n">
        <v>1486.73</v>
      </c>
      <c r="E1019" s="49" t="n">
        <f aca="false">D1019-cover</f>
        <v>1485.53</v>
      </c>
      <c r="F1019" s="50" t="n">
        <f aca="false">'Z5 Ikana-Nkangamo'!S12-'Z5 Ikana-Nkangamo'!P12*C1019/'Z5 Ikana-Nkangamo'!G12</f>
        <v>1623.5071381998</v>
      </c>
      <c r="G1019" s="51" t="n">
        <f aca="false">'Z5 Ikana-Nkangamo'!$B$8-E1019</f>
        <v>182.47</v>
      </c>
      <c r="H1019" s="52" t="n">
        <f aca="false">F1019-E1019</f>
        <v>137.977138199796</v>
      </c>
      <c r="I1019" s="52" t="n">
        <f aca="false">MAX(H1019,G1019)</f>
        <v>182.47</v>
      </c>
      <c r="J1019" s="4" t="str">
        <f aca="false">IFERROR("PN"&amp;SMALL(PN_list,COUNTIF(PN_list,"&lt;"&amp;I1019*bar_per_m)+1),"&gt; max PN")</f>
        <v>PN25</v>
      </c>
      <c r="K1019" s="4" t="str">
        <f aca="false">IF(L1019="no","end at tank",IF(H1019&lt;0,"NEGATIVE",IF(H1019&lt;p_min-0.005,"low","OK")))</f>
        <v>OK</v>
      </c>
      <c r="L1019" s="4" t="s">
        <v>414</v>
      </c>
    </row>
    <row r="1020" customFormat="false" ht="15" hidden="false" customHeight="false" outlineLevel="0" collapsed="false">
      <c r="A1020" s="4" t="s">
        <v>42</v>
      </c>
      <c r="B1020" s="4" t="s">
        <v>368</v>
      </c>
      <c r="C1020" s="47" t="n">
        <v>30063.42</v>
      </c>
      <c r="D1020" s="48" t="n">
        <v>1487.13</v>
      </c>
      <c r="E1020" s="49" t="n">
        <f aca="false">D1020-cover</f>
        <v>1485.93</v>
      </c>
      <c r="F1020" s="50" t="n">
        <f aca="false">'Z5 Ikana-Nkangamo'!S12-'Z5 Ikana-Nkangamo'!P12*C1020/'Z5 Ikana-Nkangamo'!G12</f>
        <v>1623.44084641799</v>
      </c>
      <c r="G1020" s="51" t="n">
        <f aca="false">'Z5 Ikana-Nkangamo'!$B$8-E1020</f>
        <v>182.07</v>
      </c>
      <c r="H1020" s="52" t="n">
        <f aca="false">F1020-E1020</f>
        <v>137.510846417986</v>
      </c>
      <c r="I1020" s="52" t="n">
        <f aca="false">MAX(H1020,G1020)</f>
        <v>182.07</v>
      </c>
      <c r="J1020" s="4" t="str">
        <f aca="false">IFERROR("PN"&amp;SMALL(PN_list,COUNTIF(PN_list,"&lt;"&amp;I1020*bar_per_m)+1),"&gt; max PN")</f>
        <v>PN25</v>
      </c>
      <c r="K1020" s="4" t="str">
        <f aca="false">IF(L1020="no","end at tank",IF(H1020&lt;0,"NEGATIVE",IF(H1020&lt;p_min-0.005,"low","OK")))</f>
        <v>OK</v>
      </c>
      <c r="L1020" s="4" t="s">
        <v>414</v>
      </c>
    </row>
    <row r="1021" customFormat="false" ht="15" hidden="false" customHeight="false" outlineLevel="0" collapsed="false">
      <c r="A1021" s="4" t="s">
        <v>42</v>
      </c>
      <c r="B1021" s="4" t="s">
        <v>368</v>
      </c>
      <c r="C1021" s="47" t="n">
        <v>30113.42</v>
      </c>
      <c r="D1021" s="48" t="n">
        <v>1487.36</v>
      </c>
      <c r="E1021" s="49" t="n">
        <f aca="false">D1021-cover</f>
        <v>1486.16</v>
      </c>
      <c r="F1021" s="50" t="n">
        <f aca="false">'Z5 Ikana-Nkangamo'!S12-'Z5 Ikana-Nkangamo'!P12*C1021/'Z5 Ikana-Nkangamo'!G12</f>
        <v>1623.37455463618</v>
      </c>
      <c r="G1021" s="51" t="n">
        <f aca="false">'Z5 Ikana-Nkangamo'!$B$8-E1021</f>
        <v>181.84</v>
      </c>
      <c r="H1021" s="52" t="n">
        <f aca="false">F1021-E1021</f>
        <v>137.214554636176</v>
      </c>
      <c r="I1021" s="52" t="n">
        <f aca="false">MAX(H1021,G1021)</f>
        <v>181.84</v>
      </c>
      <c r="J1021" s="4" t="str">
        <f aca="false">IFERROR("PN"&amp;SMALL(PN_list,COUNTIF(PN_list,"&lt;"&amp;I1021*bar_per_m)+1),"&gt; max PN")</f>
        <v>PN25</v>
      </c>
      <c r="K1021" s="4" t="str">
        <f aca="false">IF(L1021="no","end at tank",IF(H1021&lt;0,"NEGATIVE",IF(H1021&lt;p_min-0.005,"low","OK")))</f>
        <v>OK</v>
      </c>
      <c r="L1021" s="4" t="s">
        <v>414</v>
      </c>
    </row>
    <row r="1022" customFormat="false" ht="15" hidden="false" customHeight="false" outlineLevel="0" collapsed="false">
      <c r="A1022" s="4" t="s">
        <v>42</v>
      </c>
      <c r="B1022" s="4" t="s">
        <v>368</v>
      </c>
      <c r="C1022" s="47" t="n">
        <v>30163.42</v>
      </c>
      <c r="D1022" s="48" t="n">
        <v>1486.61</v>
      </c>
      <c r="E1022" s="49" t="n">
        <f aca="false">D1022-cover</f>
        <v>1485.41</v>
      </c>
      <c r="F1022" s="50" t="n">
        <f aca="false">'Z5 Ikana-Nkangamo'!S12-'Z5 Ikana-Nkangamo'!P12*C1022/'Z5 Ikana-Nkangamo'!G12</f>
        <v>1623.30826285437</v>
      </c>
      <c r="G1022" s="51" t="n">
        <f aca="false">'Z5 Ikana-Nkangamo'!$B$8-E1022</f>
        <v>182.59</v>
      </c>
      <c r="H1022" s="52" t="n">
        <f aca="false">F1022-E1022</f>
        <v>137.898262854367</v>
      </c>
      <c r="I1022" s="52" t="n">
        <f aca="false">MAX(H1022,G1022)</f>
        <v>182.59</v>
      </c>
      <c r="J1022" s="4" t="str">
        <f aca="false">IFERROR("PN"&amp;SMALL(PN_list,COUNTIF(PN_list,"&lt;"&amp;I1022*bar_per_m)+1),"&gt; max PN")</f>
        <v>PN25</v>
      </c>
      <c r="K1022" s="4" t="str">
        <f aca="false">IF(L1022="no","end at tank",IF(H1022&lt;0,"NEGATIVE",IF(H1022&lt;p_min-0.005,"low","OK")))</f>
        <v>OK</v>
      </c>
      <c r="L1022" s="4" t="s">
        <v>414</v>
      </c>
    </row>
    <row r="1023" customFormat="false" ht="15" hidden="false" customHeight="false" outlineLevel="0" collapsed="false">
      <c r="A1023" s="4" t="s">
        <v>42</v>
      </c>
      <c r="B1023" s="4" t="s">
        <v>368</v>
      </c>
      <c r="C1023" s="47" t="n">
        <v>30213.43</v>
      </c>
      <c r="D1023" s="48" t="n">
        <v>1486.52</v>
      </c>
      <c r="E1023" s="49" t="n">
        <f aca="false">D1023-cover</f>
        <v>1485.32</v>
      </c>
      <c r="F1023" s="50" t="n">
        <f aca="false">'Z5 Ikana-Nkangamo'!S12-'Z5 Ikana-Nkangamo'!P12*C1023/'Z5 Ikana-Nkangamo'!G12</f>
        <v>1623.2419578142</v>
      </c>
      <c r="G1023" s="51" t="n">
        <f aca="false">'Z5 Ikana-Nkangamo'!$B$8-E1023</f>
        <v>182.68</v>
      </c>
      <c r="H1023" s="52" t="n">
        <f aca="false">F1023-E1023</f>
        <v>137.9219578142</v>
      </c>
      <c r="I1023" s="52" t="n">
        <f aca="false">MAX(H1023,G1023)</f>
        <v>182.68</v>
      </c>
      <c r="J1023" s="4" t="str">
        <f aca="false">IFERROR("PN"&amp;SMALL(PN_list,COUNTIF(PN_list,"&lt;"&amp;I1023*bar_per_m)+1),"&gt; max PN")</f>
        <v>PN25</v>
      </c>
      <c r="K1023" s="4" t="str">
        <f aca="false">IF(L1023="no","end at tank",IF(H1023&lt;0,"NEGATIVE",IF(H1023&lt;p_min-0.005,"low","OK")))</f>
        <v>OK</v>
      </c>
      <c r="L1023" s="4" t="s">
        <v>414</v>
      </c>
    </row>
    <row r="1024" customFormat="false" ht="15" hidden="false" customHeight="false" outlineLevel="0" collapsed="false">
      <c r="A1024" s="4" t="s">
        <v>42</v>
      </c>
      <c r="B1024" s="4" t="s">
        <v>368</v>
      </c>
      <c r="C1024" s="47" t="n">
        <v>30263.43</v>
      </c>
      <c r="D1024" s="48" t="n">
        <v>1486.24</v>
      </c>
      <c r="E1024" s="49" t="n">
        <f aca="false">D1024-cover</f>
        <v>1485.04</v>
      </c>
      <c r="F1024" s="50" t="n">
        <f aca="false">'Z5 Ikana-Nkangamo'!S12-'Z5 Ikana-Nkangamo'!P12*C1024/'Z5 Ikana-Nkangamo'!G12</f>
        <v>1623.17566603239</v>
      </c>
      <c r="G1024" s="51" t="n">
        <f aca="false">'Z5 Ikana-Nkangamo'!$B$8-E1024</f>
        <v>182.96</v>
      </c>
      <c r="H1024" s="52" t="n">
        <f aca="false">F1024-E1024</f>
        <v>138.13566603239</v>
      </c>
      <c r="I1024" s="52" t="n">
        <f aca="false">MAX(H1024,G1024)</f>
        <v>182.96</v>
      </c>
      <c r="J1024" s="4" t="str">
        <f aca="false">IFERROR("PN"&amp;SMALL(PN_list,COUNTIF(PN_list,"&lt;"&amp;I1024*bar_per_m)+1),"&gt; max PN")</f>
        <v>PN25</v>
      </c>
      <c r="K1024" s="4" t="str">
        <f aca="false">IF(L1024="no","end at tank",IF(H1024&lt;0,"NEGATIVE",IF(H1024&lt;p_min-0.005,"low","OK")))</f>
        <v>OK</v>
      </c>
      <c r="L1024" s="4" t="s">
        <v>414</v>
      </c>
    </row>
    <row r="1025" customFormat="false" ht="15" hidden="false" customHeight="false" outlineLevel="0" collapsed="false">
      <c r="A1025" s="4" t="s">
        <v>42</v>
      </c>
      <c r="B1025" s="4" t="s">
        <v>368</v>
      </c>
      <c r="C1025" s="47" t="n">
        <v>30313.43</v>
      </c>
      <c r="D1025" s="48" t="n">
        <v>1485.34</v>
      </c>
      <c r="E1025" s="49" t="n">
        <f aca="false">D1025-cover</f>
        <v>1484.14</v>
      </c>
      <c r="F1025" s="50" t="n">
        <f aca="false">'Z5 Ikana-Nkangamo'!S12-'Z5 Ikana-Nkangamo'!P12*C1025/'Z5 Ikana-Nkangamo'!G12</f>
        <v>1623.10937425058</v>
      </c>
      <c r="G1025" s="51" t="n">
        <f aca="false">'Z5 Ikana-Nkangamo'!$B$8-E1025</f>
        <v>183.86</v>
      </c>
      <c r="H1025" s="52" t="n">
        <f aca="false">F1025-E1025</f>
        <v>138.96937425058</v>
      </c>
      <c r="I1025" s="52" t="n">
        <f aca="false">MAX(H1025,G1025)</f>
        <v>183.86</v>
      </c>
      <c r="J1025" s="4" t="str">
        <f aca="false">IFERROR("PN"&amp;SMALL(PN_list,COUNTIF(PN_list,"&lt;"&amp;I1025*bar_per_m)+1),"&gt; max PN")</f>
        <v>PN25</v>
      </c>
      <c r="K1025" s="4" t="str">
        <f aca="false">IF(L1025="no","end at tank",IF(H1025&lt;0,"NEGATIVE",IF(H1025&lt;p_min-0.005,"low","OK")))</f>
        <v>OK</v>
      </c>
      <c r="L1025" s="4" t="s">
        <v>414</v>
      </c>
    </row>
    <row r="1026" customFormat="false" ht="15" hidden="false" customHeight="false" outlineLevel="0" collapsed="false">
      <c r="A1026" s="4" t="s">
        <v>42</v>
      </c>
      <c r="B1026" s="4" t="s">
        <v>368</v>
      </c>
      <c r="C1026" s="47" t="n">
        <v>30363.45</v>
      </c>
      <c r="D1026" s="48" t="n">
        <v>1483.94</v>
      </c>
      <c r="E1026" s="49" t="n">
        <f aca="false">D1026-cover</f>
        <v>1482.74</v>
      </c>
      <c r="F1026" s="50" t="n">
        <f aca="false">'Z5 Ikana-Nkangamo'!S12-'Z5 Ikana-Nkangamo'!P12*C1026/'Z5 Ikana-Nkangamo'!G12</f>
        <v>1623.04305595206</v>
      </c>
      <c r="G1026" s="51" t="n">
        <f aca="false">'Z5 Ikana-Nkangamo'!$B$8-E1026</f>
        <v>185.26</v>
      </c>
      <c r="H1026" s="52" t="n">
        <f aca="false">F1026-E1026</f>
        <v>140.303055952058</v>
      </c>
      <c r="I1026" s="52" t="n">
        <f aca="false">MAX(H1026,G1026)</f>
        <v>185.26</v>
      </c>
      <c r="J1026" s="4" t="str">
        <f aca="false">IFERROR("PN"&amp;SMALL(PN_list,COUNTIF(PN_list,"&lt;"&amp;I1026*bar_per_m)+1),"&gt; max PN")</f>
        <v>PN25</v>
      </c>
      <c r="K1026" s="4" t="str">
        <f aca="false">IF(L1026="no","end at tank",IF(H1026&lt;0,"NEGATIVE",IF(H1026&lt;p_min-0.005,"low","OK")))</f>
        <v>OK</v>
      </c>
      <c r="L1026" s="4" t="s">
        <v>414</v>
      </c>
    </row>
    <row r="1027" customFormat="false" ht="15" hidden="false" customHeight="false" outlineLevel="0" collapsed="false">
      <c r="A1027" s="4" t="s">
        <v>42</v>
      </c>
      <c r="B1027" s="4" t="s">
        <v>368</v>
      </c>
      <c r="C1027" s="47" t="n">
        <v>30413.28</v>
      </c>
      <c r="D1027" s="48" t="n">
        <v>1483.19</v>
      </c>
      <c r="E1027" s="49" t="n">
        <f aca="false">D1027-cover</f>
        <v>1481.99</v>
      </c>
      <c r="F1027" s="50" t="n">
        <f aca="false">'Z5 Ikana-Nkangamo'!S12-'Z5 Ikana-Nkangamo'!P12*C1027/'Z5 Ikana-Nkangamo'!G12</f>
        <v>1622.97698956231</v>
      </c>
      <c r="G1027" s="51" t="n">
        <f aca="false">'Z5 Ikana-Nkangamo'!$B$8-E1027</f>
        <v>186.01</v>
      </c>
      <c r="H1027" s="52" t="n">
        <f aca="false">F1027-E1027</f>
        <v>140.986989562306</v>
      </c>
      <c r="I1027" s="52" t="n">
        <f aca="false">MAX(H1027,G1027)</f>
        <v>186.01</v>
      </c>
      <c r="J1027" s="4" t="str">
        <f aca="false">IFERROR("PN"&amp;SMALL(PN_list,COUNTIF(PN_list,"&lt;"&amp;I1027*bar_per_m)+1),"&gt; max PN")</f>
        <v>PN25</v>
      </c>
      <c r="K1027" s="4" t="str">
        <f aca="false">IF(L1027="no","end at tank",IF(H1027&lt;0,"NEGATIVE",IF(H1027&lt;p_min-0.005,"low","OK")))</f>
        <v>OK</v>
      </c>
      <c r="L1027" s="4" t="s">
        <v>414</v>
      </c>
    </row>
    <row r="1028" customFormat="false" ht="15" hidden="false" customHeight="false" outlineLevel="0" collapsed="false">
      <c r="A1028" s="4" t="s">
        <v>42</v>
      </c>
      <c r="B1028" s="4" t="s">
        <v>368</v>
      </c>
      <c r="C1028" s="47" t="n">
        <v>30463.28</v>
      </c>
      <c r="D1028" s="48" t="n">
        <v>1483.01</v>
      </c>
      <c r="E1028" s="49" t="n">
        <f aca="false">D1028-cover</f>
        <v>1481.81</v>
      </c>
      <c r="F1028" s="50" t="n">
        <f aca="false">'Z5 Ikana-Nkangamo'!S12-'Z5 Ikana-Nkangamo'!P12*C1028/'Z5 Ikana-Nkangamo'!G12</f>
        <v>1622.9106977805</v>
      </c>
      <c r="G1028" s="51" t="n">
        <f aca="false">'Z5 Ikana-Nkangamo'!$B$8-E1028</f>
        <v>186.19</v>
      </c>
      <c r="H1028" s="52" t="n">
        <f aca="false">F1028-E1028</f>
        <v>141.100697780496</v>
      </c>
      <c r="I1028" s="52" t="n">
        <f aca="false">MAX(H1028,G1028)</f>
        <v>186.19</v>
      </c>
      <c r="J1028" s="4" t="str">
        <f aca="false">IFERROR("PN"&amp;SMALL(PN_list,COUNTIF(PN_list,"&lt;"&amp;I1028*bar_per_m)+1),"&gt; max PN")</f>
        <v>PN25</v>
      </c>
      <c r="K1028" s="4" t="str">
        <f aca="false">IF(L1028="no","end at tank",IF(H1028&lt;0,"NEGATIVE",IF(H1028&lt;p_min-0.005,"low","OK")))</f>
        <v>OK</v>
      </c>
      <c r="L1028" s="4" t="s">
        <v>414</v>
      </c>
    </row>
    <row r="1029" customFormat="false" ht="15" hidden="false" customHeight="false" outlineLevel="0" collapsed="false">
      <c r="A1029" s="4" t="s">
        <v>42</v>
      </c>
      <c r="B1029" s="4" t="s">
        <v>368</v>
      </c>
      <c r="C1029" s="47" t="n">
        <v>30513.32</v>
      </c>
      <c r="D1029" s="48" t="n">
        <v>1481.06</v>
      </c>
      <c r="E1029" s="49" t="n">
        <f aca="false">D1029-cover</f>
        <v>1479.86</v>
      </c>
      <c r="F1029" s="50" t="n">
        <f aca="false">'Z5 Ikana-Nkangamo'!S12-'Z5 Ikana-Nkangamo'!P12*C1029/'Z5 Ikana-Nkangamo'!G12</f>
        <v>1622.84435296526</v>
      </c>
      <c r="G1029" s="51" t="n">
        <f aca="false">'Z5 Ikana-Nkangamo'!$B$8-E1029</f>
        <v>188.14</v>
      </c>
      <c r="H1029" s="52" t="n">
        <f aca="false">F1029-E1029</f>
        <v>142.984352965261</v>
      </c>
      <c r="I1029" s="52" t="n">
        <f aca="false">MAX(H1029,G1029)</f>
        <v>188.14</v>
      </c>
      <c r="J1029" s="4" t="str">
        <f aca="false">IFERROR("PN"&amp;SMALL(PN_list,COUNTIF(PN_list,"&lt;"&amp;I1029*bar_per_m)+1),"&gt; max PN")</f>
        <v>PN25</v>
      </c>
      <c r="K1029" s="4" t="str">
        <f aca="false">IF(L1029="no","end at tank",IF(H1029&lt;0,"NEGATIVE",IF(H1029&lt;p_min-0.005,"low","OK")))</f>
        <v>OK</v>
      </c>
      <c r="L1029" s="4" t="s">
        <v>414</v>
      </c>
    </row>
    <row r="1030" customFormat="false" ht="15" hidden="false" customHeight="false" outlineLevel="0" collapsed="false">
      <c r="A1030" s="4" t="s">
        <v>42</v>
      </c>
      <c r="B1030" s="4" t="s">
        <v>368</v>
      </c>
      <c r="C1030" s="47" t="n">
        <v>30563.35</v>
      </c>
      <c r="D1030" s="48" t="n">
        <v>1479.18</v>
      </c>
      <c r="E1030" s="49" t="n">
        <f aca="false">D1030-cover</f>
        <v>1477.98</v>
      </c>
      <c r="F1030" s="50" t="n">
        <f aca="false">'Z5 Ikana-Nkangamo'!S12-'Z5 Ikana-Nkangamo'!P12*C1030/'Z5 Ikana-Nkangamo'!G12</f>
        <v>1622.77802140838</v>
      </c>
      <c r="G1030" s="51" t="n">
        <f aca="false">'Z5 Ikana-Nkangamo'!$B$8-E1030</f>
        <v>190.02</v>
      </c>
      <c r="H1030" s="52" t="n">
        <f aca="false">F1030-E1030</f>
        <v>144.798021408381</v>
      </c>
      <c r="I1030" s="52" t="n">
        <f aca="false">MAX(H1030,G1030)</f>
        <v>190.02</v>
      </c>
      <c r="J1030" s="4" t="str">
        <f aca="false">IFERROR("PN"&amp;SMALL(PN_list,COUNTIF(PN_list,"&lt;"&amp;I1030*bar_per_m)+1),"&gt; max PN")</f>
        <v>PN25</v>
      </c>
      <c r="K1030" s="4" t="str">
        <f aca="false">IF(L1030="no","end at tank",IF(H1030&lt;0,"NEGATIVE",IF(H1030&lt;p_min-0.005,"low","OK")))</f>
        <v>OK</v>
      </c>
      <c r="L1030" s="4" t="s">
        <v>414</v>
      </c>
    </row>
    <row r="1031" customFormat="false" ht="15" hidden="false" customHeight="false" outlineLevel="0" collapsed="false">
      <c r="A1031" s="4" t="s">
        <v>42</v>
      </c>
      <c r="B1031" s="4" t="s">
        <v>368</v>
      </c>
      <c r="C1031" s="47" t="n">
        <v>30613.38</v>
      </c>
      <c r="D1031" s="48" t="n">
        <v>1477.61</v>
      </c>
      <c r="E1031" s="49" t="n">
        <f aca="false">D1031-cover</f>
        <v>1476.41</v>
      </c>
      <c r="F1031" s="50" t="n">
        <f aca="false">'Z5 Ikana-Nkangamo'!S12-'Z5 Ikana-Nkangamo'!P12*C1031/'Z5 Ikana-Nkangamo'!G12</f>
        <v>1622.7116898515</v>
      </c>
      <c r="G1031" s="51" t="n">
        <f aca="false">'Z5 Ikana-Nkangamo'!$B$8-E1031</f>
        <v>191.59</v>
      </c>
      <c r="H1031" s="52" t="n">
        <f aca="false">F1031-E1031</f>
        <v>146.301689851503</v>
      </c>
      <c r="I1031" s="52" t="n">
        <f aca="false">MAX(H1031,G1031)</f>
        <v>191.59</v>
      </c>
      <c r="J1031" s="4" t="str">
        <f aca="false">IFERROR("PN"&amp;SMALL(PN_list,COUNTIF(PN_list,"&lt;"&amp;I1031*bar_per_m)+1),"&gt; max PN")</f>
        <v>PN25</v>
      </c>
      <c r="K1031" s="4" t="str">
        <f aca="false">IF(L1031="no","end at tank",IF(H1031&lt;0,"NEGATIVE",IF(H1031&lt;p_min-0.005,"low","OK")))</f>
        <v>OK</v>
      </c>
      <c r="L1031" s="4" t="s">
        <v>414</v>
      </c>
    </row>
    <row r="1032" customFormat="false" ht="15" hidden="false" customHeight="false" outlineLevel="0" collapsed="false">
      <c r="A1032" s="4" t="s">
        <v>42</v>
      </c>
      <c r="B1032" s="4" t="s">
        <v>368</v>
      </c>
      <c r="C1032" s="47" t="n">
        <v>30663.42</v>
      </c>
      <c r="D1032" s="48" t="n">
        <v>1475.47</v>
      </c>
      <c r="E1032" s="49" t="n">
        <f aca="false">D1032-cover</f>
        <v>1474.27</v>
      </c>
      <c r="F1032" s="50" t="n">
        <f aca="false">'Z5 Ikana-Nkangamo'!S12-'Z5 Ikana-Nkangamo'!P12*C1032/'Z5 Ikana-Nkangamo'!G12</f>
        <v>1622.64534503627</v>
      </c>
      <c r="G1032" s="51" t="n">
        <f aca="false">'Z5 Ikana-Nkangamo'!$B$8-E1032</f>
        <v>193.73</v>
      </c>
      <c r="H1032" s="52" t="n">
        <f aca="false">F1032-E1032</f>
        <v>148.375345036267</v>
      </c>
      <c r="I1032" s="52" t="n">
        <f aca="false">MAX(H1032,G1032)</f>
        <v>193.73</v>
      </c>
      <c r="J1032" s="4" t="str">
        <f aca="false">IFERROR("PN"&amp;SMALL(PN_list,COUNTIF(PN_list,"&lt;"&amp;I1032*bar_per_m)+1),"&gt; max PN")</f>
        <v>PN25</v>
      </c>
      <c r="K1032" s="4" t="str">
        <f aca="false">IF(L1032="no","end at tank",IF(H1032&lt;0,"NEGATIVE",IF(H1032&lt;p_min-0.005,"low","OK")))</f>
        <v>OK</v>
      </c>
      <c r="L1032" s="4" t="s">
        <v>414</v>
      </c>
    </row>
    <row r="1033" customFormat="false" ht="15" hidden="false" customHeight="false" outlineLevel="0" collapsed="false">
      <c r="A1033" s="4" t="s">
        <v>42</v>
      </c>
      <c r="B1033" s="4" t="s">
        <v>368</v>
      </c>
      <c r="C1033" s="47" t="n">
        <v>30713.49</v>
      </c>
      <c r="D1033" s="48" t="n">
        <v>1472.9</v>
      </c>
      <c r="E1033" s="49" t="n">
        <f aca="false">D1033-cover</f>
        <v>1471.7</v>
      </c>
      <c r="F1033" s="50" t="n">
        <f aca="false">'Z5 Ikana-Nkangamo'!S12-'Z5 Ikana-Nkangamo'!P12*C1033/'Z5 Ikana-Nkangamo'!G12</f>
        <v>1622.57896044596</v>
      </c>
      <c r="G1033" s="51" t="n">
        <f aca="false">'Z5 Ikana-Nkangamo'!$B$8-E1033</f>
        <v>196.3</v>
      </c>
      <c r="H1033" s="52" t="n">
        <f aca="false">F1033-E1033</f>
        <v>150.878960445962</v>
      </c>
      <c r="I1033" s="52" t="n">
        <f aca="false">MAX(H1033,G1033)</f>
        <v>196.3</v>
      </c>
      <c r="J1033" s="4" t="str">
        <f aca="false">IFERROR("PN"&amp;SMALL(PN_list,COUNTIF(PN_list,"&lt;"&amp;I1033*bar_per_m)+1),"&gt; max PN")</f>
        <v>PN25</v>
      </c>
      <c r="K1033" s="4" t="str">
        <f aca="false">IF(L1033="no","end at tank",IF(H1033&lt;0,"NEGATIVE",IF(H1033&lt;p_min-0.005,"low","OK")))</f>
        <v>OK</v>
      </c>
      <c r="L1033" s="4" t="s">
        <v>414</v>
      </c>
    </row>
    <row r="1034" customFormat="false" ht="15" hidden="false" customHeight="false" outlineLevel="0" collapsed="false">
      <c r="A1034" s="4" t="s">
        <v>42</v>
      </c>
      <c r="B1034" s="4" t="s">
        <v>368</v>
      </c>
      <c r="C1034" s="47" t="n">
        <v>30763.56</v>
      </c>
      <c r="D1034" s="48" t="n">
        <v>1470.31</v>
      </c>
      <c r="E1034" s="49" t="n">
        <f aca="false">D1034-cover</f>
        <v>1469.11</v>
      </c>
      <c r="F1034" s="50" t="n">
        <f aca="false">'Z5 Ikana-Nkangamo'!S12-'Z5 Ikana-Nkangamo'!P12*C1034/'Z5 Ikana-Nkangamo'!G12</f>
        <v>1622.51257585566</v>
      </c>
      <c r="G1034" s="51" t="n">
        <f aca="false">'Z5 Ikana-Nkangamo'!$B$8-E1034</f>
        <v>198.89</v>
      </c>
      <c r="H1034" s="52" t="n">
        <f aca="false">F1034-E1034</f>
        <v>153.402575855658</v>
      </c>
      <c r="I1034" s="52" t="n">
        <f aca="false">MAX(H1034,G1034)</f>
        <v>198.89</v>
      </c>
      <c r="J1034" s="4" t="str">
        <f aca="false">IFERROR("PN"&amp;SMALL(PN_list,COUNTIF(PN_list,"&lt;"&amp;I1034*bar_per_m)+1),"&gt; max PN")</f>
        <v>PN25</v>
      </c>
      <c r="K1034" s="4" t="str">
        <f aca="false">IF(L1034="no","end at tank",IF(H1034&lt;0,"NEGATIVE",IF(H1034&lt;p_min-0.005,"low","OK")))</f>
        <v>OK</v>
      </c>
      <c r="L1034" s="4" t="s">
        <v>414</v>
      </c>
    </row>
    <row r="1035" customFormat="false" ht="15" hidden="false" customHeight="false" outlineLevel="0" collapsed="false">
      <c r="A1035" s="4" t="s">
        <v>42</v>
      </c>
      <c r="B1035" s="4" t="s">
        <v>368</v>
      </c>
      <c r="C1035" s="47" t="n">
        <v>30813.58</v>
      </c>
      <c r="D1035" s="48" t="n">
        <v>1468.81</v>
      </c>
      <c r="E1035" s="49" t="n">
        <f aca="false">D1035-cover</f>
        <v>1467.61</v>
      </c>
      <c r="F1035" s="50" t="n">
        <f aca="false">'Z5 Ikana-Nkangamo'!S12-'Z5 Ikana-Nkangamo'!P12*C1035/'Z5 Ikana-Nkangamo'!G12</f>
        <v>1622.44625755714</v>
      </c>
      <c r="G1035" s="51" t="n">
        <f aca="false">'Z5 Ikana-Nkangamo'!$B$8-E1035</f>
        <v>200.39</v>
      </c>
      <c r="H1035" s="52" t="n">
        <f aca="false">F1035-E1035</f>
        <v>154.836257557135</v>
      </c>
      <c r="I1035" s="52" t="n">
        <f aca="false">MAX(H1035,G1035)</f>
        <v>200.39</v>
      </c>
      <c r="J1035" s="4" t="str">
        <f aca="false">IFERROR("PN"&amp;SMALL(PN_list,COUNTIF(PN_list,"&lt;"&amp;I1035*bar_per_m)+1),"&gt; max PN")</f>
        <v>PN25</v>
      </c>
      <c r="K1035" s="4" t="str">
        <f aca="false">IF(L1035="no","end at tank",IF(H1035&lt;0,"NEGATIVE",IF(H1035&lt;p_min-0.005,"low","OK")))</f>
        <v>OK</v>
      </c>
      <c r="L1035" s="4" t="s">
        <v>414</v>
      </c>
    </row>
    <row r="1036" customFormat="false" ht="15" hidden="false" customHeight="false" outlineLevel="0" collapsed="false">
      <c r="A1036" s="4" t="s">
        <v>42</v>
      </c>
      <c r="B1036" s="4" t="s">
        <v>368</v>
      </c>
      <c r="C1036" s="47" t="n">
        <v>30863.67</v>
      </c>
      <c r="D1036" s="48" t="n">
        <v>1465.72</v>
      </c>
      <c r="E1036" s="49" t="n">
        <f aca="false">D1036-cover</f>
        <v>1464.52</v>
      </c>
      <c r="F1036" s="50" t="n">
        <f aca="false">'Z5 Ikana-Nkangamo'!S12-'Z5 Ikana-Nkangamo'!P12*C1036/'Z5 Ikana-Nkangamo'!G12</f>
        <v>1622.37984645012</v>
      </c>
      <c r="G1036" s="51" t="n">
        <f aca="false">'Z5 Ikana-Nkangamo'!$B$8-E1036</f>
        <v>203.48</v>
      </c>
      <c r="H1036" s="52" t="n">
        <f aca="false">F1036-E1036</f>
        <v>157.859846450118</v>
      </c>
      <c r="I1036" s="52" t="n">
        <f aca="false">MAX(H1036,G1036)</f>
        <v>203.48</v>
      </c>
      <c r="J1036" s="4" t="str">
        <f aca="false">IFERROR("PN"&amp;SMALL(PN_list,COUNTIF(PN_list,"&lt;"&amp;I1036*bar_per_m)+1),"&gt; max PN")</f>
        <v>PN25</v>
      </c>
      <c r="K1036" s="4" t="str">
        <f aca="false">IF(L1036="no","end at tank",IF(H1036&lt;0,"NEGATIVE",IF(H1036&lt;p_min-0.005,"low","OK")))</f>
        <v>OK</v>
      </c>
      <c r="L1036" s="4" t="s">
        <v>414</v>
      </c>
    </row>
    <row r="1037" customFormat="false" ht="15" hidden="false" customHeight="false" outlineLevel="0" collapsed="false">
      <c r="A1037" s="4" t="s">
        <v>42</v>
      </c>
      <c r="B1037" s="4" t="s">
        <v>368</v>
      </c>
      <c r="C1037" s="47" t="n">
        <v>30913.75</v>
      </c>
      <c r="D1037" s="48" t="n">
        <v>1462.91</v>
      </c>
      <c r="E1037" s="49" t="n">
        <f aca="false">D1037-cover</f>
        <v>1461.71</v>
      </c>
      <c r="F1037" s="50" t="n">
        <f aca="false">'Z5 Ikana-Nkangamo'!S12-'Z5 Ikana-Nkangamo'!P12*C1037/'Z5 Ikana-Nkangamo'!G12</f>
        <v>1622.31344860146</v>
      </c>
      <c r="G1037" s="51" t="n">
        <f aca="false">'Z5 Ikana-Nkangamo'!$B$8-E1037</f>
        <v>206.29</v>
      </c>
      <c r="H1037" s="52" t="n">
        <f aca="false">F1037-E1037</f>
        <v>160.603448601457</v>
      </c>
      <c r="I1037" s="52" t="n">
        <f aca="false">MAX(H1037,G1037)</f>
        <v>206.29</v>
      </c>
      <c r="J1037" s="4" t="str">
        <f aca="false">IFERROR("PN"&amp;SMALL(PN_list,COUNTIF(PN_list,"&lt;"&amp;I1037*bar_per_m)+1),"&gt; max PN")</f>
        <v>PN25</v>
      </c>
      <c r="K1037" s="4" t="str">
        <f aca="false">IF(L1037="no","end at tank",IF(H1037&lt;0,"NEGATIVE",IF(H1037&lt;p_min-0.005,"low","OK")))</f>
        <v>OK</v>
      </c>
      <c r="L1037" s="4" t="s">
        <v>414</v>
      </c>
    </row>
    <row r="1038" customFormat="false" ht="15" hidden="false" customHeight="false" outlineLevel="0" collapsed="false">
      <c r="A1038" s="4" t="s">
        <v>42</v>
      </c>
      <c r="B1038" s="4" t="s">
        <v>368</v>
      </c>
      <c r="C1038" s="47" t="n">
        <v>30963.94</v>
      </c>
      <c r="D1038" s="48" t="n">
        <v>1458.62</v>
      </c>
      <c r="E1038" s="49" t="n">
        <f aca="false">D1038-cover</f>
        <v>1457.42</v>
      </c>
      <c r="F1038" s="50" t="n">
        <f aca="false">'Z5 Ikana-Nkangamo'!S12-'Z5 Ikana-Nkangamo'!P12*C1038/'Z5 Ikana-Nkangamo'!G12</f>
        <v>1622.24690491088</v>
      </c>
      <c r="G1038" s="51" t="n">
        <f aca="false">'Z5 Ikana-Nkangamo'!$B$8-E1038</f>
        <v>210.58</v>
      </c>
      <c r="H1038" s="52" t="n">
        <f aca="false">F1038-E1038</f>
        <v>164.826904910876</v>
      </c>
      <c r="I1038" s="52" t="n">
        <f aca="false">MAX(H1038,G1038)</f>
        <v>210.58</v>
      </c>
      <c r="J1038" s="4" t="str">
        <f aca="false">IFERROR("PN"&amp;SMALL(PN_list,COUNTIF(PN_list,"&lt;"&amp;I1038*bar_per_m)+1),"&gt; max PN")</f>
        <v>PN25</v>
      </c>
      <c r="K1038" s="4" t="str">
        <f aca="false">IF(L1038="no","end at tank",IF(H1038&lt;0,"NEGATIVE",IF(H1038&lt;p_min-0.005,"low","OK")))</f>
        <v>OK</v>
      </c>
      <c r="L1038" s="4" t="s">
        <v>414</v>
      </c>
    </row>
    <row r="1039" customFormat="false" ht="15" hidden="false" customHeight="false" outlineLevel="0" collapsed="false">
      <c r="A1039" s="4" t="s">
        <v>42</v>
      </c>
      <c r="B1039" s="4" t="s">
        <v>368</v>
      </c>
      <c r="C1039" s="47" t="n">
        <v>31014.01</v>
      </c>
      <c r="D1039" s="48" t="n">
        <v>1455.93</v>
      </c>
      <c r="E1039" s="49" t="n">
        <f aca="false">D1039-cover</f>
        <v>1454.73</v>
      </c>
      <c r="F1039" s="50" t="n">
        <f aca="false">'Z5 Ikana-Nkangamo'!S12-'Z5 Ikana-Nkangamo'!P12*C1039/'Z5 Ikana-Nkangamo'!G12</f>
        <v>1622.18052032057</v>
      </c>
      <c r="G1039" s="51" t="n">
        <f aca="false">'Z5 Ikana-Nkangamo'!$B$8-E1039</f>
        <v>213.27</v>
      </c>
      <c r="H1039" s="52" t="n">
        <f aca="false">F1039-E1039</f>
        <v>167.450520320572</v>
      </c>
      <c r="I1039" s="52" t="n">
        <f aca="false">MAX(H1039,G1039)</f>
        <v>213.27</v>
      </c>
      <c r="J1039" s="4" t="str">
        <f aca="false">IFERROR("PN"&amp;SMALL(PN_list,COUNTIF(PN_list,"&lt;"&amp;I1039*bar_per_m)+1),"&gt; max PN")</f>
        <v>PN25</v>
      </c>
      <c r="K1039" s="4" t="str">
        <f aca="false">IF(L1039="no","end at tank",IF(H1039&lt;0,"NEGATIVE",IF(H1039&lt;p_min-0.005,"low","OK")))</f>
        <v>OK</v>
      </c>
      <c r="L1039" s="4" t="s">
        <v>414</v>
      </c>
    </row>
    <row r="1040" customFormat="false" ht="15" hidden="false" customHeight="false" outlineLevel="0" collapsed="false">
      <c r="A1040" s="4" t="s">
        <v>42</v>
      </c>
      <c r="B1040" s="4" t="s">
        <v>368</v>
      </c>
      <c r="C1040" s="47" t="n">
        <v>31064.27</v>
      </c>
      <c r="D1040" s="48" t="n">
        <v>1450.82</v>
      </c>
      <c r="E1040" s="49" t="n">
        <f aca="false">D1040-cover</f>
        <v>1449.62</v>
      </c>
      <c r="F1040" s="50" t="n">
        <f aca="false">'Z5 Ikana-Nkangamo'!S12-'Z5 Ikana-Nkangamo'!P12*C1040/'Z5 Ikana-Nkangamo'!G12</f>
        <v>1622.1138838215</v>
      </c>
      <c r="G1040" s="51" t="n">
        <f aca="false">'Z5 Ikana-Nkangamo'!$B$8-E1040</f>
        <v>218.38</v>
      </c>
      <c r="H1040" s="52" t="n">
        <f aca="false">F1040-E1040</f>
        <v>172.493883821497</v>
      </c>
      <c r="I1040" s="52" t="n">
        <f aca="false">MAX(H1040,G1040)</f>
        <v>218.38</v>
      </c>
      <c r="J1040" s="4" t="str">
        <f aca="false">IFERROR("PN"&amp;SMALL(PN_list,COUNTIF(PN_list,"&lt;"&amp;I1040*bar_per_m)+1),"&gt; max PN")</f>
        <v>PN25</v>
      </c>
      <c r="K1040" s="4" t="str">
        <f aca="false">IF(L1040="no","end at tank",IF(H1040&lt;0,"NEGATIVE",IF(H1040&lt;p_min-0.005,"low","OK")))</f>
        <v>OK</v>
      </c>
      <c r="L1040" s="4" t="s">
        <v>414</v>
      </c>
    </row>
    <row r="1041" customFormat="false" ht="15" hidden="false" customHeight="false" outlineLevel="0" collapsed="false">
      <c r="A1041" s="4" t="s">
        <v>42</v>
      </c>
      <c r="B1041" s="4" t="s">
        <v>368</v>
      </c>
      <c r="C1041" s="47" t="n">
        <v>31114.29</v>
      </c>
      <c r="D1041" s="48" t="n">
        <v>1452.27</v>
      </c>
      <c r="E1041" s="49" t="n">
        <f aca="false">D1041-cover</f>
        <v>1451.07</v>
      </c>
      <c r="F1041" s="50" t="n">
        <f aca="false">'Z5 Ikana-Nkangamo'!S12-'Z5 Ikana-Nkangamo'!P12*C1041/'Z5 Ikana-Nkangamo'!G12</f>
        <v>1622.04756552297</v>
      </c>
      <c r="G1041" s="51" t="n">
        <f aca="false">'Z5 Ikana-Nkangamo'!$B$8-E1041</f>
        <v>216.93</v>
      </c>
      <c r="H1041" s="52" t="n">
        <f aca="false">F1041-E1041</f>
        <v>170.977565522974</v>
      </c>
      <c r="I1041" s="52" t="n">
        <f aca="false">MAX(H1041,G1041)</f>
        <v>216.93</v>
      </c>
      <c r="J1041" s="4" t="str">
        <f aca="false">IFERROR("PN"&amp;SMALL(PN_list,COUNTIF(PN_list,"&lt;"&amp;I1041*bar_per_m)+1),"&gt; max PN")</f>
        <v>PN25</v>
      </c>
      <c r="K1041" s="4" t="str">
        <f aca="false">IF(L1041="no","end at tank",IF(H1041&lt;0,"NEGATIVE",IF(H1041&lt;p_min-0.005,"low","OK")))</f>
        <v>OK</v>
      </c>
      <c r="L1041" s="4" t="s">
        <v>414</v>
      </c>
    </row>
    <row r="1042" customFormat="false" ht="15" hidden="false" customHeight="false" outlineLevel="0" collapsed="false">
      <c r="A1042" s="4" t="s">
        <v>42</v>
      </c>
      <c r="B1042" s="4" t="s">
        <v>368</v>
      </c>
      <c r="C1042" s="47" t="n">
        <v>31164.44</v>
      </c>
      <c r="D1042" s="48" t="n">
        <v>1456.1</v>
      </c>
      <c r="E1042" s="49" t="n">
        <f aca="false">D1042-cover</f>
        <v>1454.9</v>
      </c>
      <c r="F1042" s="50" t="n">
        <f aca="false">'Z5 Ikana-Nkangamo'!S12-'Z5 Ikana-Nkangamo'!P12*C1042/'Z5 Ikana-Nkangamo'!G12</f>
        <v>1621.98107486582</v>
      </c>
      <c r="G1042" s="51" t="n">
        <f aca="false">'Z5 Ikana-Nkangamo'!$B$8-E1042</f>
        <v>213.1</v>
      </c>
      <c r="H1042" s="52" t="n">
        <f aca="false">F1042-E1042</f>
        <v>167.081074865819</v>
      </c>
      <c r="I1042" s="52" t="n">
        <f aca="false">MAX(H1042,G1042)</f>
        <v>213.1</v>
      </c>
      <c r="J1042" s="4" t="str">
        <f aca="false">IFERROR("PN"&amp;SMALL(PN_list,COUNTIF(PN_list,"&lt;"&amp;I1042*bar_per_m)+1),"&gt; max PN")</f>
        <v>PN25</v>
      </c>
      <c r="K1042" s="4" t="str">
        <f aca="false">IF(L1042="no","end at tank",IF(H1042&lt;0,"NEGATIVE",IF(H1042&lt;p_min-0.005,"low","OK")))</f>
        <v>OK</v>
      </c>
      <c r="L1042" s="4" t="s">
        <v>414</v>
      </c>
    </row>
    <row r="1043" customFormat="false" ht="15" hidden="false" customHeight="false" outlineLevel="0" collapsed="false">
      <c r="A1043" s="4" t="s">
        <v>42</v>
      </c>
      <c r="B1043" s="4" t="s">
        <v>368</v>
      </c>
      <c r="C1043" s="47" t="n">
        <v>31214.49</v>
      </c>
      <c r="D1043" s="48" t="n">
        <v>1458.46</v>
      </c>
      <c r="E1043" s="49" t="n">
        <f aca="false">D1043-cover</f>
        <v>1457.26</v>
      </c>
      <c r="F1043" s="50" t="n">
        <f aca="false">'Z5 Ikana-Nkangamo'!S12-'Z5 Ikana-Nkangamo'!P12*C1043/'Z5 Ikana-Nkangamo'!G12</f>
        <v>1621.91471679223</v>
      </c>
      <c r="G1043" s="51" t="n">
        <f aca="false">'Z5 Ikana-Nkangamo'!$B$8-E1043</f>
        <v>210.74</v>
      </c>
      <c r="H1043" s="52" t="n">
        <f aca="false">F1043-E1043</f>
        <v>164.654716792227</v>
      </c>
      <c r="I1043" s="52" t="n">
        <f aca="false">MAX(H1043,G1043)</f>
        <v>210.74</v>
      </c>
      <c r="J1043" s="4" t="str">
        <f aca="false">IFERROR("PN"&amp;SMALL(PN_list,COUNTIF(PN_list,"&lt;"&amp;I1043*bar_per_m)+1),"&gt; max PN")</f>
        <v>PN25</v>
      </c>
      <c r="K1043" s="4" t="str">
        <f aca="false">IF(L1043="no","end at tank",IF(H1043&lt;0,"NEGATIVE",IF(H1043&lt;p_min-0.005,"low","OK")))</f>
        <v>OK</v>
      </c>
      <c r="L1043" s="4" t="s">
        <v>414</v>
      </c>
    </row>
    <row r="1044" customFormat="false" ht="15" hidden="false" customHeight="false" outlineLevel="0" collapsed="false">
      <c r="A1044" s="4" t="s">
        <v>42</v>
      </c>
      <c r="B1044" s="4" t="s">
        <v>368</v>
      </c>
      <c r="C1044" s="47" t="n">
        <v>31264.56</v>
      </c>
      <c r="D1044" s="48" t="n">
        <v>1461.02</v>
      </c>
      <c r="E1044" s="49" t="n">
        <f aca="false">D1044-cover</f>
        <v>1459.82</v>
      </c>
      <c r="F1044" s="50" t="n">
        <f aca="false">'Z5 Ikana-Nkangamo'!S12-'Z5 Ikana-Nkangamo'!P12*C1044/'Z5 Ikana-Nkangamo'!G12</f>
        <v>1621.84833220192</v>
      </c>
      <c r="G1044" s="51" t="n">
        <f aca="false">'Z5 Ikana-Nkangamo'!$B$8-E1044</f>
        <v>208.18</v>
      </c>
      <c r="H1044" s="52" t="n">
        <f aca="false">F1044-E1044</f>
        <v>162.028332201922</v>
      </c>
      <c r="I1044" s="52" t="n">
        <f aca="false">MAX(H1044,G1044)</f>
        <v>208.18</v>
      </c>
      <c r="J1044" s="4" t="str">
        <f aca="false">IFERROR("PN"&amp;SMALL(PN_list,COUNTIF(PN_list,"&lt;"&amp;I1044*bar_per_m)+1),"&gt; max PN")</f>
        <v>PN25</v>
      </c>
      <c r="K1044" s="4" t="str">
        <f aca="false">IF(L1044="no","end at tank",IF(H1044&lt;0,"NEGATIVE",IF(H1044&lt;p_min-0.005,"low","OK")))</f>
        <v>OK</v>
      </c>
      <c r="L1044" s="4" t="s">
        <v>414</v>
      </c>
    </row>
    <row r="1045" customFormat="false" ht="15" hidden="false" customHeight="false" outlineLevel="0" collapsed="false">
      <c r="A1045" s="4" t="s">
        <v>42</v>
      </c>
      <c r="B1045" s="4" t="s">
        <v>368</v>
      </c>
      <c r="C1045" s="47" t="n">
        <v>31314.74</v>
      </c>
      <c r="D1045" s="48" t="n">
        <v>1465.32</v>
      </c>
      <c r="E1045" s="49" t="n">
        <f aca="false">D1045-cover</f>
        <v>1464.12</v>
      </c>
      <c r="F1045" s="50" t="n">
        <f aca="false">'Z5 Ikana-Nkangamo'!S12-'Z5 Ikana-Nkangamo'!P12*C1045/'Z5 Ikana-Nkangamo'!G12</f>
        <v>1621.7818017697</v>
      </c>
      <c r="G1045" s="51" t="n">
        <f aca="false">'Z5 Ikana-Nkangamo'!$B$8-E1045</f>
        <v>203.88</v>
      </c>
      <c r="H1045" s="52" t="n">
        <f aca="false">F1045-E1045</f>
        <v>157.661801769698</v>
      </c>
      <c r="I1045" s="52" t="n">
        <f aca="false">MAX(H1045,G1045)</f>
        <v>203.88</v>
      </c>
      <c r="J1045" s="4" t="str">
        <f aca="false">IFERROR("PN"&amp;SMALL(PN_list,COUNTIF(PN_list,"&lt;"&amp;I1045*bar_per_m)+1),"&gt; max PN")</f>
        <v>PN25</v>
      </c>
      <c r="K1045" s="4" t="str">
        <f aca="false">IF(L1045="no","end at tank",IF(H1045&lt;0,"NEGATIVE",IF(H1045&lt;p_min-0.005,"low","OK")))</f>
        <v>OK</v>
      </c>
      <c r="L1045" s="4" t="s">
        <v>414</v>
      </c>
    </row>
    <row r="1046" customFormat="false" ht="15" hidden="false" customHeight="false" outlineLevel="0" collapsed="false">
      <c r="A1046" s="4" t="s">
        <v>42</v>
      </c>
      <c r="B1046" s="4" t="s">
        <v>368</v>
      </c>
      <c r="C1046" s="47" t="n">
        <v>31364.89</v>
      </c>
      <c r="D1046" s="48" t="n">
        <v>1469.15</v>
      </c>
      <c r="E1046" s="49" t="n">
        <f aca="false">D1046-cover</f>
        <v>1467.95</v>
      </c>
      <c r="F1046" s="50" t="n">
        <f aca="false">'Z5 Ikana-Nkangamo'!S12-'Z5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lse">F1046-E1046</f>
        <v>153.765311112542</v>
      </c>
      <c r="I1046" s="52" t="n">
        <f aca="false">MAX(H1046,G1046)</f>
        <v>200.05</v>
      </c>
      <c r="J1046" s="4" t="str">
        <f aca="false">IFERROR("PN"&amp;SMALL(PN_list,COUNTIF(PN_list,"&lt;"&amp;I1046*bar_per_m)+1),"&gt; max PN")</f>
        <v>PN25</v>
      </c>
      <c r="K1046" s="4" t="str">
        <f aca="false">IF(L1046="no","end at tank",IF(H1046&lt;0,"NEGATIVE",IF(H1046&lt;p_min-0.005,"low","OK")))</f>
        <v>OK</v>
      </c>
      <c r="L1046" s="4" t="s">
        <v>414</v>
      </c>
    </row>
    <row r="1047" customFormat="false" ht="15" hidden="false" customHeight="false" outlineLevel="0" collapsed="false">
      <c r="A1047" s="4" t="s">
        <v>42</v>
      </c>
      <c r="B1047" s="4" t="s">
        <v>368</v>
      </c>
      <c r="C1047" s="47" t="n">
        <v>31415.03</v>
      </c>
      <c r="D1047" s="48" t="n">
        <v>1472.97</v>
      </c>
      <c r="E1047" s="49" t="n">
        <f aca="false">D1047-cover</f>
        <v>1471.77</v>
      </c>
      <c r="F1047" s="50" t="n">
        <f aca="false">'Z5 Ikana-Nkangamo'!S12-'Z5 Ikana-Nkangamo'!P12*C1047/'Z5 Ikana-Nkangamo'!G12</f>
        <v>1621.64883371374</v>
      </c>
      <c r="G1047" s="51" t="n">
        <f aca="false">'Z5 Ikana-Nkangamo'!$B$8-E1047</f>
        <v>196.23</v>
      </c>
      <c r="H1047" s="52" t="n">
        <f aca="false">F1047-E1047</f>
        <v>149.878833713743</v>
      </c>
      <c r="I1047" s="52" t="n">
        <f aca="false">MAX(H1047,G1047)</f>
        <v>196.23</v>
      </c>
      <c r="J1047" s="4" t="str">
        <f aca="false">IFERROR("PN"&amp;SMALL(PN_list,COUNTIF(PN_list,"&lt;"&amp;I1047*bar_per_m)+1),"&gt; max PN")</f>
        <v>PN25</v>
      </c>
      <c r="K1047" s="4" t="str">
        <f aca="false">IF(L1047="no","end at tank",IF(H1047&lt;0,"NEGATIVE",IF(H1047&lt;p_min-0.005,"low","OK")))</f>
        <v>OK</v>
      </c>
      <c r="L1047" s="4" t="s">
        <v>414</v>
      </c>
    </row>
    <row r="1048" customFormat="false" ht="15" hidden="false" customHeight="false" outlineLevel="0" collapsed="false">
      <c r="A1048" s="4" t="s">
        <v>42</v>
      </c>
      <c r="B1048" s="4" t="s">
        <v>368</v>
      </c>
      <c r="C1048" s="47" t="n">
        <v>31465.2</v>
      </c>
      <c r="D1048" s="48" t="n">
        <v>1477</v>
      </c>
      <c r="E1048" s="49" t="n">
        <f aca="false">D1048-cover</f>
        <v>1475.8</v>
      </c>
      <c r="F1048" s="50" t="n">
        <f aca="false">'Z5 Ikana-Nkangamo'!S12-'Z5 Ikana-Nkangamo'!P12*C1048/'Z5 Ikana-Nkangamo'!G12</f>
        <v>1621.58231653988</v>
      </c>
      <c r="G1048" s="51" t="n">
        <f aca="false">'Z5 Ikana-Nkangamo'!$B$8-E1048</f>
        <v>192.2</v>
      </c>
      <c r="H1048" s="52" t="n">
        <f aca="false">F1048-E1048</f>
        <v>145.782316539875</v>
      </c>
      <c r="I1048" s="52" t="n">
        <f aca="false">MAX(H1048,G1048)</f>
        <v>192.2</v>
      </c>
      <c r="J1048" s="4" t="str">
        <f aca="false">IFERROR("PN"&amp;SMALL(PN_list,COUNTIF(PN_list,"&lt;"&amp;I1048*bar_per_m)+1),"&gt; max PN")</f>
        <v>PN25</v>
      </c>
      <c r="K1048" s="4" t="str">
        <f aca="false">IF(L1048="no","end at tank",IF(H1048&lt;0,"NEGATIVE",IF(H1048&lt;p_min-0.005,"low","OK")))</f>
        <v>OK</v>
      </c>
      <c r="L1048" s="4" t="s">
        <v>414</v>
      </c>
    </row>
    <row r="1049" customFormat="false" ht="15" hidden="false" customHeight="false" outlineLevel="0" collapsed="false">
      <c r="A1049" s="4" t="s">
        <v>42</v>
      </c>
      <c r="B1049" s="4" t="s">
        <v>368</v>
      </c>
      <c r="C1049" s="47" t="n">
        <v>31515.32</v>
      </c>
      <c r="D1049" s="48" t="n">
        <v>1480.56</v>
      </c>
      <c r="E1049" s="49" t="n">
        <f aca="false">D1049-cover</f>
        <v>1479.36</v>
      </c>
      <c r="F1049" s="50" t="n">
        <f aca="false">'Z5 Ikana-Nkangamo'!S12-'Z5 Ikana-Nkangamo'!P12*C1049/'Z5 Ikana-Nkangamo'!G12</f>
        <v>1621.51586565779</v>
      </c>
      <c r="G1049" s="51" t="n">
        <f aca="false">'Z5 Ikana-Nkangamo'!$B$8-E1049</f>
        <v>188.64</v>
      </c>
      <c r="H1049" s="52" t="n">
        <f aca="false">F1049-E1049</f>
        <v>142.155865657789</v>
      </c>
      <c r="I1049" s="52" t="n">
        <f aca="false">MAX(H1049,G1049)</f>
        <v>188.64</v>
      </c>
      <c r="J1049" s="4" t="str">
        <f aca="false">IFERROR("PN"&amp;SMALL(PN_list,COUNTIF(PN_list,"&lt;"&amp;I1049*bar_per_m)+1),"&gt; max PN")</f>
        <v>PN25</v>
      </c>
      <c r="K1049" s="4" t="str">
        <f aca="false">IF(L1049="no","end at tank",IF(H1049&lt;0,"NEGATIVE",IF(H1049&lt;p_min-0.005,"low","OK")))</f>
        <v>OK</v>
      </c>
      <c r="L1049" s="4" t="s">
        <v>414</v>
      </c>
    </row>
    <row r="1050" customFormat="false" ht="15" hidden="false" customHeight="false" outlineLevel="0" collapsed="false">
      <c r="A1050" s="4" t="s">
        <v>42</v>
      </c>
      <c r="B1050" s="4" t="s">
        <v>368</v>
      </c>
      <c r="C1050" s="47" t="n">
        <v>31565.38</v>
      </c>
      <c r="D1050" s="48" t="n">
        <v>1482.91</v>
      </c>
      <c r="E1050" s="49" t="n">
        <f aca="false">D1050-cover</f>
        <v>1481.71</v>
      </c>
      <c r="F1050" s="50" t="n">
        <f aca="false">'Z5 Ikana-Nkangamo'!S12-'Z5 Ikana-Nkangamo'!P12*C1050/'Z5 Ikana-Nkangamo'!G12</f>
        <v>1621.44949432584</v>
      </c>
      <c r="G1050" s="51" t="n">
        <f aca="false">'Z5 Ikana-Nkangamo'!$B$8-E1050</f>
        <v>186.29</v>
      </c>
      <c r="H1050" s="52" t="n">
        <f aca="false">F1050-E1050</f>
        <v>139.739494325841</v>
      </c>
      <c r="I1050" s="52" t="n">
        <f aca="false">MAX(H1050,G1050)</f>
        <v>186.29</v>
      </c>
      <c r="J1050" s="4" t="str">
        <f aca="false">IFERROR("PN"&amp;SMALL(PN_list,COUNTIF(PN_list,"&lt;"&amp;I1050*bar_per_m)+1),"&gt; max PN")</f>
        <v>PN25</v>
      </c>
      <c r="K1050" s="4" t="str">
        <f aca="false">IF(L1050="no","end at tank",IF(H1050&lt;0,"NEGATIVE",IF(H1050&lt;p_min-0.005,"low","OK")))</f>
        <v>OK</v>
      </c>
      <c r="L1050" s="4" t="s">
        <v>414</v>
      </c>
    </row>
    <row r="1051" customFormat="false" ht="15" hidden="false" customHeight="false" outlineLevel="0" collapsed="false">
      <c r="A1051" s="4" t="s">
        <v>42</v>
      </c>
      <c r="B1051" s="4" t="s">
        <v>368</v>
      </c>
      <c r="C1051" s="47" t="n">
        <v>31615.49</v>
      </c>
      <c r="D1051" s="48" t="n">
        <v>1486.2</v>
      </c>
      <c r="E1051" s="49" t="n">
        <f aca="false">D1051-cover</f>
        <v>1485</v>
      </c>
      <c r="F1051" s="50" t="n">
        <f aca="false">'Z5 Ikana-Nkangamo'!S12-'Z5 Ikana-Nkangamo'!P12*C1051/'Z5 Ikana-Nkangamo'!G12</f>
        <v>1621.38305670211</v>
      </c>
      <c r="G1051" s="51" t="n">
        <f aca="false">'Z5 Ikana-Nkangamo'!$B$8-E1051</f>
        <v>183</v>
      </c>
      <c r="H1051" s="52" t="n">
        <f aca="false">F1051-E1051</f>
        <v>136.383056702111</v>
      </c>
      <c r="I1051" s="52" t="n">
        <f aca="false">MAX(H1051,G1051)</f>
        <v>183</v>
      </c>
      <c r="J1051" s="4" t="str">
        <f aca="false">IFERROR("PN"&amp;SMALL(PN_list,COUNTIF(PN_list,"&lt;"&amp;I1051*bar_per_m)+1),"&gt; max PN")</f>
        <v>PN25</v>
      </c>
      <c r="K1051" s="4" t="str">
        <f aca="false">IF(L1051="no","end at tank",IF(H1051&lt;0,"NEGATIVE",IF(H1051&lt;p_min-0.005,"low","OK")))</f>
        <v>OK</v>
      </c>
      <c r="L1051" s="4" t="s">
        <v>414</v>
      </c>
    </row>
    <row r="1052" customFormat="false" ht="15" hidden="false" customHeight="false" outlineLevel="0" collapsed="false">
      <c r="A1052" s="4" t="s">
        <v>42</v>
      </c>
      <c r="B1052" s="4" t="s">
        <v>368</v>
      </c>
      <c r="C1052" s="47" t="n">
        <v>31665.6</v>
      </c>
      <c r="D1052" s="48" t="n">
        <v>1489.61</v>
      </c>
      <c r="E1052" s="49" t="n">
        <f aca="false">D1052-cover</f>
        <v>1488.41</v>
      </c>
      <c r="F1052" s="50" t="n">
        <f aca="false">'Z5 Ikana-Nkangamo'!S12-'Z5 Ikana-Nkangamo'!P12*C1052/'Z5 Ikana-Nkangamo'!G12</f>
        <v>1621.31661907838</v>
      </c>
      <c r="G1052" s="51" t="n">
        <f aca="false">'Z5 Ikana-Nkangamo'!$B$8-E1052</f>
        <v>179.59</v>
      </c>
      <c r="H1052" s="52" t="n">
        <f aca="false">F1052-E1052</f>
        <v>132.906619078381</v>
      </c>
      <c r="I1052" s="52" t="n">
        <f aca="false">MAX(H1052,G1052)</f>
        <v>179.59</v>
      </c>
      <c r="J1052" s="4" t="str">
        <f aca="false">IFERROR("PN"&amp;SMALL(PN_list,COUNTIF(PN_list,"&lt;"&amp;I1052*bar_per_m)+1),"&gt; max PN")</f>
        <v>PN25</v>
      </c>
      <c r="K1052" s="4" t="str">
        <f aca="false">IF(L1052="no","end at tank",IF(H1052&lt;0,"NEGATIVE",IF(H1052&lt;p_min-0.005,"low","OK")))</f>
        <v>OK</v>
      </c>
      <c r="L1052" s="4" t="s">
        <v>414</v>
      </c>
    </row>
    <row r="1053" customFormat="false" ht="15" hidden="false" customHeight="false" outlineLevel="0" collapsed="false">
      <c r="A1053" s="4" t="s">
        <v>42</v>
      </c>
      <c r="B1053" s="4" t="s">
        <v>368</v>
      </c>
      <c r="C1053" s="47" t="n">
        <v>31715.6</v>
      </c>
      <c r="D1053" s="48" t="n">
        <v>1489.75</v>
      </c>
      <c r="E1053" s="49" t="n">
        <f aca="false">D1053-cover</f>
        <v>1488.55</v>
      </c>
      <c r="F1053" s="50" t="n">
        <f aca="false">'Z5 Ikana-Nkangamo'!S12-'Z5 Ikana-Nkangamo'!P12*C1053/'Z5 Ikana-Nkangamo'!G12</f>
        <v>1621.25032729657</v>
      </c>
      <c r="G1053" s="51" t="n">
        <f aca="false">'Z5 Ikana-Nkangamo'!$B$8-E1053</f>
        <v>179.45</v>
      </c>
      <c r="H1053" s="52" t="n">
        <f aca="false">F1053-E1053</f>
        <v>132.700327296571</v>
      </c>
      <c r="I1053" s="52" t="n">
        <f aca="false">MAX(H1053,G1053)</f>
        <v>179.45</v>
      </c>
      <c r="J1053" s="4" t="str">
        <f aca="false">IFERROR("PN"&amp;SMALL(PN_list,COUNTIF(PN_list,"&lt;"&amp;I1053*bar_per_m)+1),"&gt; max PN")</f>
        <v>PN25</v>
      </c>
      <c r="K1053" s="4" t="str">
        <f aca="false">IF(L1053="no","end at tank",IF(H1053&lt;0,"NEGATIVE",IF(H1053&lt;p_min-0.005,"low","OK")))</f>
        <v>OK</v>
      </c>
      <c r="L1053" s="4" t="s">
        <v>414</v>
      </c>
    </row>
    <row r="1054" customFormat="false" ht="15" hidden="false" customHeight="false" outlineLevel="0" collapsed="false">
      <c r="A1054" s="4" t="s">
        <v>42</v>
      </c>
      <c r="B1054" s="4" t="s">
        <v>368</v>
      </c>
      <c r="C1054" s="47" t="n">
        <v>31765.64</v>
      </c>
      <c r="D1054" s="48" t="n">
        <v>1491.74</v>
      </c>
      <c r="E1054" s="49" t="n">
        <f aca="false">D1054-cover</f>
        <v>1490.54</v>
      </c>
      <c r="F1054" s="50" t="n">
        <f aca="false">'Z5 Ikana-Nkangamo'!S12-'Z5 Ikana-Nkangamo'!P12*C1054/'Z5 Ikana-Nkangamo'!G12</f>
        <v>1621.18398248134</v>
      </c>
      <c r="G1054" s="51" t="n">
        <f aca="false">'Z5 Ikana-Nkangamo'!$B$8-E1054</f>
        <v>177.46</v>
      </c>
      <c r="H1054" s="52" t="n">
        <f aca="false">F1054-E1054</f>
        <v>130.643982481336</v>
      </c>
      <c r="I1054" s="52" t="n">
        <f aca="false">MAX(H1054,G1054)</f>
        <v>177.46</v>
      </c>
      <c r="J1054" s="4" t="str">
        <f aca="false">IFERROR("PN"&amp;SMALL(PN_list,COUNTIF(PN_list,"&lt;"&amp;I1054*bar_per_m)+1),"&gt; max PN")</f>
        <v>PN25</v>
      </c>
      <c r="K1054" s="4" t="str">
        <f aca="false">IF(L1054="no","end at tank",IF(H1054&lt;0,"NEGATIVE",IF(H1054&lt;p_min-0.005,"low","OK")))</f>
        <v>OK</v>
      </c>
      <c r="L1054" s="4" t="s">
        <v>414</v>
      </c>
    </row>
    <row r="1055" customFormat="false" ht="15" hidden="false" customHeight="false" outlineLevel="0" collapsed="false">
      <c r="A1055" s="4" t="s">
        <v>42</v>
      </c>
      <c r="B1055" s="4" t="s">
        <v>368</v>
      </c>
      <c r="C1055" s="47" t="n">
        <v>31815.68</v>
      </c>
      <c r="D1055" s="48" t="n">
        <v>1493.77</v>
      </c>
      <c r="E1055" s="49" t="n">
        <f aca="false">D1055-cover</f>
        <v>1492.57</v>
      </c>
      <c r="F1055" s="50" t="n">
        <f aca="false">'Z5 Ikana-Nkangamo'!S12-'Z5 Ikana-Nkangamo'!P12*C1055/'Z5 Ikana-Nkangamo'!G12</f>
        <v>1621.1176376661</v>
      </c>
      <c r="G1055" s="51" t="n">
        <f aca="false">'Z5 Ikana-Nkangamo'!$B$8-E1055</f>
        <v>175.43</v>
      </c>
      <c r="H1055" s="52" t="n">
        <f aca="false">F1055-E1055</f>
        <v>128.5476376661</v>
      </c>
      <c r="I1055" s="52" t="n">
        <f aca="false">MAX(H1055,G1055)</f>
        <v>175.43</v>
      </c>
      <c r="J1055" s="4" t="str">
        <f aca="false">IFERROR("PN"&amp;SMALL(PN_list,COUNTIF(PN_list,"&lt;"&amp;I1055*bar_per_m)+1),"&gt; max PN")</f>
        <v>PN25</v>
      </c>
      <c r="K1055" s="4" t="str">
        <f aca="false">IF(L1055="no","end at tank",IF(H1055&lt;0,"NEGATIVE",IF(H1055&lt;p_min-0.005,"low","OK")))</f>
        <v>OK</v>
      </c>
      <c r="L1055" s="4" t="s">
        <v>414</v>
      </c>
    </row>
    <row r="1056" customFormat="false" ht="15" hidden="false" customHeight="false" outlineLevel="0" collapsed="false">
      <c r="A1056" s="4" t="s">
        <v>42</v>
      </c>
      <c r="B1056" s="4" t="s">
        <v>368</v>
      </c>
      <c r="C1056" s="47" t="n">
        <v>31865.73</v>
      </c>
      <c r="D1056" s="48" t="n">
        <v>1495.98</v>
      </c>
      <c r="E1056" s="49" t="n">
        <f aca="false">D1056-cover</f>
        <v>1494.78</v>
      </c>
      <c r="F1056" s="50" t="n">
        <f aca="false">'Z5 Ikana-Nkangamo'!S12-'Z5 Ikana-Nkangamo'!P12*C1056/'Z5 Ikana-Nkangamo'!G12</f>
        <v>1621.05127959251</v>
      </c>
      <c r="G1056" s="51" t="n">
        <f aca="false">'Z5 Ikana-Nkangamo'!$B$8-E1056</f>
        <v>173.22</v>
      </c>
      <c r="H1056" s="52" t="n">
        <f aca="false">F1056-E1056</f>
        <v>126.271279592509</v>
      </c>
      <c r="I1056" s="52" t="n">
        <f aca="false">MAX(H1056,G1056)</f>
        <v>173.22</v>
      </c>
      <c r="J1056" s="4" t="str">
        <f aca="false">IFERROR("PN"&amp;SMALL(PN_list,COUNTIF(PN_list,"&lt;"&amp;I1056*bar_per_m)+1),"&gt; max PN")</f>
        <v>PN25</v>
      </c>
      <c r="K1056" s="4" t="str">
        <f aca="false">IF(L1056="no","end at tank",IF(H1056&lt;0,"NEGATIVE",IF(H1056&lt;p_min-0.005,"low","OK")))</f>
        <v>OK</v>
      </c>
      <c r="L1056" s="4" t="s">
        <v>414</v>
      </c>
    </row>
    <row r="1057" customFormat="false" ht="15" hidden="false" customHeight="false" outlineLevel="0" collapsed="false">
      <c r="A1057" s="4" t="s">
        <v>42</v>
      </c>
      <c r="B1057" s="4" t="s">
        <v>368</v>
      </c>
      <c r="C1057" s="47" t="n">
        <v>31915.73</v>
      </c>
      <c r="D1057" s="48" t="n">
        <v>1496.14</v>
      </c>
      <c r="E1057" s="49" t="n">
        <f aca="false">D1057-cover</f>
        <v>1494.94</v>
      </c>
      <c r="F1057" s="50" t="n">
        <f aca="false">'Z5 Ikana-Nkangamo'!S12-'Z5 Ikana-Nkangamo'!P12*C1057/'Z5 Ikana-Nkangamo'!G12</f>
        <v>1620.9849878107</v>
      </c>
      <c r="G1057" s="51" t="n">
        <f aca="false">'Z5 Ikana-Nkangamo'!$B$8-E1057</f>
        <v>173.06</v>
      </c>
      <c r="H1057" s="52" t="n">
        <f aca="false">F1057-E1057</f>
        <v>126.044987810699</v>
      </c>
      <c r="I1057" s="52" t="n">
        <f aca="false">MAX(H1057,G1057)</f>
        <v>173.06</v>
      </c>
      <c r="J1057" s="4" t="str">
        <f aca="false">IFERROR("PN"&amp;SMALL(PN_list,COUNTIF(PN_list,"&lt;"&amp;I1057*bar_per_m)+1),"&gt; max PN")</f>
        <v>PN25</v>
      </c>
      <c r="K1057" s="4" t="str">
        <f aca="false">IF(L1057="no","end at tank",IF(H1057&lt;0,"NEGATIVE",IF(H1057&lt;p_min-0.005,"low","OK")))</f>
        <v>OK</v>
      </c>
      <c r="L1057" s="4" t="s">
        <v>414</v>
      </c>
    </row>
    <row r="1058" customFormat="false" ht="15" hidden="false" customHeight="false" outlineLevel="0" collapsed="false">
      <c r="A1058" s="4" t="s">
        <v>42</v>
      </c>
      <c r="B1058" s="4" t="s">
        <v>368</v>
      </c>
      <c r="C1058" s="47" t="n">
        <v>31965.75</v>
      </c>
      <c r="D1058" s="48" t="n">
        <v>1497.38</v>
      </c>
      <c r="E1058" s="49" t="n">
        <f aca="false">D1058-cover</f>
        <v>1496.18</v>
      </c>
      <c r="F1058" s="50" t="n">
        <f aca="false">'Z5 Ikana-Nkangamo'!S12-'Z5 Ikana-Nkangamo'!P12*C1058/'Z5 Ikana-Nkangamo'!G12</f>
        <v>1620.91866951218</v>
      </c>
      <c r="G1058" s="51" t="n">
        <f aca="false">'Z5 Ikana-Nkangamo'!$B$8-E1058</f>
        <v>171.82</v>
      </c>
      <c r="H1058" s="52" t="n">
        <f aca="false">F1058-E1058</f>
        <v>124.738669512176</v>
      </c>
      <c r="I1058" s="52" t="n">
        <f aca="false">MAX(H1058,G1058)</f>
        <v>171.82</v>
      </c>
      <c r="J1058" s="4" t="str">
        <f aca="false">IFERROR("PN"&amp;SMALL(PN_list,COUNTIF(PN_list,"&lt;"&amp;I1058*bar_per_m)+1),"&gt; max PN")</f>
        <v>PN25</v>
      </c>
      <c r="K1058" s="4" t="str">
        <f aca="false">IF(L1058="no","end at tank",IF(H1058&lt;0,"NEGATIVE",IF(H1058&lt;p_min-0.005,"low","OK")))</f>
        <v>OK</v>
      </c>
      <c r="L1058" s="4" t="s">
        <v>414</v>
      </c>
    </row>
    <row r="1059" customFormat="false" ht="15" hidden="false" customHeight="false" outlineLevel="0" collapsed="false">
      <c r="A1059" s="4" t="s">
        <v>42</v>
      </c>
      <c r="B1059" s="4" t="s">
        <v>368</v>
      </c>
      <c r="C1059" s="47" t="n">
        <v>32015.75</v>
      </c>
      <c r="D1059" s="48" t="n">
        <v>1497.77</v>
      </c>
      <c r="E1059" s="49" t="n">
        <f aca="false">D1059-cover</f>
        <v>1496.57</v>
      </c>
      <c r="F1059" s="50" t="n">
        <f aca="false">'Z5 Ikana-Nkangamo'!S12-'Z5 Ikana-Nkangamo'!P12*C1059/'Z5 Ikana-Nkangamo'!G12</f>
        <v>1620.85237773037</v>
      </c>
      <c r="G1059" s="51" t="n">
        <f aca="false">'Z5 Ikana-Nkangamo'!$B$8-E1059</f>
        <v>171.43</v>
      </c>
      <c r="H1059" s="52" t="n">
        <f aca="false">F1059-E1059</f>
        <v>124.282377730366</v>
      </c>
      <c r="I1059" s="52" t="n">
        <f aca="false">MAX(H1059,G1059)</f>
        <v>171.43</v>
      </c>
      <c r="J1059" s="4" t="str">
        <f aca="false">IFERROR("PN"&amp;SMALL(PN_list,COUNTIF(PN_list,"&lt;"&amp;I1059*bar_per_m)+1),"&gt; max PN")</f>
        <v>PN25</v>
      </c>
      <c r="K1059" s="4" t="str">
        <f aca="false">IF(L1059="no","end at tank",IF(H1059&lt;0,"NEGATIVE",IF(H1059&lt;p_min-0.005,"low","OK")))</f>
        <v>OK</v>
      </c>
      <c r="L1059" s="4" t="s">
        <v>414</v>
      </c>
    </row>
    <row r="1060" customFormat="false" ht="15" hidden="false" customHeight="false" outlineLevel="0" collapsed="false">
      <c r="A1060" s="4" t="s">
        <v>42</v>
      </c>
      <c r="B1060" s="4" t="s">
        <v>368</v>
      </c>
      <c r="C1060" s="47" t="n">
        <v>32065.75</v>
      </c>
      <c r="D1060" s="48" t="n">
        <v>1497.57</v>
      </c>
      <c r="E1060" s="49" t="n">
        <f aca="false">D1060-cover</f>
        <v>1496.37</v>
      </c>
      <c r="F1060" s="50" t="n">
        <f aca="false">'Z5 Ikana-Nkangamo'!S12-'Z5 Ikana-Nkangamo'!P12*C1060/'Z5 Ikana-Nkangamo'!G12</f>
        <v>1620.78608594856</v>
      </c>
      <c r="G1060" s="51" t="n">
        <f aca="false">'Z5 Ikana-Nkangamo'!$B$8-E1060</f>
        <v>171.63</v>
      </c>
      <c r="H1060" s="52" t="n">
        <f aca="false">F1060-E1060</f>
        <v>124.416085948556</v>
      </c>
      <c r="I1060" s="52" t="n">
        <f aca="false">MAX(H1060,G1060)</f>
        <v>171.63</v>
      </c>
      <c r="J1060" s="4" t="str">
        <f aca="false">IFERROR("PN"&amp;SMALL(PN_list,COUNTIF(PN_list,"&lt;"&amp;I1060*bar_per_m)+1),"&gt; max PN")</f>
        <v>PN25</v>
      </c>
      <c r="K1060" s="4" t="str">
        <f aca="false">IF(L1060="no","end at tank",IF(H1060&lt;0,"NEGATIVE",IF(H1060&lt;p_min-0.005,"low","OK")))</f>
        <v>OK</v>
      </c>
      <c r="L1060" s="4" t="s">
        <v>414</v>
      </c>
    </row>
    <row r="1061" customFormat="false" ht="15" hidden="false" customHeight="false" outlineLevel="0" collapsed="false">
      <c r="A1061" s="4" t="s">
        <v>42</v>
      </c>
      <c r="B1061" s="4" t="s">
        <v>368</v>
      </c>
      <c r="C1061" s="47" t="n">
        <v>32115.75</v>
      </c>
      <c r="D1061" s="48" t="n">
        <v>1497.64</v>
      </c>
      <c r="E1061" s="49" t="n">
        <f aca="false">D1061-cover</f>
        <v>1496.44</v>
      </c>
      <c r="F1061" s="50" t="n">
        <f aca="false">'Z5 Ikana-Nkangamo'!S12-'Z5 Ikana-Nkangamo'!P12*C1061/'Z5 Ikana-Nkangamo'!G12</f>
        <v>1620.71979416675</v>
      </c>
      <c r="G1061" s="51" t="n">
        <f aca="false">'Z5 Ikana-Nkangamo'!$B$8-E1061</f>
        <v>171.56</v>
      </c>
      <c r="H1061" s="52" t="n">
        <f aca="false">F1061-E1061</f>
        <v>124.279794166746</v>
      </c>
      <c r="I1061" s="52" t="n">
        <f aca="false">MAX(H1061,G1061)</f>
        <v>171.56</v>
      </c>
      <c r="J1061" s="4" t="str">
        <f aca="false">IFERROR("PN"&amp;SMALL(PN_list,COUNTIF(PN_list,"&lt;"&amp;I1061*bar_per_m)+1),"&gt; max PN")</f>
        <v>PN25</v>
      </c>
      <c r="K1061" s="4" t="str">
        <f aca="false">IF(L1061="no","end at tank",IF(H1061&lt;0,"NEGATIVE",IF(H1061&lt;p_min-0.005,"low","OK")))</f>
        <v>OK</v>
      </c>
      <c r="L1061" s="4" t="s">
        <v>414</v>
      </c>
    </row>
    <row r="1062" customFormat="false" ht="15" hidden="false" customHeight="false" outlineLevel="0" collapsed="false">
      <c r="A1062" s="4" t="s">
        <v>42</v>
      </c>
      <c r="B1062" s="4" t="s">
        <v>368</v>
      </c>
      <c r="C1062" s="47" t="n">
        <v>32165.76</v>
      </c>
      <c r="D1062" s="48" t="n">
        <v>1496.59</v>
      </c>
      <c r="E1062" s="49" t="n">
        <f aca="false">D1062-cover</f>
        <v>1495.39</v>
      </c>
      <c r="F1062" s="50" t="n">
        <f aca="false">'Z5 Ikana-Nkangamo'!S12-'Z5 Ikana-Nkangamo'!P12*C1062/'Z5 Ikana-Nkangamo'!G12</f>
        <v>1620.65348912658</v>
      </c>
      <c r="G1062" s="51" t="n">
        <f aca="false">'Z5 Ikana-Nkangamo'!$B$8-E1062</f>
        <v>172.61</v>
      </c>
      <c r="H1062" s="52" t="n">
        <f aca="false">F1062-E1062</f>
        <v>125.26348912658</v>
      </c>
      <c r="I1062" s="52" t="n">
        <f aca="false">MAX(H1062,G1062)</f>
        <v>172.61</v>
      </c>
      <c r="J1062" s="4" t="str">
        <f aca="false">IFERROR("PN"&amp;SMALL(PN_list,COUNTIF(PN_list,"&lt;"&amp;I1062*bar_per_m)+1),"&gt; max PN")</f>
        <v>PN25</v>
      </c>
      <c r="K1062" s="4" t="str">
        <f aca="false">IF(L1062="no","end at tank",IF(H1062&lt;0,"NEGATIVE",IF(H1062&lt;p_min-0.005,"low","OK")))</f>
        <v>OK</v>
      </c>
      <c r="L1062" s="4" t="s">
        <v>414</v>
      </c>
    </row>
    <row r="1063" customFormat="false" ht="15" hidden="false" customHeight="false" outlineLevel="0" collapsed="false">
      <c r="A1063" s="4" t="s">
        <v>42</v>
      </c>
      <c r="B1063" s="4" t="s">
        <v>368</v>
      </c>
      <c r="C1063" s="47" t="n">
        <v>32215.78</v>
      </c>
      <c r="D1063" s="48" t="n">
        <v>1495.34</v>
      </c>
      <c r="E1063" s="49" t="n">
        <f aca="false">D1063-cover</f>
        <v>1494.14</v>
      </c>
      <c r="F1063" s="50" t="n">
        <f aca="false">'Z5 Ikana-Nkangamo'!S12-'Z5 Ikana-Nkangamo'!P12*C1063/'Z5 Ikana-Nkangamo'!G12</f>
        <v>1620.58717082806</v>
      </c>
      <c r="G1063" s="51" t="n">
        <f aca="false">'Z5 Ikana-Nkangamo'!$B$8-E1063</f>
        <v>173.86</v>
      </c>
      <c r="H1063" s="52" t="n">
        <f aca="false">F1063-E1063</f>
        <v>126.447170828057</v>
      </c>
      <c r="I1063" s="52" t="n">
        <f aca="false">MAX(H1063,G1063)</f>
        <v>173.86</v>
      </c>
      <c r="J1063" s="4" t="str">
        <f aca="false">IFERROR("PN"&amp;SMALL(PN_list,COUNTIF(PN_list,"&lt;"&amp;I1063*bar_per_m)+1),"&gt; max PN")</f>
        <v>PN25</v>
      </c>
      <c r="K1063" s="4" t="str">
        <f aca="false">IF(L1063="no","end at tank",IF(H1063&lt;0,"NEGATIVE",IF(H1063&lt;p_min-0.005,"low","OK")))</f>
        <v>OK</v>
      </c>
      <c r="L1063" s="4" t="s">
        <v>414</v>
      </c>
    </row>
    <row r="1064" customFormat="false" ht="15" hidden="false" customHeight="false" outlineLevel="0" collapsed="false">
      <c r="A1064" s="4" t="s">
        <v>42</v>
      </c>
      <c r="B1064" s="4" t="s">
        <v>368</v>
      </c>
      <c r="C1064" s="47" t="n">
        <v>32265.78</v>
      </c>
      <c r="D1064" s="48" t="n">
        <v>1495.24</v>
      </c>
      <c r="E1064" s="49" t="n">
        <f aca="false">D1064-cover</f>
        <v>1494.04</v>
      </c>
      <c r="F1064" s="50" t="n">
        <f aca="false">'Z5 Ikana-Nkangamo'!S12-'Z5 Ikana-Nkangamo'!P12*C1064/'Z5 Ikana-Nkangamo'!G12</f>
        <v>1620.52087904625</v>
      </c>
      <c r="G1064" s="51" t="n">
        <f aca="false">'Z5 Ikana-Nkangamo'!$B$8-E1064</f>
        <v>173.96</v>
      </c>
      <c r="H1064" s="52" t="n">
        <f aca="false">F1064-E1064</f>
        <v>126.480879046247</v>
      </c>
      <c r="I1064" s="52" t="n">
        <f aca="false">MAX(H1064,G1064)</f>
        <v>173.96</v>
      </c>
      <c r="J1064" s="4" t="str">
        <f aca="false">IFERROR("PN"&amp;SMALL(PN_list,COUNTIF(PN_list,"&lt;"&amp;I1064*bar_per_m)+1),"&gt; max PN")</f>
        <v>PN25</v>
      </c>
      <c r="K1064" s="4" t="str">
        <f aca="false">IF(L1064="no","end at tank",IF(H1064&lt;0,"NEGATIVE",IF(H1064&lt;p_min-0.005,"low","OK")))</f>
        <v>OK</v>
      </c>
      <c r="L1064" s="4" t="s">
        <v>414</v>
      </c>
    </row>
    <row r="1065" customFormat="false" ht="15" hidden="false" customHeight="false" outlineLevel="0" collapsed="false">
      <c r="A1065" s="4" t="s">
        <v>42</v>
      </c>
      <c r="B1065" s="4" t="s">
        <v>368</v>
      </c>
      <c r="C1065" s="47" t="n">
        <v>32315.79</v>
      </c>
      <c r="D1065" s="48" t="n">
        <v>1494.08</v>
      </c>
      <c r="E1065" s="49" t="n">
        <f aca="false">D1065-cover</f>
        <v>1492.88</v>
      </c>
      <c r="F1065" s="50" t="n">
        <f aca="false">'Z5 Ikana-Nkangamo'!S12-'Z5 Ikana-Nkangamo'!P12*C1065/'Z5 Ikana-Nkangamo'!G12</f>
        <v>1620.45457400608</v>
      </c>
      <c r="G1065" s="51" t="n">
        <f aca="false">'Z5 Ikana-Nkangamo'!$B$8-E1065</f>
        <v>175.12</v>
      </c>
      <c r="H1065" s="52" t="n">
        <f aca="false">F1065-E1065</f>
        <v>127.574574006081</v>
      </c>
      <c r="I1065" s="52" t="n">
        <f aca="false">MAX(H1065,G1065)</f>
        <v>175.12</v>
      </c>
      <c r="J1065" s="4" t="str">
        <f aca="false">IFERROR("PN"&amp;SMALL(PN_list,COUNTIF(PN_list,"&lt;"&amp;I1065*bar_per_m)+1),"&gt; max PN")</f>
        <v>PN25</v>
      </c>
      <c r="K1065" s="4" t="str">
        <f aca="false">IF(L1065="no","end at tank",IF(H1065&lt;0,"NEGATIVE",IF(H1065&lt;p_min-0.005,"low","OK")))</f>
        <v>OK</v>
      </c>
      <c r="L1065" s="4" t="s">
        <v>414</v>
      </c>
    </row>
    <row r="1066" customFormat="false" ht="15" hidden="false" customHeight="false" outlineLevel="0" collapsed="false">
      <c r="A1066" s="4" t="s">
        <v>42</v>
      </c>
      <c r="B1066" s="4" t="s">
        <v>368</v>
      </c>
      <c r="C1066" s="47" t="n">
        <v>32365.79</v>
      </c>
      <c r="D1066" s="48" t="n">
        <v>1493.81</v>
      </c>
      <c r="E1066" s="49" t="n">
        <f aca="false">D1066-cover</f>
        <v>1492.61</v>
      </c>
      <c r="F1066" s="50" t="n">
        <f aca="false">'Z5 Ikana-Nkangamo'!S12-'Z5 Ikana-Nkangamo'!P12*C1066/'Z5 Ikana-Nkangamo'!G12</f>
        <v>1620.38828222427</v>
      </c>
      <c r="G1066" s="51" t="n">
        <f aca="false">'Z5 Ikana-Nkangamo'!$B$8-E1066</f>
        <v>175.39</v>
      </c>
      <c r="H1066" s="52" t="n">
        <f aca="false">F1066-E1066</f>
        <v>127.778282224271</v>
      </c>
      <c r="I1066" s="52" t="n">
        <f aca="false">MAX(H1066,G1066)</f>
        <v>175.39</v>
      </c>
      <c r="J1066" s="4" t="str">
        <f aca="false">IFERROR("PN"&amp;SMALL(PN_list,COUNTIF(PN_list,"&lt;"&amp;I1066*bar_per_m)+1),"&gt; max PN")</f>
        <v>PN25</v>
      </c>
      <c r="K1066" s="4" t="str">
        <f aca="false">IF(L1066="no","end at tank",IF(H1066&lt;0,"NEGATIVE",IF(H1066&lt;p_min-0.005,"low","OK")))</f>
        <v>OK</v>
      </c>
      <c r="L1066" s="4" t="s">
        <v>414</v>
      </c>
    </row>
    <row r="1067" customFormat="false" ht="15" hidden="false" customHeight="false" outlineLevel="0" collapsed="false">
      <c r="A1067" s="4" t="s">
        <v>42</v>
      </c>
      <c r="B1067" s="4" t="s">
        <v>368</v>
      </c>
      <c r="C1067" s="47" t="n">
        <v>32415.82</v>
      </c>
      <c r="D1067" s="48" t="n">
        <v>1492.1</v>
      </c>
      <c r="E1067" s="49" t="n">
        <f aca="false">D1067-cover</f>
        <v>1490.9</v>
      </c>
      <c r="F1067" s="50" t="n">
        <f aca="false">'Z5 Ikana-Nkangamo'!S12-'Z5 Ikana-Nkangamo'!P12*C1067/'Z5 Ikana-Nkangamo'!G12</f>
        <v>1620.32195066739</v>
      </c>
      <c r="G1067" s="51" t="n">
        <f aca="false">'Z5 Ikana-Nkangamo'!$B$8-E1067</f>
        <v>177.1</v>
      </c>
      <c r="H1067" s="52" t="n">
        <f aca="false">F1067-E1067</f>
        <v>129.421950667392</v>
      </c>
      <c r="I1067" s="52" t="n">
        <f aca="false">MAX(H1067,G1067)</f>
        <v>177.1</v>
      </c>
      <c r="J1067" s="4" t="str">
        <f aca="false">IFERROR("PN"&amp;SMALL(PN_list,COUNTIF(PN_list,"&lt;"&amp;I1067*bar_per_m)+1),"&gt; max PN")</f>
        <v>PN25</v>
      </c>
      <c r="K1067" s="4" t="str">
        <f aca="false">IF(L1067="no","end at tank",IF(H1067&lt;0,"NEGATIVE",IF(H1067&lt;p_min-0.005,"low","OK")))</f>
        <v>OK</v>
      </c>
      <c r="L1067" s="4" t="s">
        <v>414</v>
      </c>
    </row>
    <row r="1068" customFormat="false" ht="15" hidden="false" customHeight="false" outlineLevel="0" collapsed="false">
      <c r="A1068" s="4" t="s">
        <v>42</v>
      </c>
      <c r="B1068" s="4" t="s">
        <v>368</v>
      </c>
      <c r="C1068" s="47" t="n">
        <v>32465.85</v>
      </c>
      <c r="D1068" s="48" t="n">
        <v>1490.33</v>
      </c>
      <c r="E1068" s="49" t="n">
        <f aca="false">D1068-cover</f>
        <v>1489.13</v>
      </c>
      <c r="F1068" s="50" t="n">
        <f aca="false">'Z5 Ikana-Nkangamo'!S12-'Z5 Ikana-Nkangamo'!P12*C1068/'Z5 Ikana-Nkangamo'!G12</f>
        <v>1620.25561911051</v>
      </c>
      <c r="G1068" s="51" t="n">
        <f aca="false">'Z5 Ikana-Nkangamo'!$B$8-E1068</f>
        <v>178.87</v>
      </c>
      <c r="H1068" s="52" t="n">
        <f aca="false">F1068-E1068</f>
        <v>131.125619110513</v>
      </c>
      <c r="I1068" s="52" t="n">
        <f aca="false">MAX(H1068,G1068)</f>
        <v>178.87</v>
      </c>
      <c r="J1068" s="4" t="str">
        <f aca="false">IFERROR("PN"&amp;SMALL(PN_list,COUNTIF(PN_list,"&lt;"&amp;I1068*bar_per_m)+1),"&gt; max PN")</f>
        <v>PN25</v>
      </c>
      <c r="K1068" s="4" t="str">
        <f aca="false">IF(L1068="no","end at tank",IF(H1068&lt;0,"NEGATIVE",IF(H1068&lt;p_min-0.005,"low","OK")))</f>
        <v>OK</v>
      </c>
      <c r="L1068" s="4" t="s">
        <v>414</v>
      </c>
    </row>
    <row r="1069" customFormat="false" ht="15" hidden="false" customHeight="false" outlineLevel="0" collapsed="false">
      <c r="A1069" s="4" t="s">
        <v>42</v>
      </c>
      <c r="B1069" s="4" t="s">
        <v>368</v>
      </c>
      <c r="C1069" s="47" t="n">
        <v>32515.86</v>
      </c>
      <c r="D1069" s="48" t="n">
        <v>1489.75</v>
      </c>
      <c r="E1069" s="49" t="n">
        <f aca="false">D1069-cover</f>
        <v>1488.55</v>
      </c>
      <c r="F1069" s="50" t="n">
        <f aca="false">'Z5 Ikana-Nkangamo'!S12-'Z5 Ikana-Nkangamo'!P12*C1069/'Z5 Ikana-Nkangamo'!G12</f>
        <v>1620.18931407035</v>
      </c>
      <c r="G1069" s="51" t="n">
        <f aca="false">'Z5 Ikana-Nkangamo'!$B$8-E1069</f>
        <v>179.45</v>
      </c>
      <c r="H1069" s="52" t="n">
        <f aca="false">F1069-E1069</f>
        <v>131.639314070347</v>
      </c>
      <c r="I1069" s="52" t="n">
        <f aca="false">MAX(H1069,G1069)</f>
        <v>179.45</v>
      </c>
      <c r="J1069" s="4" t="str">
        <f aca="false">IFERROR("PN"&amp;SMALL(PN_list,COUNTIF(PN_list,"&lt;"&amp;I1069*bar_per_m)+1),"&gt; max PN")</f>
        <v>PN25</v>
      </c>
      <c r="K1069" s="4" t="str">
        <f aca="false">IF(L1069="no","end at tank",IF(H1069&lt;0,"NEGATIVE",IF(H1069&lt;p_min-0.005,"low","OK")))</f>
        <v>OK</v>
      </c>
      <c r="L1069" s="4" t="s">
        <v>414</v>
      </c>
    </row>
    <row r="1070" customFormat="false" ht="15" hidden="false" customHeight="false" outlineLevel="0" collapsed="false">
      <c r="A1070" s="4" t="s">
        <v>42</v>
      </c>
      <c r="B1070" s="4" t="s">
        <v>368</v>
      </c>
      <c r="C1070" s="47" t="n">
        <v>32565.86</v>
      </c>
      <c r="D1070" s="48" t="n">
        <v>1489.07</v>
      </c>
      <c r="E1070" s="49" t="n">
        <f aca="false">D1070-cover</f>
        <v>1487.87</v>
      </c>
      <c r="F1070" s="50" t="n">
        <f aca="false">'Z5 Ikana-Nkangamo'!S12-'Z5 Ikana-Nkangamo'!P12*C1070/'Z5 Ikana-Nkangamo'!G12</f>
        <v>1620.12302228854</v>
      </c>
      <c r="G1070" s="51" t="n">
        <f aca="false">'Z5 Ikana-Nkangamo'!$B$8-E1070</f>
        <v>180.13</v>
      </c>
      <c r="H1070" s="52" t="n">
        <f aca="false">F1070-E1070</f>
        <v>132.253022288537</v>
      </c>
      <c r="I1070" s="52" t="n">
        <f aca="false">MAX(H1070,G1070)</f>
        <v>180.13</v>
      </c>
      <c r="J1070" s="4" t="str">
        <f aca="false">IFERROR("PN"&amp;SMALL(PN_list,COUNTIF(PN_list,"&lt;"&amp;I1070*bar_per_m)+1),"&gt; max PN")</f>
        <v>PN25</v>
      </c>
      <c r="K1070" s="4" t="str">
        <f aca="false">IF(L1070="no","end at tank",IF(H1070&lt;0,"NEGATIVE",IF(H1070&lt;p_min-0.005,"low","OK")))</f>
        <v>OK</v>
      </c>
      <c r="L1070" s="4" t="s">
        <v>414</v>
      </c>
    </row>
    <row r="1071" customFormat="false" ht="15" hidden="false" customHeight="false" outlineLevel="0" collapsed="false">
      <c r="A1071" s="4" t="s">
        <v>42</v>
      </c>
      <c r="B1071" s="4" t="s">
        <v>368</v>
      </c>
      <c r="C1071" s="47" t="n">
        <v>32615.86</v>
      </c>
      <c r="D1071" s="48" t="n">
        <v>1489.66</v>
      </c>
      <c r="E1071" s="49" t="n">
        <f aca="false">D1071-cover</f>
        <v>1488.46</v>
      </c>
      <c r="F1071" s="50" t="n">
        <f aca="false">'Z5 Ikana-Nkangamo'!S12-'Z5 Ikana-Nkangamo'!P12*C1071/'Z5 Ikana-Nkangamo'!G12</f>
        <v>1620.05673050673</v>
      </c>
      <c r="G1071" s="51" t="n">
        <f aca="false">'Z5 Ikana-Nkangamo'!$B$8-E1071</f>
        <v>179.54</v>
      </c>
      <c r="H1071" s="52" t="n">
        <f aca="false">F1071-E1071</f>
        <v>131.596730506727</v>
      </c>
      <c r="I1071" s="52" t="n">
        <f aca="false">MAX(H1071,G1071)</f>
        <v>179.54</v>
      </c>
      <c r="J1071" s="4" t="str">
        <f aca="false">IFERROR("PN"&amp;SMALL(PN_list,COUNTIF(PN_list,"&lt;"&amp;I1071*bar_per_m)+1),"&gt; max PN")</f>
        <v>PN25</v>
      </c>
      <c r="K1071" s="4" t="str">
        <f aca="false">IF(L1071="no","end at tank",IF(H1071&lt;0,"NEGATIVE",IF(H1071&lt;p_min-0.005,"low","OK")))</f>
        <v>OK</v>
      </c>
      <c r="L1071" s="4" t="s">
        <v>414</v>
      </c>
    </row>
    <row r="1072" customFormat="false" ht="15" hidden="false" customHeight="false" outlineLevel="0" collapsed="false">
      <c r="A1072" s="4" t="s">
        <v>42</v>
      </c>
      <c r="B1072" s="4" t="s">
        <v>368</v>
      </c>
      <c r="C1072" s="47" t="n">
        <v>32665.87</v>
      </c>
      <c r="D1072" s="48" t="n">
        <v>1488.8</v>
      </c>
      <c r="E1072" s="49" t="n">
        <f aca="false">D1072-cover</f>
        <v>1487.6</v>
      </c>
      <c r="F1072" s="50" t="n">
        <f aca="false">'Z5 Ikana-Nkangamo'!S12-'Z5 Ikana-Nkangamo'!P12*C1072/'Z5 Ikana-Nkangamo'!G12</f>
        <v>1619.99042546656</v>
      </c>
      <c r="G1072" s="51" t="n">
        <f aca="false">'Z5 Ikana-Nkangamo'!$B$8-E1072</f>
        <v>180.4</v>
      </c>
      <c r="H1072" s="52" t="n">
        <f aca="false">F1072-E1072</f>
        <v>132.390425466561</v>
      </c>
      <c r="I1072" s="52" t="n">
        <f aca="false">MAX(H1072,G1072)</f>
        <v>180.4</v>
      </c>
      <c r="J1072" s="4" t="str">
        <f aca="false">IFERROR("PN"&amp;SMALL(PN_list,COUNTIF(PN_list,"&lt;"&amp;I1072*bar_per_m)+1),"&gt; max PN")</f>
        <v>PN25</v>
      </c>
      <c r="K1072" s="4" t="str">
        <f aca="false">IF(L1072="no","end at tank",IF(H1072&lt;0,"NEGATIVE",IF(H1072&lt;p_min-0.005,"low","OK")))</f>
        <v>OK</v>
      </c>
      <c r="L1072" s="4" t="s">
        <v>414</v>
      </c>
    </row>
    <row r="1073" customFormat="false" ht="15" hidden="false" customHeight="false" outlineLevel="0" collapsed="false">
      <c r="A1073" s="4" t="s">
        <v>42</v>
      </c>
      <c r="B1073" s="4" t="s">
        <v>368</v>
      </c>
      <c r="C1073" s="47" t="n">
        <v>32715.87</v>
      </c>
      <c r="D1073" s="48" t="n">
        <v>1488.17</v>
      </c>
      <c r="E1073" s="49" t="n">
        <f aca="false">D1073-cover</f>
        <v>1486.97</v>
      </c>
      <c r="F1073" s="50" t="n">
        <f aca="false">'Z5 Ikana-Nkangamo'!S12-'Z5 Ikana-Nkangamo'!P12*C1073/'Z5 Ikana-Nkangamo'!G12</f>
        <v>1619.92413368475</v>
      </c>
      <c r="G1073" s="51" t="n">
        <f aca="false">'Z5 Ikana-Nkangamo'!$B$8-E1073</f>
        <v>181.03</v>
      </c>
      <c r="H1073" s="52" t="n">
        <f aca="false">F1073-E1073</f>
        <v>132.954133684751</v>
      </c>
      <c r="I1073" s="52" t="n">
        <f aca="false">MAX(H1073,G1073)</f>
        <v>181.03</v>
      </c>
      <c r="J1073" s="4" t="str">
        <f aca="false">IFERROR("PN"&amp;SMALL(PN_list,COUNTIF(PN_list,"&lt;"&amp;I1073*bar_per_m)+1),"&gt; max PN")</f>
        <v>PN25</v>
      </c>
      <c r="K1073" s="4" t="str">
        <f aca="false">IF(L1073="no","end at tank",IF(H1073&lt;0,"NEGATIVE",IF(H1073&lt;p_min-0.005,"low","OK")))</f>
        <v>OK</v>
      </c>
      <c r="L1073" s="4" t="s">
        <v>414</v>
      </c>
    </row>
    <row r="1074" customFormat="false" ht="15" hidden="false" customHeight="false" outlineLevel="0" collapsed="false">
      <c r="A1074" s="4" t="s">
        <v>42</v>
      </c>
      <c r="B1074" s="4" t="s">
        <v>368</v>
      </c>
      <c r="C1074" s="47" t="n">
        <v>32765.9</v>
      </c>
      <c r="D1074" s="48" t="n">
        <v>1486.56</v>
      </c>
      <c r="E1074" s="49" t="n">
        <f aca="false">D1074-cover</f>
        <v>1485.36</v>
      </c>
      <c r="F1074" s="50" t="n">
        <f aca="false">'Z5 Ikana-Nkangamo'!S12-'Z5 Ikana-Nkangamo'!P12*C1074/'Z5 Ikana-Nkangamo'!G12</f>
        <v>1619.85780212787</v>
      </c>
      <c r="G1074" s="51" t="n">
        <f aca="false">'Z5 Ikana-Nkangamo'!$B$8-E1074</f>
        <v>182.64</v>
      </c>
      <c r="H1074" s="52" t="n">
        <f aca="false">F1074-E1074</f>
        <v>134.497802127872</v>
      </c>
      <c r="I1074" s="52" t="n">
        <f aca="false">MAX(H1074,G1074)</f>
        <v>182.64</v>
      </c>
      <c r="J1074" s="4" t="str">
        <f aca="false">IFERROR("PN"&amp;SMALL(PN_list,COUNTIF(PN_list,"&lt;"&amp;I1074*bar_per_m)+1),"&gt; max PN")</f>
        <v>PN25</v>
      </c>
      <c r="K1074" s="4" t="str">
        <f aca="false">IF(L1074="no","end at tank",IF(H1074&lt;0,"NEGATIVE",IF(H1074&lt;p_min-0.005,"low","OK")))</f>
        <v>OK</v>
      </c>
      <c r="L1074" s="4" t="s">
        <v>414</v>
      </c>
    </row>
    <row r="1075" customFormat="false" ht="15" hidden="false" customHeight="false" outlineLevel="0" collapsed="false">
      <c r="A1075" s="4" t="s">
        <v>42</v>
      </c>
      <c r="B1075" s="4" t="s">
        <v>368</v>
      </c>
      <c r="C1075" s="47" t="n">
        <v>32815.91</v>
      </c>
      <c r="D1075" s="48" t="n">
        <v>1485.65</v>
      </c>
      <c r="E1075" s="49" t="n">
        <f aca="false">D1075-cover</f>
        <v>1484.45</v>
      </c>
      <c r="F1075" s="50" t="n">
        <f aca="false">'Z5 Ikana-Nkangamo'!S12-'Z5 Ikana-Nkangamo'!P12*C1075/'Z5 Ikana-Nkangamo'!G12</f>
        <v>1619.79149708771</v>
      </c>
      <c r="G1075" s="51" t="n">
        <f aca="false">'Z5 Ikana-Nkangamo'!$B$8-E1075</f>
        <v>183.55</v>
      </c>
      <c r="H1075" s="52" t="n">
        <f aca="false">F1075-E1075</f>
        <v>135.341497087705</v>
      </c>
      <c r="I1075" s="52" t="n">
        <f aca="false">MAX(H1075,G1075)</f>
        <v>183.55</v>
      </c>
      <c r="J1075" s="4" t="str">
        <f aca="false">IFERROR("PN"&amp;SMALL(PN_list,COUNTIF(PN_list,"&lt;"&amp;I1075*bar_per_m)+1),"&gt; max PN")</f>
        <v>PN25</v>
      </c>
      <c r="K1075" s="4" t="str">
        <f aca="false">IF(L1075="no","end at tank",IF(H1075&lt;0,"NEGATIVE",IF(H1075&lt;p_min-0.005,"low","OK")))</f>
        <v>OK</v>
      </c>
      <c r="L1075" s="4" t="s">
        <v>414</v>
      </c>
    </row>
    <row r="1076" customFormat="false" ht="15" hidden="false" customHeight="false" outlineLevel="0" collapsed="false">
      <c r="A1076" s="4" t="s">
        <v>42</v>
      </c>
      <c r="B1076" s="4" t="s">
        <v>368</v>
      </c>
      <c r="C1076" s="47" t="n">
        <v>32865.92</v>
      </c>
      <c r="D1076" s="48" t="n">
        <v>1484.73</v>
      </c>
      <c r="E1076" s="49" t="n">
        <f aca="false">D1076-cover</f>
        <v>1483.53</v>
      </c>
      <c r="F1076" s="50" t="n">
        <f aca="false">'Z5 Ikana-Nkangamo'!S12-'Z5 Ikana-Nkangamo'!P12*C1076/'Z5 Ikana-Nkangamo'!G12</f>
        <v>1619.72519204754</v>
      </c>
      <c r="G1076" s="51" t="n">
        <f aca="false">'Z5 Ikana-Nkangamo'!$B$8-E1076</f>
        <v>184.47</v>
      </c>
      <c r="H1076" s="52" t="n">
        <f aca="false">F1076-E1076</f>
        <v>136.195192047539</v>
      </c>
      <c r="I1076" s="52" t="n">
        <f aca="false">MAX(H1076,G1076)</f>
        <v>184.47</v>
      </c>
      <c r="J1076" s="4" t="str">
        <f aca="false">IFERROR("PN"&amp;SMALL(PN_list,COUNTIF(PN_list,"&lt;"&amp;I1076*bar_per_m)+1),"&gt; max PN")</f>
        <v>PN25</v>
      </c>
      <c r="K1076" s="4" t="str">
        <f aca="false">IF(L1076="no","end at tank",IF(H1076&lt;0,"NEGATIVE",IF(H1076&lt;p_min-0.005,"low","OK")))</f>
        <v>OK</v>
      </c>
      <c r="L1076" s="4" t="s">
        <v>414</v>
      </c>
    </row>
    <row r="1077" customFormat="false" ht="15" hidden="false" customHeight="false" outlineLevel="0" collapsed="false">
      <c r="A1077" s="4" t="s">
        <v>42</v>
      </c>
      <c r="B1077" s="4" t="s">
        <v>368</v>
      </c>
      <c r="C1077" s="47" t="n">
        <v>32915.92</v>
      </c>
      <c r="D1077" s="48" t="n">
        <v>1484.82</v>
      </c>
      <c r="E1077" s="49" t="n">
        <f aca="false">D1077-cover</f>
        <v>1483.62</v>
      </c>
      <c r="F1077" s="50" t="n">
        <f aca="false">'Z5 Ikana-Nkangamo'!S12-'Z5 Ikana-Nkangamo'!P12*C1077/'Z5 Ikana-Nkangamo'!G12</f>
        <v>1619.65890026573</v>
      </c>
      <c r="G1077" s="51" t="n">
        <f aca="false">'Z5 Ikana-Nkangamo'!$B$8-E1077</f>
        <v>184.38</v>
      </c>
      <c r="H1077" s="52" t="n">
        <f aca="false">F1077-E1077</f>
        <v>136.038900265729</v>
      </c>
      <c r="I1077" s="52" t="n">
        <f aca="false">MAX(H1077,G1077)</f>
        <v>184.38</v>
      </c>
      <c r="J1077" s="4" t="str">
        <f aca="false">IFERROR("PN"&amp;SMALL(PN_list,COUNTIF(PN_list,"&lt;"&amp;I1077*bar_per_m)+1),"&gt; max PN")</f>
        <v>PN25</v>
      </c>
      <c r="K1077" s="4" t="str">
        <f aca="false">IF(L1077="no","end at tank",IF(H1077&lt;0,"NEGATIVE",IF(H1077&lt;p_min-0.005,"low","OK")))</f>
        <v>OK</v>
      </c>
      <c r="L1077" s="4" t="s">
        <v>414</v>
      </c>
    </row>
    <row r="1078" customFormat="false" ht="15" hidden="false" customHeight="false" outlineLevel="0" collapsed="false">
      <c r="A1078" s="4" t="s">
        <v>42</v>
      </c>
      <c r="B1078" s="4" t="s">
        <v>368</v>
      </c>
      <c r="C1078" s="47" t="n">
        <v>32965.94</v>
      </c>
      <c r="D1078" s="48" t="n">
        <v>1483.45</v>
      </c>
      <c r="E1078" s="49" t="n">
        <f aca="false">D1078-cover</f>
        <v>1482.25</v>
      </c>
      <c r="F1078" s="50" t="n">
        <f aca="false">'Z5 Ikana-Nkangamo'!S12-'Z5 Ikana-Nkangamo'!P12*C1078/'Z5 Ikana-Nkangamo'!G12</f>
        <v>1619.59258196721</v>
      </c>
      <c r="G1078" s="51" t="n">
        <f aca="false">'Z5 Ikana-Nkangamo'!$B$8-E1078</f>
        <v>185.75</v>
      </c>
      <c r="H1078" s="52" t="n">
        <f aca="false">F1078-E1078</f>
        <v>137.342581967206</v>
      </c>
      <c r="I1078" s="52" t="n">
        <f aca="false">MAX(H1078,G1078)</f>
        <v>185.75</v>
      </c>
      <c r="J1078" s="4" t="str">
        <f aca="false">IFERROR("PN"&amp;SMALL(PN_list,COUNTIF(PN_list,"&lt;"&amp;I1078*bar_per_m)+1),"&gt; max PN")</f>
        <v>PN25</v>
      </c>
      <c r="K1078" s="4" t="str">
        <f aca="false">IF(L1078="no","end at tank",IF(H1078&lt;0,"NEGATIVE",IF(H1078&lt;p_min-0.005,"low","OK")))</f>
        <v>OK</v>
      </c>
      <c r="L1078" s="4" t="s">
        <v>414</v>
      </c>
    </row>
    <row r="1079" customFormat="false" ht="15" hidden="false" customHeight="false" outlineLevel="0" collapsed="false">
      <c r="A1079" s="4" t="s">
        <v>42</v>
      </c>
      <c r="B1079" s="4" t="s">
        <v>368</v>
      </c>
      <c r="C1079" s="47" t="n">
        <v>33015.98</v>
      </c>
      <c r="D1079" s="48" t="n">
        <v>1481.37</v>
      </c>
      <c r="E1079" s="49" t="n">
        <f aca="false">D1079-cover</f>
        <v>1480.17</v>
      </c>
      <c r="F1079" s="50" t="n">
        <f aca="false">'Z5 Ikana-Nkangamo'!S12-'Z5 Ikana-Nkangamo'!P12*C1079/'Z5 Ikana-Nkangamo'!G12</f>
        <v>1619.52623715197</v>
      </c>
      <c r="G1079" s="51" t="n">
        <f aca="false">'Z5 Ikana-Nkangamo'!$B$8-E1079</f>
        <v>187.83</v>
      </c>
      <c r="H1079" s="52" t="n">
        <f aca="false">F1079-E1079</f>
        <v>139.356237151971</v>
      </c>
      <c r="I1079" s="52" t="n">
        <f aca="false">MAX(H1079,G1079)</f>
        <v>187.83</v>
      </c>
      <c r="J1079" s="4" t="str">
        <f aca="false">IFERROR("PN"&amp;SMALL(PN_list,COUNTIF(PN_list,"&lt;"&amp;I1079*bar_per_m)+1),"&gt; max PN")</f>
        <v>PN25</v>
      </c>
      <c r="K1079" s="4" t="str">
        <f aca="false">IF(L1079="no","end at tank",IF(H1079&lt;0,"NEGATIVE",IF(H1079&lt;p_min-0.005,"low","OK")))</f>
        <v>OK</v>
      </c>
      <c r="L1079" s="4" t="s">
        <v>414</v>
      </c>
    </row>
    <row r="1080" customFormat="false" ht="15" hidden="false" customHeight="false" outlineLevel="0" collapsed="false">
      <c r="A1080" s="4" t="s">
        <v>42</v>
      </c>
      <c r="B1080" s="4" t="s">
        <v>368</v>
      </c>
      <c r="C1080" s="47" t="n">
        <v>33065.99</v>
      </c>
      <c r="D1080" s="48" t="n">
        <v>1482.36</v>
      </c>
      <c r="E1080" s="49" t="n">
        <f aca="false">D1080-cover</f>
        <v>1481.16</v>
      </c>
      <c r="F1080" s="50" t="n">
        <f aca="false">'Z5 Ikana-Nkangamo'!S12-'Z5 Ikana-Nkangamo'!P12*C1080/'Z5 Ikana-Nkangamo'!G12</f>
        <v>1619.4599321118</v>
      </c>
      <c r="G1080" s="51" t="n">
        <f aca="false">'Z5 Ikana-Nkangamo'!$B$8-E1080</f>
        <v>186.84</v>
      </c>
      <c r="H1080" s="52" t="n">
        <f aca="false">F1080-E1080</f>
        <v>138.299932111805</v>
      </c>
      <c r="I1080" s="52" t="n">
        <f aca="false">MAX(H1080,G1080)</f>
        <v>186.84</v>
      </c>
      <c r="J1080" s="4" t="str">
        <f aca="false">IFERROR("PN"&amp;SMALL(PN_list,COUNTIF(PN_list,"&lt;"&amp;I1080*bar_per_m)+1),"&gt; max PN")</f>
        <v>PN25</v>
      </c>
      <c r="K1080" s="4" t="str">
        <f aca="false">IF(L1080="no","end at tank",IF(H1080&lt;0,"NEGATIVE",IF(H1080&lt;p_min-0.005,"low","OK")))</f>
        <v>OK</v>
      </c>
      <c r="L1080" s="4" t="s">
        <v>414</v>
      </c>
    </row>
    <row r="1081" customFormat="false" ht="15" hidden="false" customHeight="false" outlineLevel="0" collapsed="false">
      <c r="A1081" s="4" t="s">
        <v>42</v>
      </c>
      <c r="B1081" s="4" t="s">
        <v>368</v>
      </c>
      <c r="C1081" s="47" t="n">
        <v>33116.01</v>
      </c>
      <c r="D1081" s="48" t="n">
        <v>1480.82</v>
      </c>
      <c r="E1081" s="49" t="n">
        <f aca="false">D1081-cover</f>
        <v>1479.62</v>
      </c>
      <c r="F1081" s="50" t="n">
        <f aca="false">'Z5 Ikana-Nkangamo'!S12-'Z5 Ikana-Nkangamo'!P12*C1081/'Z5 Ikana-Nkangamo'!G12</f>
        <v>1619.39361381328</v>
      </c>
      <c r="G1081" s="51" t="n">
        <f aca="false">'Z5 Ikana-Nkangamo'!$B$8-E1081</f>
        <v>188.38</v>
      </c>
      <c r="H1081" s="52" t="n">
        <f aca="false">F1081-E1081</f>
        <v>139.773613813282</v>
      </c>
      <c r="I1081" s="52" t="n">
        <f aca="false">MAX(H1081,G1081)</f>
        <v>188.38</v>
      </c>
      <c r="J1081" s="4" t="str">
        <f aca="false">IFERROR("PN"&amp;SMALL(PN_list,COUNTIF(PN_list,"&lt;"&amp;I1081*bar_per_m)+1),"&gt; max PN")</f>
        <v>PN25</v>
      </c>
      <c r="K1081" s="4" t="str">
        <f aca="false">IF(L1081="no","end at tank",IF(H1081&lt;0,"NEGATIVE",IF(H1081&lt;p_min-0.005,"low","OK")))</f>
        <v>OK</v>
      </c>
      <c r="L1081" s="4" t="s">
        <v>414</v>
      </c>
    </row>
    <row r="1082" customFormat="false" ht="15" hidden="false" customHeight="false" outlineLevel="0" collapsed="false">
      <c r="A1082" s="4" t="s">
        <v>42</v>
      </c>
      <c r="B1082" s="4" t="s">
        <v>368</v>
      </c>
      <c r="C1082" s="47" t="n">
        <v>33166.02</v>
      </c>
      <c r="D1082" s="48" t="n">
        <v>1480.38</v>
      </c>
      <c r="E1082" s="49" t="n">
        <f aca="false">D1082-cover</f>
        <v>1479.18</v>
      </c>
      <c r="F1082" s="50" t="n">
        <f aca="false">'Z5 Ikana-Nkangamo'!S12-'Z5 Ikana-Nkangamo'!P12*C1082/'Z5 Ikana-Nkangamo'!G12</f>
        <v>1619.32730877312</v>
      </c>
      <c r="G1082" s="51" t="n">
        <f aca="false">'Z5 Ikana-Nkangamo'!$B$8-E1082</f>
        <v>188.82</v>
      </c>
      <c r="H1082" s="52" t="n">
        <f aca="false">F1082-E1082</f>
        <v>140.147308773116</v>
      </c>
      <c r="I1082" s="52" t="n">
        <f aca="false">MAX(H1082,G1082)</f>
        <v>188.82</v>
      </c>
      <c r="J1082" s="4" t="str">
        <f aca="false">IFERROR("PN"&amp;SMALL(PN_list,COUNTIF(PN_list,"&lt;"&amp;I1082*bar_per_m)+1),"&gt; max PN")</f>
        <v>PN25</v>
      </c>
      <c r="K1082" s="4" t="str">
        <f aca="false">IF(L1082="no","end at tank",IF(H1082&lt;0,"NEGATIVE",IF(H1082&lt;p_min-0.005,"low","OK")))</f>
        <v>OK</v>
      </c>
      <c r="L1082" s="4" t="s">
        <v>414</v>
      </c>
    </row>
    <row r="1083" customFormat="false" ht="15" hidden="false" customHeight="false" outlineLevel="0" collapsed="false">
      <c r="A1083" s="4" t="s">
        <v>42</v>
      </c>
      <c r="B1083" s="4" t="s">
        <v>368</v>
      </c>
      <c r="C1083" s="47" t="n">
        <v>33216.02</v>
      </c>
      <c r="D1083" s="48" t="n">
        <v>1480.15</v>
      </c>
      <c r="E1083" s="49" t="n">
        <f aca="false">D1083-cover</f>
        <v>1478.95</v>
      </c>
      <c r="F1083" s="50" t="n">
        <f aca="false">'Z5 Ikana-Nkangamo'!S12-'Z5 Ikana-Nkangamo'!P12*C1083/'Z5 Ikana-Nkangamo'!G12</f>
        <v>1619.26101699131</v>
      </c>
      <c r="G1083" s="51" t="n">
        <f aca="false">'Z5 Ikana-Nkangamo'!$B$8-E1083</f>
        <v>189.05</v>
      </c>
      <c r="H1083" s="52" t="n">
        <f aca="false">F1083-E1083</f>
        <v>140.311016991306</v>
      </c>
      <c r="I1083" s="52" t="n">
        <f aca="false">MAX(H1083,G1083)</f>
        <v>189.05</v>
      </c>
      <c r="J1083" s="4" t="str">
        <f aca="false">IFERROR("PN"&amp;SMALL(PN_list,COUNTIF(PN_list,"&lt;"&amp;I1083*bar_per_m)+1),"&gt; max PN")</f>
        <v>PN25</v>
      </c>
      <c r="K1083" s="4" t="str">
        <f aca="false">IF(L1083="no","end at tank",IF(H1083&lt;0,"NEGATIVE",IF(H1083&lt;p_min-0.005,"low","OK")))</f>
        <v>OK</v>
      </c>
      <c r="L1083" s="4" t="s">
        <v>414</v>
      </c>
    </row>
    <row r="1084" customFormat="false" ht="15" hidden="false" customHeight="false" outlineLevel="0" collapsed="false">
      <c r="A1084" s="4" t="s">
        <v>42</v>
      </c>
      <c r="B1084" s="4" t="s">
        <v>368</v>
      </c>
      <c r="C1084" s="47" t="n">
        <v>33266.02</v>
      </c>
      <c r="D1084" s="48" t="n">
        <v>1479.62</v>
      </c>
      <c r="E1084" s="49" t="n">
        <f aca="false">D1084-cover</f>
        <v>1478.42</v>
      </c>
      <c r="F1084" s="50" t="n">
        <f aca="false">'Z5 Ikana-Nkangamo'!S12-'Z5 Ikana-Nkangamo'!P12*C1084/'Z5 Ikana-Nkangamo'!G12</f>
        <v>1619.1947252095</v>
      </c>
      <c r="G1084" s="51" t="n">
        <f aca="false">'Z5 Ikana-Nkangamo'!$B$8-E1084</f>
        <v>189.58</v>
      </c>
      <c r="H1084" s="52" t="n">
        <f aca="false">F1084-E1084</f>
        <v>140.774725209496</v>
      </c>
      <c r="I1084" s="52" t="n">
        <f aca="false">MAX(H1084,G1084)</f>
        <v>189.58</v>
      </c>
      <c r="J1084" s="4" t="str">
        <f aca="false">IFERROR("PN"&amp;SMALL(PN_list,COUNTIF(PN_list,"&lt;"&amp;I1084*bar_per_m)+1),"&gt; max PN")</f>
        <v>PN25</v>
      </c>
      <c r="K1084" s="4" t="str">
        <f aca="false">IF(L1084="no","end at tank",IF(H1084&lt;0,"NEGATIVE",IF(H1084&lt;p_min-0.005,"low","OK")))</f>
        <v>OK</v>
      </c>
      <c r="L1084" s="4" t="s">
        <v>414</v>
      </c>
    </row>
    <row r="1085" customFormat="false" ht="15" hidden="false" customHeight="false" outlineLevel="0" collapsed="false">
      <c r="A1085" s="4" t="s">
        <v>42</v>
      </c>
      <c r="B1085" s="4" t="s">
        <v>368</v>
      </c>
      <c r="C1085" s="47" t="n">
        <v>33316.02</v>
      </c>
      <c r="D1085" s="48" t="n">
        <v>1479.34</v>
      </c>
      <c r="E1085" s="49" t="n">
        <f aca="false">D1085-cover</f>
        <v>1478.14</v>
      </c>
      <c r="F1085" s="50" t="n">
        <f aca="false">'Z5 Ikana-Nkangamo'!S12-'Z5 Ikana-Nkangamo'!P12*C1085/'Z5 Ikana-Nkangamo'!G12</f>
        <v>1619.12843342769</v>
      </c>
      <c r="G1085" s="51" t="n">
        <f aca="false">'Z5 Ikana-Nkangamo'!$B$8-E1085</f>
        <v>189.86</v>
      </c>
      <c r="H1085" s="52" t="n">
        <f aca="false">F1085-E1085</f>
        <v>140.988433427686</v>
      </c>
      <c r="I1085" s="52" t="n">
        <f aca="false">MAX(H1085,G1085)</f>
        <v>189.86</v>
      </c>
      <c r="J1085" s="4" t="str">
        <f aca="false">IFERROR("PN"&amp;SMALL(PN_list,COUNTIF(PN_list,"&lt;"&amp;I1085*bar_per_m)+1),"&gt; max PN")</f>
        <v>PN25</v>
      </c>
      <c r="K1085" s="4" t="str">
        <f aca="false">IF(L1085="no","end at tank",IF(H1085&lt;0,"NEGATIVE",IF(H1085&lt;p_min-0.005,"low","OK")))</f>
        <v>OK</v>
      </c>
      <c r="L1085" s="4" t="s">
        <v>414</v>
      </c>
    </row>
    <row r="1086" customFormat="false" ht="15" hidden="false" customHeight="false" outlineLevel="0" collapsed="false">
      <c r="A1086" s="4" t="s">
        <v>42</v>
      </c>
      <c r="B1086" s="4" t="s">
        <v>368</v>
      </c>
      <c r="C1086" s="47" t="n">
        <v>33366.03</v>
      </c>
      <c r="D1086" s="48" t="n">
        <v>1478.27</v>
      </c>
      <c r="E1086" s="49" t="n">
        <f aca="false">D1086-cover</f>
        <v>1477.07</v>
      </c>
      <c r="F1086" s="50" t="n">
        <f aca="false">'Z5 Ikana-Nkangamo'!S12-'Z5 Ikana-Nkangamo'!P12*C1086/'Z5 Ikana-Nkangamo'!G12</f>
        <v>1619.06212838752</v>
      </c>
      <c r="G1086" s="51" t="n">
        <f aca="false">'Z5 Ikana-Nkangamo'!$B$8-E1086</f>
        <v>190.93</v>
      </c>
      <c r="H1086" s="52" t="n">
        <f aca="false">F1086-E1086</f>
        <v>141.992128387519</v>
      </c>
      <c r="I1086" s="52" t="n">
        <f aca="false">MAX(H1086,G1086)</f>
        <v>190.93</v>
      </c>
      <c r="J1086" s="4" t="str">
        <f aca="false">IFERROR("PN"&amp;SMALL(PN_list,COUNTIF(PN_list,"&lt;"&amp;I1086*bar_per_m)+1),"&gt; max PN")</f>
        <v>PN25</v>
      </c>
      <c r="K1086" s="4" t="str">
        <f aca="false">IF(L1086="no","end at tank",IF(H1086&lt;0,"NEGATIVE",IF(H1086&lt;p_min-0.005,"low","OK")))</f>
        <v>OK</v>
      </c>
      <c r="L1086" s="4" t="s">
        <v>414</v>
      </c>
    </row>
    <row r="1087" customFormat="false" ht="15" hidden="false" customHeight="false" outlineLevel="0" collapsed="false">
      <c r="A1087" s="4" t="s">
        <v>42</v>
      </c>
      <c r="B1087" s="4" t="s">
        <v>368</v>
      </c>
      <c r="C1087" s="47" t="n">
        <v>33416.03</v>
      </c>
      <c r="D1087" s="48" t="n">
        <v>1478.69</v>
      </c>
      <c r="E1087" s="49" t="n">
        <f aca="false">D1087-cover</f>
        <v>1477.49</v>
      </c>
      <c r="F1087" s="50" t="n">
        <f aca="false">'Z5 Ikana-Nkangamo'!S12-'Z5 Ikana-Nkangamo'!P12*C1087/'Z5 Ikana-Nkangamo'!G12</f>
        <v>1618.99583660571</v>
      </c>
      <c r="G1087" s="51" t="n">
        <f aca="false">'Z5 Ikana-Nkangamo'!$B$8-E1087</f>
        <v>190.51</v>
      </c>
      <c r="H1087" s="52" t="n">
        <f aca="false">F1087-E1087</f>
        <v>141.505836605709</v>
      </c>
      <c r="I1087" s="52" t="n">
        <f aca="false">MAX(H1087,G1087)</f>
        <v>190.51</v>
      </c>
      <c r="J1087" s="4" t="str">
        <f aca="false">IFERROR("PN"&amp;SMALL(PN_list,COUNTIF(PN_list,"&lt;"&amp;I1087*bar_per_m)+1),"&gt; max PN")</f>
        <v>PN25</v>
      </c>
      <c r="K1087" s="4" t="str">
        <f aca="false">IF(L1087="no","end at tank",IF(H1087&lt;0,"NEGATIVE",IF(H1087&lt;p_min-0.005,"low","OK")))</f>
        <v>OK</v>
      </c>
      <c r="L1087" s="4" t="s">
        <v>414</v>
      </c>
    </row>
    <row r="1088" customFormat="false" ht="15" hidden="false" customHeight="false" outlineLevel="0" collapsed="false">
      <c r="A1088" s="4" t="s">
        <v>42</v>
      </c>
      <c r="B1088" s="4" t="s">
        <v>368</v>
      </c>
      <c r="C1088" s="47" t="n">
        <v>33466.03</v>
      </c>
      <c r="D1088" s="48" t="n">
        <v>1479.11</v>
      </c>
      <c r="E1088" s="49" t="n">
        <f aca="false">D1088-cover</f>
        <v>1477.91</v>
      </c>
      <c r="F1088" s="50" t="n">
        <f aca="false">'Z5 Ikana-Nkangamo'!S12-'Z5 Ikana-Nkangamo'!P12*C1088/'Z5 Ikana-Nkangamo'!G12</f>
        <v>1618.9295448239</v>
      </c>
      <c r="G1088" s="51" t="n">
        <f aca="false">'Z5 Ikana-Nkangamo'!$B$8-E1088</f>
        <v>190.09</v>
      </c>
      <c r="H1088" s="52" t="n">
        <f aca="false">F1088-E1088</f>
        <v>141.0195448239</v>
      </c>
      <c r="I1088" s="52" t="n">
        <f aca="false">MAX(H1088,G1088)</f>
        <v>190.09</v>
      </c>
      <c r="J1088" s="4" t="str">
        <f aca="false">IFERROR("PN"&amp;SMALL(PN_list,COUNTIF(PN_list,"&lt;"&amp;I1088*bar_per_m)+1),"&gt; max PN")</f>
        <v>PN25</v>
      </c>
      <c r="K1088" s="4" t="str">
        <f aca="false">IF(L1088="no","end at tank",IF(H1088&lt;0,"NEGATIVE",IF(H1088&lt;p_min-0.005,"low","OK")))</f>
        <v>OK</v>
      </c>
      <c r="L1088" s="4" t="s">
        <v>414</v>
      </c>
    </row>
    <row r="1089" customFormat="false" ht="15" hidden="false" customHeight="false" outlineLevel="0" collapsed="false">
      <c r="A1089" s="4" t="s">
        <v>42</v>
      </c>
      <c r="B1089" s="4" t="s">
        <v>368</v>
      </c>
      <c r="C1089" s="47" t="n">
        <v>33516.05</v>
      </c>
      <c r="D1089" s="48" t="n">
        <v>1477.93</v>
      </c>
      <c r="E1089" s="49" t="n">
        <f aca="false">D1089-cover</f>
        <v>1476.73</v>
      </c>
      <c r="F1089" s="50" t="n">
        <f aca="false">'Z5 Ikana-Nkangamo'!S12-'Z5 Ikana-Nkangamo'!P12*C1089/'Z5 Ikana-Nkangamo'!G12</f>
        <v>1618.86322652538</v>
      </c>
      <c r="G1089" s="51" t="n">
        <f aca="false">'Z5 Ikana-Nkangamo'!$B$8-E1089</f>
        <v>191.27</v>
      </c>
      <c r="H1089" s="52" t="n">
        <f aca="false">F1089-E1089</f>
        <v>142.133226525377</v>
      </c>
      <c r="I1089" s="52" t="n">
        <f aca="false">MAX(H1089,G1089)</f>
        <v>191.27</v>
      </c>
      <c r="J1089" s="4" t="str">
        <f aca="false">IFERROR("PN"&amp;SMALL(PN_list,COUNTIF(PN_list,"&lt;"&amp;I1089*bar_per_m)+1),"&gt; max PN")</f>
        <v>PN25</v>
      </c>
      <c r="K1089" s="4" t="str">
        <f aca="false">IF(L1089="no","end at tank",IF(H1089&lt;0,"NEGATIVE",IF(H1089&lt;p_min-0.005,"low","OK")))</f>
        <v>OK</v>
      </c>
      <c r="L1089" s="4" t="s">
        <v>414</v>
      </c>
    </row>
    <row r="1090" customFormat="false" ht="15" hidden="false" customHeight="false" outlineLevel="0" collapsed="false">
      <c r="A1090" s="4" t="s">
        <v>42</v>
      </c>
      <c r="B1090" s="4" t="s">
        <v>368</v>
      </c>
      <c r="C1090" s="47" t="n">
        <v>33566.09</v>
      </c>
      <c r="D1090" s="48" t="n">
        <v>1479.91</v>
      </c>
      <c r="E1090" s="49" t="n">
        <f aca="false">D1090-cover</f>
        <v>1478.71</v>
      </c>
      <c r="F1090" s="50" t="n">
        <f aca="false">'Z5 Ikana-Nkangamo'!S12-'Z5 Ikana-Nkangamo'!P12*C1090/'Z5 Ikana-Nkangamo'!G12</f>
        <v>1618.79688171014</v>
      </c>
      <c r="G1090" s="51" t="n">
        <f aca="false">'Z5 Ikana-Nkangamo'!$B$8-E1090</f>
        <v>189.29</v>
      </c>
      <c r="H1090" s="52" t="n">
        <f aca="false">F1090-E1090</f>
        <v>140.086881710142</v>
      </c>
      <c r="I1090" s="52" t="n">
        <f aca="false">MAX(H1090,G1090)</f>
        <v>189.29</v>
      </c>
      <c r="J1090" s="4" t="str">
        <f aca="false">IFERROR("PN"&amp;SMALL(PN_list,COUNTIF(PN_list,"&lt;"&amp;I1090*bar_per_m)+1),"&gt; max PN")</f>
        <v>PN25</v>
      </c>
      <c r="K1090" s="4" t="str">
        <f aca="false">IF(L1090="no","end at tank",IF(H1090&lt;0,"NEGATIVE",IF(H1090&lt;p_min-0.005,"low","OK")))</f>
        <v>OK</v>
      </c>
      <c r="L1090" s="4" t="s">
        <v>414</v>
      </c>
    </row>
    <row r="1091" customFormat="false" ht="15" hidden="false" customHeight="false" outlineLevel="0" collapsed="false">
      <c r="A1091" s="4" t="s">
        <v>42</v>
      </c>
      <c r="B1091" s="4" t="s">
        <v>368</v>
      </c>
      <c r="C1091" s="47" t="n">
        <v>33616.16</v>
      </c>
      <c r="D1091" s="48" t="n">
        <v>1482.62</v>
      </c>
      <c r="E1091" s="49" t="n">
        <f aca="false">D1091-cover</f>
        <v>1481.42</v>
      </c>
      <c r="F1091" s="50" t="n">
        <f aca="false">'Z5 Ikana-Nkangamo'!S12-'Z5 Ikana-Nkangamo'!P12*C1091/'Z5 Ikana-Nkangamo'!G12</f>
        <v>1618.73049711984</v>
      </c>
      <c r="G1091" s="51" t="n">
        <f aca="false">'Z5 Ikana-Nkangamo'!$B$8-E1091</f>
        <v>186.58</v>
      </c>
      <c r="H1091" s="52" t="n">
        <f aca="false">F1091-E1091</f>
        <v>137.310497119837</v>
      </c>
      <c r="I1091" s="52" t="n">
        <f aca="false">MAX(H1091,G1091)</f>
        <v>186.58</v>
      </c>
      <c r="J1091" s="4" t="str">
        <f aca="false">IFERROR("PN"&amp;SMALL(PN_list,COUNTIF(PN_list,"&lt;"&amp;I1091*bar_per_m)+1),"&gt; max PN")</f>
        <v>PN25</v>
      </c>
      <c r="K1091" s="4" t="str">
        <f aca="false">IF(L1091="no","end at tank",IF(H1091&lt;0,"NEGATIVE",IF(H1091&lt;p_min-0.005,"low","OK")))</f>
        <v>OK</v>
      </c>
      <c r="L1091" s="4" t="s">
        <v>414</v>
      </c>
    </row>
    <row r="1092" customFormat="false" ht="15" hidden="false" customHeight="false" outlineLevel="0" collapsed="false">
      <c r="A1092" s="4" t="s">
        <v>42</v>
      </c>
      <c r="B1092" s="4" t="s">
        <v>368</v>
      </c>
      <c r="C1092" s="47" t="n">
        <v>33666.19</v>
      </c>
      <c r="D1092" s="48" t="n">
        <v>1484.3</v>
      </c>
      <c r="E1092" s="49" t="n">
        <f aca="false">D1092-cover</f>
        <v>1483.1</v>
      </c>
      <c r="F1092" s="50" t="n">
        <f aca="false">'Z5 Ikana-Nkangamo'!S12-'Z5 Ikana-Nkangamo'!P12*C1092/'Z5 Ikana-Nkangamo'!G12</f>
        <v>1618.66416556296</v>
      </c>
      <c r="G1092" s="51" t="n">
        <f aca="false">'Z5 Ikana-Nkangamo'!$B$8-E1092</f>
        <v>184.9</v>
      </c>
      <c r="H1092" s="52" t="n">
        <f aca="false">F1092-E1092</f>
        <v>135.564165562958</v>
      </c>
      <c r="I1092" s="52" t="n">
        <f aca="false">MAX(H1092,G1092)</f>
        <v>184.9</v>
      </c>
      <c r="J1092" s="4" t="str">
        <f aca="false">IFERROR("PN"&amp;SMALL(PN_list,COUNTIF(PN_list,"&lt;"&amp;I1092*bar_per_m)+1),"&gt; max PN")</f>
        <v>PN25</v>
      </c>
      <c r="K1092" s="4" t="str">
        <f aca="false">IF(L1092="no","end at tank",IF(H1092&lt;0,"NEGATIVE",IF(H1092&lt;p_min-0.005,"low","OK")))</f>
        <v>OK</v>
      </c>
      <c r="L1092" s="4" t="s">
        <v>414</v>
      </c>
    </row>
    <row r="1093" customFormat="false" ht="15" hidden="false" customHeight="false" outlineLevel="0" collapsed="false">
      <c r="A1093" s="4" t="s">
        <v>42</v>
      </c>
      <c r="B1093" s="4" t="s">
        <v>368</v>
      </c>
      <c r="C1093" s="47" t="n">
        <v>33716.31</v>
      </c>
      <c r="D1093" s="48" t="n">
        <v>1487.82</v>
      </c>
      <c r="E1093" s="49" t="n">
        <f aca="false">D1093-cover</f>
        <v>1486.62</v>
      </c>
      <c r="F1093" s="50" t="n">
        <f aca="false">'Z5 Ikana-Nkangamo'!S12-'Z5 Ikana-Nkangamo'!P12*C1093/'Z5 Ikana-Nkangamo'!G12</f>
        <v>1618.59771468087</v>
      </c>
      <c r="G1093" s="51" t="n">
        <f aca="false">'Z5 Ikana-Nkangamo'!$B$8-E1093</f>
        <v>181.38</v>
      </c>
      <c r="H1093" s="52" t="n">
        <f aca="false">F1093-E1093</f>
        <v>131.977714680872</v>
      </c>
      <c r="I1093" s="52" t="n">
        <f aca="false">MAX(H1093,G1093)</f>
        <v>181.38</v>
      </c>
      <c r="J1093" s="4" t="str">
        <f aca="false">IFERROR("PN"&amp;SMALL(PN_list,COUNTIF(PN_list,"&lt;"&amp;I1093*bar_per_m)+1),"&gt; max PN")</f>
        <v>PN25</v>
      </c>
      <c r="K1093" s="4" t="str">
        <f aca="false">IF(L1093="no","end at tank",IF(H1093&lt;0,"NEGATIVE",IF(H1093&lt;p_min-0.005,"low","OK")))</f>
        <v>OK</v>
      </c>
      <c r="L1093" s="4" t="s">
        <v>414</v>
      </c>
    </row>
    <row r="1094" customFormat="false" ht="15" hidden="false" customHeight="false" outlineLevel="0" collapsed="false">
      <c r="A1094" s="4" t="s">
        <v>42</v>
      </c>
      <c r="B1094" s="4" t="s">
        <v>368</v>
      </c>
      <c r="C1094" s="47" t="n">
        <v>33766.32</v>
      </c>
      <c r="D1094" s="48" t="n">
        <v>1488.67</v>
      </c>
      <c r="E1094" s="49" t="n">
        <f aca="false">D1094-cover</f>
        <v>1487.47</v>
      </c>
      <c r="F1094" s="50" t="n">
        <f aca="false">'Z5 Ikana-Nkangamo'!S12-'Z5 Ikana-Nkangamo'!P12*C1094/'Z5 Ikana-Nkangamo'!G12</f>
        <v>1618.53140964071</v>
      </c>
      <c r="G1094" s="51" t="n">
        <f aca="false">'Z5 Ikana-Nkangamo'!$B$8-E1094</f>
        <v>180.53</v>
      </c>
      <c r="H1094" s="52" t="n">
        <f aca="false">F1094-E1094</f>
        <v>131.061409640706</v>
      </c>
      <c r="I1094" s="52" t="n">
        <f aca="false">MAX(H1094,G1094)</f>
        <v>180.53</v>
      </c>
      <c r="J1094" s="4" t="str">
        <f aca="false">IFERROR("PN"&amp;SMALL(PN_list,COUNTIF(PN_list,"&lt;"&amp;I1094*bar_per_m)+1),"&gt; max PN")</f>
        <v>PN25</v>
      </c>
      <c r="K1094" s="4" t="str">
        <f aca="false">IF(L1094="no","end at tank",IF(H1094&lt;0,"NEGATIVE",IF(H1094&lt;p_min-0.005,"low","OK")))</f>
        <v>OK</v>
      </c>
      <c r="L1094" s="4" t="s">
        <v>414</v>
      </c>
    </row>
    <row r="1095" customFormat="false" ht="15" hidden="false" customHeight="false" outlineLevel="0" collapsed="false">
      <c r="A1095" s="4" t="s">
        <v>42</v>
      </c>
      <c r="B1095" s="4" t="s">
        <v>368</v>
      </c>
      <c r="C1095" s="47" t="n">
        <v>33816.41</v>
      </c>
      <c r="D1095" s="48" t="n">
        <v>1491.61</v>
      </c>
      <c r="E1095" s="49" t="n">
        <f aca="false">D1095-cover</f>
        <v>1490.41</v>
      </c>
      <c r="F1095" s="50" t="n">
        <f aca="false">'Z5 Ikana-Nkangamo'!S12-'Z5 Ikana-Nkangamo'!P12*C1095/'Z5 Ikana-Nkangamo'!G12</f>
        <v>1618.46499853369</v>
      </c>
      <c r="G1095" s="51" t="n">
        <f aca="false">'Z5 Ikana-Nkangamo'!$B$8-E1095</f>
        <v>177.59</v>
      </c>
      <c r="H1095" s="52" t="n">
        <f aca="false">F1095-E1095</f>
        <v>128.054998533688</v>
      </c>
      <c r="I1095" s="52" t="n">
        <f aca="false">MAX(H1095,G1095)</f>
        <v>177.59</v>
      </c>
      <c r="J1095" s="4" t="str">
        <f aca="false">IFERROR("PN"&amp;SMALL(PN_list,COUNTIF(PN_list,"&lt;"&amp;I1095*bar_per_m)+1),"&gt; max PN")</f>
        <v>PN25</v>
      </c>
      <c r="K1095" s="4" t="str">
        <f aca="false">IF(L1095="no","end at tank",IF(H1095&lt;0,"NEGATIVE",IF(H1095&lt;p_min-0.005,"low","OK")))</f>
        <v>OK</v>
      </c>
      <c r="L1095" s="4" t="s">
        <v>414</v>
      </c>
    </row>
    <row r="1096" customFormat="false" ht="15" hidden="false" customHeight="false" outlineLevel="0" collapsed="false">
      <c r="A1096" s="4" t="s">
        <v>42</v>
      </c>
      <c r="B1096" s="4" t="s">
        <v>368</v>
      </c>
      <c r="C1096" s="47" t="n">
        <v>33866.5</v>
      </c>
      <c r="D1096" s="48" t="n">
        <v>1494.7</v>
      </c>
      <c r="E1096" s="49" t="n">
        <f aca="false">D1096-cover</f>
        <v>1493.5</v>
      </c>
      <c r="F1096" s="50" t="n">
        <f aca="false">'Z5 Ikana-Nkangamo'!S12-'Z5 Ikana-Nkangamo'!P12*C1096/'Z5 Ikana-Nkangamo'!G12</f>
        <v>1618.39858742667</v>
      </c>
      <c r="G1096" s="51" t="n">
        <f aca="false">'Z5 Ikana-Nkangamo'!$B$8-E1096</f>
        <v>174.5</v>
      </c>
      <c r="H1096" s="52" t="n">
        <f aca="false">F1096-E1096</f>
        <v>124.898587426671</v>
      </c>
      <c r="I1096" s="52" t="n">
        <f aca="false">MAX(H1096,G1096)</f>
        <v>174.5</v>
      </c>
      <c r="J1096" s="4" t="str">
        <f aca="false">IFERROR("PN"&amp;SMALL(PN_list,COUNTIF(PN_list,"&lt;"&amp;I1096*bar_per_m)+1),"&gt; max PN")</f>
        <v>PN25</v>
      </c>
      <c r="K1096" s="4" t="str">
        <f aca="false">IF(L1096="no","end at tank",IF(H1096&lt;0,"NEGATIVE",IF(H1096&lt;p_min-0.005,"low","OK")))</f>
        <v>OK</v>
      </c>
      <c r="L1096" s="4" t="s">
        <v>414</v>
      </c>
    </row>
    <row r="1097" customFormat="false" ht="15" hidden="false" customHeight="false" outlineLevel="0" collapsed="false">
      <c r="A1097" s="4" t="s">
        <v>42</v>
      </c>
      <c r="B1097" s="4" t="s">
        <v>368</v>
      </c>
      <c r="C1097" s="47" t="n">
        <v>33916.51</v>
      </c>
      <c r="D1097" s="48" t="n">
        <v>1495.41</v>
      </c>
      <c r="E1097" s="49" t="n">
        <f aca="false">D1097-cover</f>
        <v>1494.21</v>
      </c>
      <c r="F1097" s="50" t="n">
        <f aca="false">'Z5 Ikana-Nkangamo'!S12-'Z5 Ikana-Nkangamo'!P12*C1097/'Z5 Ikana-Nkangamo'!G12</f>
        <v>1618.3322823865</v>
      </c>
      <c r="G1097" s="51" t="n">
        <f aca="false">'Z5 Ikana-Nkangamo'!$B$8-E1097</f>
        <v>173.79</v>
      </c>
      <c r="H1097" s="52" t="n">
        <f aca="false">F1097-E1097</f>
        <v>124.122282386505</v>
      </c>
      <c r="I1097" s="52" t="n">
        <f aca="false">MAX(H1097,G1097)</f>
        <v>173.79</v>
      </c>
      <c r="J1097" s="4" t="str">
        <f aca="false">IFERROR("PN"&amp;SMALL(PN_list,COUNTIF(PN_list,"&lt;"&amp;I1097*bar_per_m)+1),"&gt; max PN")</f>
        <v>PN25</v>
      </c>
      <c r="K1097" s="4" t="str">
        <f aca="false">IF(L1097="no","end at tank",IF(H1097&lt;0,"NEGATIVE",IF(H1097&lt;p_min-0.005,"low","OK")))</f>
        <v>OK</v>
      </c>
      <c r="L1097" s="4" t="s">
        <v>414</v>
      </c>
    </row>
    <row r="1098" customFormat="false" ht="15" hidden="false" customHeight="false" outlineLevel="0" collapsed="false">
      <c r="A1098" s="4" t="s">
        <v>42</v>
      </c>
      <c r="B1098" s="4" t="s">
        <v>368</v>
      </c>
      <c r="C1098" s="47" t="n">
        <v>33966.54</v>
      </c>
      <c r="D1098" s="48" t="n">
        <v>1497.31</v>
      </c>
      <c r="E1098" s="49" t="n">
        <f aca="false">D1098-cover</f>
        <v>1496.11</v>
      </c>
      <c r="F1098" s="50" t="n">
        <f aca="false">'Z5 Ikana-Nkangamo'!S12-'Z5 Ikana-Nkangamo'!P12*C1098/'Z5 Ikana-Nkangamo'!G12</f>
        <v>1618.26595082963</v>
      </c>
      <c r="G1098" s="51" t="n">
        <f aca="false">'Z5 Ikana-Nkangamo'!$B$8-E1098</f>
        <v>171.89</v>
      </c>
      <c r="H1098" s="52" t="n">
        <f aca="false">F1098-E1098</f>
        <v>122.155950829626</v>
      </c>
      <c r="I1098" s="52" t="n">
        <f aca="false">MAX(H1098,G1098)</f>
        <v>171.89</v>
      </c>
      <c r="J1098" s="4" t="str">
        <f aca="false">IFERROR("PN"&amp;SMALL(PN_list,COUNTIF(PN_list,"&lt;"&amp;I1098*bar_per_m)+1),"&gt; max PN")</f>
        <v>PN25</v>
      </c>
      <c r="K1098" s="4" t="str">
        <f aca="false">IF(L1098="no","end at tank",IF(H1098&lt;0,"NEGATIVE",IF(H1098&lt;p_min-0.005,"low","OK")))</f>
        <v>OK</v>
      </c>
      <c r="L1098" s="4" t="s">
        <v>414</v>
      </c>
    </row>
    <row r="1099" customFormat="false" ht="15" hidden="false" customHeight="false" outlineLevel="0" collapsed="false">
      <c r="A1099" s="4" t="s">
        <v>42</v>
      </c>
      <c r="B1099" s="4" t="s">
        <v>368</v>
      </c>
      <c r="C1099" s="47" t="n">
        <v>34016.56</v>
      </c>
      <c r="D1099" s="48" t="n">
        <v>1498.6</v>
      </c>
      <c r="E1099" s="49" t="n">
        <f aca="false">D1099-cover</f>
        <v>1497.4</v>
      </c>
      <c r="F1099" s="50" t="n">
        <f aca="false">'Z5 Ikana-Nkangamo'!S12-'Z5 Ikana-Nkangamo'!P12*C1099/'Z5 Ikana-Nkangamo'!G12</f>
        <v>1618.1996325311</v>
      </c>
      <c r="G1099" s="51" t="n">
        <f aca="false">'Z5 Ikana-Nkangamo'!$B$8-E1099</f>
        <v>170.6</v>
      </c>
      <c r="H1099" s="52" t="n">
        <f aca="false">F1099-E1099</f>
        <v>120.799632531103</v>
      </c>
      <c r="I1099" s="52" t="n">
        <f aca="false">MAX(H1099,G1099)</f>
        <v>170.6</v>
      </c>
      <c r="J1099" s="4" t="str">
        <f aca="false">IFERROR("PN"&amp;SMALL(PN_list,COUNTIF(PN_list,"&lt;"&amp;I1099*bar_per_m)+1),"&gt; max PN")</f>
        <v>PN25</v>
      </c>
      <c r="K1099" s="4" t="str">
        <f aca="false">IF(L1099="no","end at tank",IF(H1099&lt;0,"NEGATIVE",IF(H1099&lt;p_min-0.005,"low","OK")))</f>
        <v>OK</v>
      </c>
      <c r="L1099" s="4" t="s">
        <v>414</v>
      </c>
    </row>
    <row r="1100" customFormat="false" ht="15" hidden="false" customHeight="false" outlineLevel="0" collapsed="false">
      <c r="A1100" s="4" t="s">
        <v>42</v>
      </c>
      <c r="B1100" s="4" t="s">
        <v>368</v>
      </c>
      <c r="C1100" s="47" t="n">
        <v>34066.58</v>
      </c>
      <c r="D1100" s="48" t="n">
        <v>1500.12</v>
      </c>
      <c r="E1100" s="49" t="n">
        <f aca="false">D1100-cover</f>
        <v>1498.92</v>
      </c>
      <c r="F1100" s="50" t="n">
        <f aca="false">'Z5 Ikana-Nkangamo'!S12-'Z5 Ikana-Nkangamo'!P12*C1100/'Z5 Ikana-Nkangamo'!G12</f>
        <v>1618.13331423258</v>
      </c>
      <c r="G1100" s="51" t="n">
        <f aca="false">'Z5 Ikana-Nkangamo'!$B$8-E1100</f>
        <v>169.08</v>
      </c>
      <c r="H1100" s="52" t="n">
        <f aca="false">F1100-E1100</f>
        <v>119.21331423258</v>
      </c>
      <c r="I1100" s="52" t="n">
        <f aca="false">MAX(H1100,G1100)</f>
        <v>169.08</v>
      </c>
      <c r="J1100" s="4" t="str">
        <f aca="false">IFERROR("PN"&amp;SMALL(PN_list,COUNTIF(PN_list,"&lt;"&amp;I1100*bar_per_m)+1),"&gt; max PN")</f>
        <v>PN25</v>
      </c>
      <c r="K1100" s="4" t="str">
        <f aca="false">IF(L1100="no","end at tank",IF(H1100&lt;0,"NEGATIVE",IF(H1100&lt;p_min-0.005,"low","OK")))</f>
        <v>OK</v>
      </c>
      <c r="L1100" s="4" t="s">
        <v>414</v>
      </c>
    </row>
    <row r="1101" customFormat="false" ht="15" hidden="false" customHeight="false" outlineLevel="0" collapsed="false">
      <c r="A1101" s="4" t="s">
        <v>42</v>
      </c>
      <c r="B1101" s="4" t="s">
        <v>368</v>
      </c>
      <c r="C1101" s="47" t="n">
        <v>34116.59</v>
      </c>
      <c r="D1101" s="48" t="n">
        <v>1500.97</v>
      </c>
      <c r="E1101" s="49" t="n">
        <f aca="false">D1101-cover</f>
        <v>1499.77</v>
      </c>
      <c r="F1101" s="50" t="n">
        <f aca="false">'Z5 Ikana-Nkangamo'!S12-'Z5 Ikana-Nkangamo'!P12*C1101/'Z5 Ikana-Nkangamo'!G12</f>
        <v>1618.06700919241</v>
      </c>
      <c r="G1101" s="51" t="n">
        <f aca="false">'Z5 Ikana-Nkangamo'!$B$8-E1101</f>
        <v>168.23</v>
      </c>
      <c r="H1101" s="52" t="n">
        <f aca="false">F1101-E1101</f>
        <v>118.297009192414</v>
      </c>
      <c r="I1101" s="52" t="n">
        <f aca="false">MAX(H1101,G1101)</f>
        <v>168.23</v>
      </c>
      <c r="J1101" s="4" t="str">
        <f aca="false">IFERROR("PN"&amp;SMALL(PN_list,COUNTIF(PN_list,"&lt;"&amp;I1101*bar_per_m)+1),"&gt; max PN")</f>
        <v>PN25</v>
      </c>
      <c r="K1101" s="4" t="str">
        <f aca="false">IF(L1101="no","end at tank",IF(H1101&lt;0,"NEGATIVE",IF(H1101&lt;p_min-0.005,"low","OK")))</f>
        <v>OK</v>
      </c>
      <c r="L1101" s="4" t="s">
        <v>414</v>
      </c>
    </row>
    <row r="1102" customFormat="false" ht="15" hidden="false" customHeight="false" outlineLevel="0" collapsed="false">
      <c r="A1102" s="4" t="s">
        <v>42</v>
      </c>
      <c r="B1102" s="4" t="s">
        <v>368</v>
      </c>
      <c r="C1102" s="47" t="n">
        <v>34166.59</v>
      </c>
      <c r="D1102" s="48" t="n">
        <v>1501.46</v>
      </c>
      <c r="E1102" s="49" t="n">
        <f aca="false">D1102-cover</f>
        <v>1500.26</v>
      </c>
      <c r="F1102" s="50" t="n">
        <f aca="false">'Z5 Ikana-Nkangamo'!S12-'Z5 Ikana-Nkangamo'!P12*C1102/'Z5 Ikana-Nkangamo'!G12</f>
        <v>1618.0007174106</v>
      </c>
      <c r="G1102" s="51" t="n">
        <f aca="false">'Z5 Ikana-Nkangamo'!$B$8-E1102</f>
        <v>167.74</v>
      </c>
      <c r="H1102" s="52" t="n">
        <f aca="false">F1102-E1102</f>
        <v>117.740717410604</v>
      </c>
      <c r="I1102" s="52" t="n">
        <f aca="false">MAX(H1102,G1102)</f>
        <v>167.74</v>
      </c>
      <c r="J1102" s="4" t="str">
        <f aca="false">IFERROR("PN"&amp;SMALL(PN_list,COUNTIF(PN_list,"&lt;"&amp;I1102*bar_per_m)+1),"&gt; max PN")</f>
        <v>PN25</v>
      </c>
      <c r="K1102" s="4" t="str">
        <f aca="false">IF(L1102="no","end at tank",IF(H1102&lt;0,"NEGATIVE",IF(H1102&lt;p_min-0.005,"low","OK")))</f>
        <v>OK</v>
      </c>
      <c r="L1102" s="4" t="s">
        <v>414</v>
      </c>
    </row>
    <row r="1103" customFormat="false" ht="15" hidden="false" customHeight="false" outlineLevel="0" collapsed="false">
      <c r="A1103" s="4" t="s">
        <v>42</v>
      </c>
      <c r="B1103" s="4" t="s">
        <v>368</v>
      </c>
      <c r="C1103" s="47" t="n">
        <v>34216.6</v>
      </c>
      <c r="D1103" s="48" t="n">
        <v>1502.59</v>
      </c>
      <c r="E1103" s="49" t="n">
        <f aca="false">D1103-cover</f>
        <v>1501.39</v>
      </c>
      <c r="F1103" s="50" t="n">
        <f aca="false">'Z5 Ikana-Nkangamo'!S12-'Z5 Ikana-Nkangamo'!P12*C1103/'Z5 Ikana-Nkangamo'!G12</f>
        <v>1617.93441237044</v>
      </c>
      <c r="G1103" s="51" t="n">
        <f aca="false">'Z5 Ikana-Nkangamo'!$B$8-E1103</f>
        <v>166.61</v>
      </c>
      <c r="H1103" s="52" t="n">
        <f aca="false">F1103-E1103</f>
        <v>116.544412370438</v>
      </c>
      <c r="I1103" s="52" t="n">
        <f aca="false">MAX(H1103,G1103)</f>
        <v>166.61</v>
      </c>
      <c r="J1103" s="4" t="str">
        <f aca="false">IFERROR("PN"&amp;SMALL(PN_list,COUNTIF(PN_list,"&lt;"&amp;I1103*bar_per_m)+1),"&gt; max PN")</f>
        <v>PN25</v>
      </c>
      <c r="K1103" s="4" t="str">
        <f aca="false">IF(L1103="no","end at tank",IF(H1103&lt;0,"NEGATIVE",IF(H1103&lt;p_min-0.005,"low","OK")))</f>
        <v>OK</v>
      </c>
      <c r="L1103" s="4" t="s">
        <v>414</v>
      </c>
    </row>
    <row r="1104" customFormat="false" ht="15" hidden="false" customHeight="false" outlineLevel="0" collapsed="false">
      <c r="A1104" s="4" t="s">
        <v>42</v>
      </c>
      <c r="B1104" s="4" t="s">
        <v>368</v>
      </c>
      <c r="C1104" s="47" t="n">
        <v>34266.61</v>
      </c>
      <c r="D1104" s="48" t="n">
        <v>1503.02</v>
      </c>
      <c r="E1104" s="49" t="n">
        <f aca="false">D1104-cover</f>
        <v>1501.82</v>
      </c>
      <c r="F1104" s="50" t="n">
        <f aca="false">'Z5 Ikana-Nkangamo'!S12-'Z5 Ikana-Nkangamo'!P12*C1104/'Z5 Ikana-Nkangamo'!G12</f>
        <v>1617.86810733027</v>
      </c>
      <c r="G1104" s="51" t="n">
        <f aca="false">'Z5 Ikana-Nkangamo'!$B$8-E1104</f>
        <v>166.18</v>
      </c>
      <c r="H1104" s="52" t="n">
        <f aca="false">F1104-E1104</f>
        <v>116.048107330271</v>
      </c>
      <c r="I1104" s="52" t="n">
        <f aca="false">MAX(H1104,G1104)</f>
        <v>166.18</v>
      </c>
      <c r="J1104" s="4" t="str">
        <f aca="false">IFERROR("PN"&amp;SMALL(PN_list,COUNTIF(PN_list,"&lt;"&amp;I1104*bar_per_m)+1),"&gt; max PN")</f>
        <v>PN25</v>
      </c>
      <c r="K1104" s="4" t="str">
        <f aca="false">IF(L1104="no","end at tank",IF(H1104&lt;0,"NEGATIVE",IF(H1104&lt;p_min-0.005,"low","OK")))</f>
        <v>OK</v>
      </c>
      <c r="L1104" s="4" t="s">
        <v>414</v>
      </c>
    </row>
    <row r="1105" customFormat="false" ht="15" hidden="false" customHeight="false" outlineLevel="0" collapsed="false">
      <c r="A1105" s="4" t="s">
        <v>42</v>
      </c>
      <c r="B1105" s="4" t="s">
        <v>368</v>
      </c>
      <c r="C1105" s="47" t="n">
        <v>34316.61</v>
      </c>
      <c r="D1105" s="48" t="n">
        <v>1503.11</v>
      </c>
      <c r="E1105" s="49" t="n">
        <f aca="false">D1105-cover</f>
        <v>1501.91</v>
      </c>
      <c r="F1105" s="50" t="n">
        <f aca="false">'Z5 Ikana-Nkangamo'!S12-'Z5 Ikana-Nkangamo'!P12*C1105/'Z5 Ikana-Nkangamo'!G12</f>
        <v>1617.80181554846</v>
      </c>
      <c r="G1105" s="51" t="n">
        <f aca="false">'Z5 Ikana-Nkangamo'!$B$8-E1105</f>
        <v>166.09</v>
      </c>
      <c r="H1105" s="52" t="n">
        <f aca="false">F1105-E1105</f>
        <v>115.891815548462</v>
      </c>
      <c r="I1105" s="52" t="n">
        <f aca="false">MAX(H1105,G1105)</f>
        <v>166.09</v>
      </c>
      <c r="J1105" s="4" t="str">
        <f aca="false">IFERROR("PN"&amp;SMALL(PN_list,COUNTIF(PN_list,"&lt;"&amp;I1105*bar_per_m)+1),"&gt; max PN")</f>
        <v>PN25</v>
      </c>
      <c r="K1105" s="4" t="str">
        <f aca="false">IF(L1105="no","end at tank",IF(H1105&lt;0,"NEGATIVE",IF(H1105&lt;p_min-0.005,"low","OK")))</f>
        <v>OK</v>
      </c>
      <c r="L1105" s="4" t="s">
        <v>414</v>
      </c>
    </row>
    <row r="1106" customFormat="false" ht="15" hidden="false" customHeight="false" outlineLevel="0" collapsed="false">
      <c r="A1106" s="4" t="s">
        <v>42</v>
      </c>
      <c r="B1106" s="4" t="s">
        <v>368</v>
      </c>
      <c r="C1106" s="47" t="n">
        <v>34366.61</v>
      </c>
      <c r="D1106" s="48" t="n">
        <v>1503.19</v>
      </c>
      <c r="E1106" s="49" t="n">
        <f aca="false">D1106-cover</f>
        <v>1501.99</v>
      </c>
      <c r="F1106" s="50" t="n">
        <f aca="false">'Z5 Ikana-Nkangamo'!S12-'Z5 Ikana-Nkangamo'!P12*C1106/'Z5 Ikana-Nkangamo'!G12</f>
        <v>1617.73552376665</v>
      </c>
      <c r="G1106" s="51" t="n">
        <f aca="false">'Z5 Ikana-Nkangamo'!$B$8-E1106</f>
        <v>166.01</v>
      </c>
      <c r="H1106" s="52" t="n">
        <f aca="false">F1106-E1106</f>
        <v>115.745523766652</v>
      </c>
      <c r="I1106" s="52" t="n">
        <f aca="false">MAX(H1106,G1106)</f>
        <v>166.01</v>
      </c>
      <c r="J1106" s="4" t="str">
        <f aca="false">IFERROR("PN"&amp;SMALL(PN_list,COUNTIF(PN_list,"&lt;"&amp;I1106*bar_per_m)+1),"&gt; max PN")</f>
        <v>PN25</v>
      </c>
      <c r="K1106" s="4" t="str">
        <f aca="false">IF(L1106="no","end at tank",IF(H1106&lt;0,"NEGATIVE",IF(H1106&lt;p_min-0.005,"low","OK")))</f>
        <v>OK</v>
      </c>
      <c r="L1106" s="4" t="s">
        <v>414</v>
      </c>
    </row>
    <row r="1107" customFormat="false" ht="15" hidden="false" customHeight="false" outlineLevel="0" collapsed="false">
      <c r="A1107" s="4" t="s">
        <v>42</v>
      </c>
      <c r="B1107" s="4" t="s">
        <v>368</v>
      </c>
      <c r="C1107" s="47" t="n">
        <v>34416.61</v>
      </c>
      <c r="D1107" s="48" t="n">
        <v>1503.98</v>
      </c>
      <c r="E1107" s="49" t="n">
        <f aca="false">D1107-cover</f>
        <v>1502.78</v>
      </c>
      <c r="F1107" s="50" t="n">
        <f aca="false">'Z5 Ikana-Nkangamo'!S12-'Z5 Ikana-Nkangamo'!P12*C1107/'Z5 Ikana-Nkangamo'!G12</f>
        <v>1617.66923198484</v>
      </c>
      <c r="G1107" s="51" t="n">
        <f aca="false">'Z5 Ikana-Nkangamo'!$B$8-E1107</f>
        <v>165.22</v>
      </c>
      <c r="H1107" s="52" t="n">
        <f aca="false">F1107-E1107</f>
        <v>114.889231984842</v>
      </c>
      <c r="I1107" s="52" t="n">
        <f aca="false">MAX(H1107,G1107)</f>
        <v>165.22</v>
      </c>
      <c r="J1107" s="4" t="str">
        <f aca="false">IFERROR("PN"&amp;SMALL(PN_list,COUNTIF(PN_list,"&lt;"&amp;I1107*bar_per_m)+1),"&gt; max PN")</f>
        <v>PN25</v>
      </c>
      <c r="K1107" s="4" t="str">
        <f aca="false">IF(L1107="no","end at tank",IF(H1107&lt;0,"NEGATIVE",IF(H1107&lt;p_min-0.005,"low","OK")))</f>
        <v>OK</v>
      </c>
      <c r="L1107" s="4" t="s">
        <v>414</v>
      </c>
    </row>
    <row r="1108" customFormat="false" ht="15" hidden="false" customHeight="false" outlineLevel="0" collapsed="false">
      <c r="A1108" s="4" t="s">
        <v>42</v>
      </c>
      <c r="B1108" s="4" t="s">
        <v>368</v>
      </c>
      <c r="C1108" s="47" t="n">
        <v>34466.61</v>
      </c>
      <c r="D1108" s="48" t="n">
        <v>1503.65</v>
      </c>
      <c r="E1108" s="49" t="n">
        <f aca="false">D1108-cover</f>
        <v>1502.45</v>
      </c>
      <c r="F1108" s="50" t="n">
        <f aca="false">'Z5 Ikana-Nkangamo'!S12-'Z5 Ikana-Nkangamo'!P12*C1108/'Z5 Ikana-Nkangamo'!G12</f>
        <v>1617.60294020303</v>
      </c>
      <c r="G1108" s="51" t="n">
        <f aca="false">'Z5 Ikana-Nkangamo'!$B$8-E1108</f>
        <v>165.55</v>
      </c>
      <c r="H1108" s="52" t="n">
        <f aca="false">F1108-E1108</f>
        <v>115.152940203032</v>
      </c>
      <c r="I1108" s="52" t="n">
        <f aca="false">MAX(H1108,G1108)</f>
        <v>165.55</v>
      </c>
      <c r="J1108" s="4" t="str">
        <f aca="false">IFERROR("PN"&amp;SMALL(PN_list,COUNTIF(PN_list,"&lt;"&amp;I1108*bar_per_m)+1),"&gt; max PN")</f>
        <v>PN25</v>
      </c>
      <c r="K1108" s="4" t="str">
        <f aca="false">IF(L1108="no","end at tank",IF(H1108&lt;0,"NEGATIVE",IF(H1108&lt;p_min-0.005,"low","OK")))</f>
        <v>OK</v>
      </c>
      <c r="L1108" s="4" t="s">
        <v>414</v>
      </c>
    </row>
    <row r="1109" customFormat="false" ht="15" hidden="false" customHeight="false" outlineLevel="0" collapsed="false">
      <c r="A1109" s="4" t="s">
        <v>42</v>
      </c>
      <c r="B1109" s="4" t="s">
        <v>368</v>
      </c>
      <c r="C1109" s="47" t="n">
        <v>34516.62</v>
      </c>
      <c r="D1109" s="48" t="n">
        <v>1504.63</v>
      </c>
      <c r="E1109" s="49" t="n">
        <f aca="false">D1109-cover</f>
        <v>1503.43</v>
      </c>
      <c r="F1109" s="50" t="n">
        <f aca="false">'Z5 Ikana-Nkangamo'!S12-'Z5 Ikana-Nkangamo'!P12*C1109/'Z5 Ikana-Nkangamo'!G12</f>
        <v>1617.53663516287</v>
      </c>
      <c r="G1109" s="51" t="n">
        <f aca="false">'Z5 Ikana-Nkangamo'!$B$8-E1109</f>
        <v>164.57</v>
      </c>
      <c r="H1109" s="52" t="n">
        <f aca="false">F1109-E1109</f>
        <v>114.106635162865</v>
      </c>
      <c r="I1109" s="52" t="n">
        <f aca="false">MAX(H1109,G1109)</f>
        <v>164.57</v>
      </c>
      <c r="J1109" s="4" t="str">
        <f aca="false">IFERROR("PN"&amp;SMALL(PN_list,COUNTIF(PN_list,"&lt;"&amp;I1109*bar_per_m)+1),"&gt; max PN")</f>
        <v>PN25</v>
      </c>
      <c r="K1109" s="4" t="str">
        <f aca="false">IF(L1109="no","end at tank",IF(H1109&lt;0,"NEGATIVE",IF(H1109&lt;p_min-0.005,"low","OK")))</f>
        <v>OK</v>
      </c>
      <c r="L1109" s="4" t="s">
        <v>414</v>
      </c>
    </row>
    <row r="1110" customFormat="false" ht="15" hidden="false" customHeight="false" outlineLevel="0" collapsed="false">
      <c r="A1110" s="4" t="s">
        <v>42</v>
      </c>
      <c r="B1110" s="4" t="s">
        <v>368</v>
      </c>
      <c r="C1110" s="47" t="n">
        <v>34566.64</v>
      </c>
      <c r="D1110" s="48" t="n">
        <v>1505.99</v>
      </c>
      <c r="E1110" s="49" t="n">
        <f aca="false">D1110-cover</f>
        <v>1504.79</v>
      </c>
      <c r="F1110" s="50" t="n">
        <f aca="false">'Z5 Ikana-Nkangamo'!S12-'Z5 Ikana-Nkangamo'!P12*C1110/'Z5 Ikana-Nkangamo'!G12</f>
        <v>1617.47031686434</v>
      </c>
      <c r="G1110" s="51" t="n">
        <f aca="false">'Z5 Ikana-Nkangamo'!$B$8-E1110</f>
        <v>163.21</v>
      </c>
      <c r="H1110" s="52" t="n">
        <f aca="false">F1110-E1110</f>
        <v>112.680316864343</v>
      </c>
      <c r="I1110" s="52" t="n">
        <f aca="false">MAX(H1110,G1110)</f>
        <v>163.21</v>
      </c>
      <c r="J1110" s="4" t="str">
        <f aca="false">IFERROR("PN"&amp;SMALL(PN_list,COUNTIF(PN_list,"&lt;"&amp;I1110*bar_per_m)+1),"&gt; max PN")</f>
        <v>PN25</v>
      </c>
      <c r="K1110" s="4" t="str">
        <f aca="false">IF(L1110="no","end at tank",IF(H1110&lt;0,"NEGATIVE",IF(H1110&lt;p_min-0.005,"low","OK")))</f>
        <v>OK</v>
      </c>
      <c r="L1110" s="4" t="s">
        <v>414</v>
      </c>
    </row>
    <row r="1111" customFormat="false" ht="15" hidden="false" customHeight="false" outlineLevel="0" collapsed="false">
      <c r="A1111" s="4" t="s">
        <v>42</v>
      </c>
      <c r="B1111" s="4" t="s">
        <v>368</v>
      </c>
      <c r="C1111" s="47" t="n">
        <v>34616.64</v>
      </c>
      <c r="D1111" s="48" t="n">
        <v>1505.77</v>
      </c>
      <c r="E1111" s="49" t="n">
        <f aca="false">D1111-cover</f>
        <v>1504.57</v>
      </c>
      <c r="F1111" s="50" t="n">
        <f aca="false">'Z5 Ikana-Nkangamo'!S12-'Z5 Ikana-Nkangamo'!P12*C1111/'Z5 Ikana-Nkangamo'!G12</f>
        <v>1617.40402508253</v>
      </c>
      <c r="G1111" s="51" t="n">
        <f aca="false">'Z5 Ikana-Nkangamo'!$B$8-E1111</f>
        <v>163.43</v>
      </c>
      <c r="H1111" s="52" t="n">
        <f aca="false">F1111-E1111</f>
        <v>112.834025082533</v>
      </c>
      <c r="I1111" s="52" t="n">
        <f aca="false">MAX(H1111,G1111)</f>
        <v>163.43</v>
      </c>
      <c r="J1111" s="4" t="str">
        <f aca="false">IFERROR("PN"&amp;SMALL(PN_list,COUNTIF(PN_list,"&lt;"&amp;I1111*bar_per_m)+1),"&gt; max PN")</f>
        <v>PN25</v>
      </c>
      <c r="K1111" s="4" t="str">
        <f aca="false">IF(L1111="no","end at tank",IF(H1111&lt;0,"NEGATIVE",IF(H1111&lt;p_min-0.005,"low","OK")))</f>
        <v>OK</v>
      </c>
      <c r="L1111" s="4" t="s">
        <v>414</v>
      </c>
    </row>
    <row r="1112" customFormat="false" ht="15" hidden="false" customHeight="false" outlineLevel="0" collapsed="false">
      <c r="A1112" s="4" t="s">
        <v>42</v>
      </c>
      <c r="B1112" s="4" t="s">
        <v>368</v>
      </c>
      <c r="C1112" s="47" t="n">
        <v>34666.67</v>
      </c>
      <c r="D1112" s="48" t="n">
        <v>1507.35</v>
      </c>
      <c r="E1112" s="49" t="n">
        <f aca="false">D1112-cover</f>
        <v>1506.15</v>
      </c>
      <c r="F1112" s="50" t="n">
        <f aca="false">'Z5 Ikana-Nkangamo'!S12-'Z5 Ikana-Nkangamo'!P12*C1112/'Z5 Ikana-Nkangamo'!G12</f>
        <v>1617.33769352565</v>
      </c>
      <c r="G1112" s="51" t="n">
        <f aca="false">'Z5 Ikana-Nkangamo'!$B$8-E1112</f>
        <v>161.85</v>
      </c>
      <c r="H1112" s="52" t="n">
        <f aca="false">F1112-E1112</f>
        <v>111.187693525654</v>
      </c>
      <c r="I1112" s="52" t="n">
        <f aca="false">MAX(H1112,G1112)</f>
        <v>161.85</v>
      </c>
      <c r="J1112" s="4" t="str">
        <f aca="false">IFERROR("PN"&amp;SMALL(PN_list,COUNTIF(PN_list,"&lt;"&amp;I1112*bar_per_m)+1),"&gt; max PN")</f>
        <v>PN16</v>
      </c>
      <c r="K1112" s="4" t="str">
        <f aca="false">IF(L1112="no","end at tank",IF(H1112&lt;0,"NEGATIVE",IF(H1112&lt;p_min-0.005,"low","OK")))</f>
        <v>OK</v>
      </c>
      <c r="L1112" s="4" t="s">
        <v>414</v>
      </c>
    </row>
    <row r="1113" customFormat="false" ht="15" hidden="false" customHeight="false" outlineLevel="0" collapsed="false">
      <c r="A1113" s="4" t="s">
        <v>42</v>
      </c>
      <c r="B1113" s="4" t="s">
        <v>368</v>
      </c>
      <c r="C1113" s="47" t="n">
        <v>34716.69</v>
      </c>
      <c r="D1113" s="48" t="n">
        <v>1508.8</v>
      </c>
      <c r="E1113" s="49" t="n">
        <f aca="false">D1113-cover</f>
        <v>1507.6</v>
      </c>
      <c r="F1113" s="50" t="n">
        <f aca="false">'Z5 Ikana-Nkangamo'!S12-'Z5 Ikana-Nkangamo'!P12*C1113/'Z5 Ikana-Nkangamo'!G12</f>
        <v>1617.27137522713</v>
      </c>
      <c r="G1113" s="51" t="n">
        <f aca="false">'Z5 Ikana-Nkangamo'!$B$8-E1113</f>
        <v>160.4</v>
      </c>
      <c r="H1113" s="52" t="n">
        <f aca="false">F1113-E1113</f>
        <v>109.671375227131</v>
      </c>
      <c r="I1113" s="52" t="n">
        <f aca="false">MAX(H1113,G1113)</f>
        <v>160.4</v>
      </c>
      <c r="J1113" s="4" t="str">
        <f aca="false">IFERROR("PN"&amp;SMALL(PN_list,COUNTIF(PN_list,"&lt;"&amp;I1113*bar_per_m)+1),"&gt; max PN")</f>
        <v>PN16</v>
      </c>
      <c r="K1113" s="4" t="str">
        <f aca="false">IF(L1113="no","end at tank",IF(H1113&lt;0,"NEGATIVE",IF(H1113&lt;p_min-0.005,"low","OK")))</f>
        <v>OK</v>
      </c>
      <c r="L1113" s="4" t="s">
        <v>414</v>
      </c>
    </row>
    <row r="1114" customFormat="false" ht="15" hidden="false" customHeight="false" outlineLevel="0" collapsed="false">
      <c r="A1114" s="4" t="s">
        <v>42</v>
      </c>
      <c r="B1114" s="4" t="s">
        <v>368</v>
      </c>
      <c r="C1114" s="47" t="n">
        <v>34766.69</v>
      </c>
      <c r="D1114" s="48" t="n">
        <v>1508.57</v>
      </c>
      <c r="E1114" s="49" t="n">
        <f aca="false">D1114-cover</f>
        <v>1507.37</v>
      </c>
      <c r="F1114" s="50" t="n">
        <f aca="false">'Z5 Ikana-Nkangamo'!S12-'Z5 Ikana-Nkangamo'!P12*C1114/'Z5 Ikana-Nkangamo'!G12</f>
        <v>1617.20508344532</v>
      </c>
      <c r="G1114" s="51" t="n">
        <f aca="false">'Z5 Ikana-Nkangamo'!$B$8-E1114</f>
        <v>160.63</v>
      </c>
      <c r="H1114" s="52" t="n">
        <f aca="false">F1114-E1114</f>
        <v>109.835083445321</v>
      </c>
      <c r="I1114" s="52" t="n">
        <f aca="false">MAX(H1114,G1114)</f>
        <v>160.63</v>
      </c>
      <c r="J1114" s="4" t="str">
        <f aca="false">IFERROR("PN"&amp;SMALL(PN_list,COUNTIF(PN_list,"&lt;"&amp;I1114*bar_per_m)+1),"&gt; max PN")</f>
        <v>PN16</v>
      </c>
      <c r="K1114" s="4" t="str">
        <f aca="false">IF(L1114="no","end at tank",IF(H1114&lt;0,"NEGATIVE",IF(H1114&lt;p_min-0.005,"low","OK")))</f>
        <v>OK</v>
      </c>
      <c r="L1114" s="4" t="s">
        <v>414</v>
      </c>
    </row>
    <row r="1115" customFormat="false" ht="15" hidden="false" customHeight="false" outlineLevel="0" collapsed="false">
      <c r="A1115" s="4" t="s">
        <v>42</v>
      </c>
      <c r="B1115" s="4" t="s">
        <v>368</v>
      </c>
      <c r="C1115" s="47" t="n">
        <v>34816.7</v>
      </c>
      <c r="D1115" s="48" t="n">
        <v>1509.71</v>
      </c>
      <c r="E1115" s="49" t="n">
        <f aca="false">D1115-cover</f>
        <v>1508.51</v>
      </c>
      <c r="F1115" s="50" t="n">
        <f aca="false">'Z5 Ikana-Nkangamo'!S12-'Z5 Ikana-Nkangamo'!P12*C1115/'Z5 Ikana-Nkangamo'!G12</f>
        <v>1617.13877840515</v>
      </c>
      <c r="G1115" s="51" t="n">
        <f aca="false">'Z5 Ikana-Nkangamo'!$B$8-E1115</f>
        <v>159.49</v>
      </c>
      <c r="H1115" s="52" t="n">
        <f aca="false">F1115-E1115</f>
        <v>108.628778405155</v>
      </c>
      <c r="I1115" s="52" t="n">
        <f aca="false">MAX(H1115,G1115)</f>
        <v>159.49</v>
      </c>
      <c r="J1115" s="4" t="str">
        <f aca="false">IFERROR("PN"&amp;SMALL(PN_list,COUNTIF(PN_list,"&lt;"&amp;I1115*bar_per_m)+1),"&gt; max PN")</f>
        <v>PN16</v>
      </c>
      <c r="K1115" s="4" t="str">
        <f aca="false">IF(L1115="no","end at tank",IF(H1115&lt;0,"NEGATIVE",IF(H1115&lt;p_min-0.005,"low","OK")))</f>
        <v>OK</v>
      </c>
      <c r="L1115" s="4" t="s">
        <v>414</v>
      </c>
    </row>
    <row r="1116" customFormat="false" ht="15" hidden="false" customHeight="false" outlineLevel="0" collapsed="false">
      <c r="A1116" s="4" t="s">
        <v>42</v>
      </c>
      <c r="B1116" s="4" t="s">
        <v>368</v>
      </c>
      <c r="C1116" s="47" t="n">
        <v>34866.7</v>
      </c>
      <c r="D1116" s="48" t="n">
        <v>1510.22</v>
      </c>
      <c r="E1116" s="49" t="n">
        <f aca="false">D1116-cover</f>
        <v>1509.02</v>
      </c>
      <c r="F1116" s="50" t="n">
        <f aca="false">'Z5 Ikana-Nkangamo'!S12-'Z5 Ikana-Nkangamo'!P12*C1116/'Z5 Ikana-Nkangamo'!G12</f>
        <v>1617.07248662335</v>
      </c>
      <c r="G1116" s="51" t="n">
        <f aca="false">'Z5 Ikana-Nkangamo'!$B$8-E1116</f>
        <v>158.98</v>
      </c>
      <c r="H1116" s="52" t="n">
        <f aca="false">F1116-E1116</f>
        <v>108.052486623345</v>
      </c>
      <c r="I1116" s="52" t="n">
        <f aca="false">MAX(H1116,G1116)</f>
        <v>158.98</v>
      </c>
      <c r="J1116" s="4" t="str">
        <f aca="false">IFERROR("PN"&amp;SMALL(PN_list,COUNTIF(PN_list,"&lt;"&amp;I1116*bar_per_m)+1),"&gt; max PN")</f>
        <v>PN16</v>
      </c>
      <c r="K1116" s="4" t="str">
        <f aca="false">IF(L1116="no","end at tank",IF(H1116&lt;0,"NEGATIVE",IF(H1116&lt;p_min-0.005,"low","OK")))</f>
        <v>OK</v>
      </c>
      <c r="L1116" s="4" t="s">
        <v>414</v>
      </c>
    </row>
    <row r="1117" customFormat="false" ht="15" hidden="false" customHeight="false" outlineLevel="0" collapsed="false">
      <c r="A1117" s="4" t="s">
        <v>42</v>
      </c>
      <c r="B1117" s="4" t="s">
        <v>368</v>
      </c>
      <c r="C1117" s="47" t="n">
        <v>34916.71</v>
      </c>
      <c r="D1117" s="48" t="n">
        <v>1510.63</v>
      </c>
      <c r="E1117" s="49" t="n">
        <f aca="false">D1117-cover</f>
        <v>1509.43</v>
      </c>
      <c r="F1117" s="50" t="n">
        <f aca="false">'Z5 Ikana-Nkangamo'!S12-'Z5 Ikana-Nkangamo'!P12*C1117/'Z5 Ikana-Nkangamo'!G12</f>
        <v>1617.00618158318</v>
      </c>
      <c r="G1117" s="51" t="n">
        <f aca="false">'Z5 Ikana-Nkangamo'!$B$8-E1117</f>
        <v>158.57</v>
      </c>
      <c r="H1117" s="52" t="n">
        <f aca="false">F1117-E1117</f>
        <v>107.576181583179</v>
      </c>
      <c r="I1117" s="52" t="n">
        <f aca="false">MAX(H1117,G1117)</f>
        <v>158.57</v>
      </c>
      <c r="J1117" s="4" t="str">
        <f aca="false">IFERROR("PN"&amp;SMALL(PN_list,COUNTIF(PN_list,"&lt;"&amp;I1117*bar_per_m)+1),"&gt; max PN")</f>
        <v>PN16</v>
      </c>
      <c r="K1117" s="4" t="str">
        <f aca="false">IF(L1117="no","end at tank",IF(H1117&lt;0,"NEGATIVE",IF(H1117&lt;p_min-0.005,"low","OK")))</f>
        <v>OK</v>
      </c>
      <c r="L1117" s="4" t="s">
        <v>414</v>
      </c>
    </row>
    <row r="1118" customFormat="false" ht="15" hidden="false" customHeight="false" outlineLevel="0" collapsed="false">
      <c r="A1118" s="4" t="s">
        <v>42</v>
      </c>
      <c r="B1118" s="4" t="s">
        <v>368</v>
      </c>
      <c r="C1118" s="47" t="n">
        <v>34966.71</v>
      </c>
      <c r="D1118" s="48" t="n">
        <v>1510.39</v>
      </c>
      <c r="E1118" s="49" t="n">
        <f aca="false">D1118-cover</f>
        <v>1509.19</v>
      </c>
      <c r="F1118" s="50" t="n">
        <f aca="false">'Z5 Ikana-Nkangamo'!S12-'Z5 Ikana-Nkangamo'!P12*C1118/'Z5 Ikana-Nkangamo'!G12</f>
        <v>1616.93988980137</v>
      </c>
      <c r="G1118" s="51" t="n">
        <f aca="false">'Z5 Ikana-Nkangamo'!$B$8-E1118</f>
        <v>158.81</v>
      </c>
      <c r="H1118" s="52" t="n">
        <f aca="false">F1118-E1118</f>
        <v>107.749889801369</v>
      </c>
      <c r="I1118" s="52" t="n">
        <f aca="false">MAX(H1118,G1118)</f>
        <v>158.81</v>
      </c>
      <c r="J1118" s="4" t="str">
        <f aca="false">IFERROR("PN"&amp;SMALL(PN_list,COUNTIF(PN_list,"&lt;"&amp;I1118*bar_per_m)+1),"&gt; max PN")</f>
        <v>PN16</v>
      </c>
      <c r="K1118" s="4" t="str">
        <f aca="false">IF(L1118="no","end at tank",IF(H1118&lt;0,"NEGATIVE",IF(H1118&lt;p_min-0.005,"low","OK")))</f>
        <v>OK</v>
      </c>
      <c r="L1118" s="4" t="s">
        <v>414</v>
      </c>
    </row>
    <row r="1119" customFormat="false" ht="15" hidden="false" customHeight="false" outlineLevel="0" collapsed="false">
      <c r="A1119" s="4" t="s">
        <v>42</v>
      </c>
      <c r="B1119" s="4" t="s">
        <v>368</v>
      </c>
      <c r="C1119" s="47" t="n">
        <v>35016.71</v>
      </c>
      <c r="D1119" s="48" t="n">
        <v>1510.05</v>
      </c>
      <c r="E1119" s="49" t="n">
        <f aca="false">D1119-cover</f>
        <v>1508.85</v>
      </c>
      <c r="F1119" s="50" t="n">
        <f aca="false">'Z5 Ikana-Nkangamo'!S12-'Z5 Ikana-Nkangamo'!P12*C1119/'Z5 Ikana-Nkangamo'!G12</f>
        <v>1616.87359801956</v>
      </c>
      <c r="G1119" s="51" t="n">
        <f aca="false">'Z5 Ikana-Nkangamo'!$B$8-E1119</f>
        <v>159.15</v>
      </c>
      <c r="H1119" s="52" t="n">
        <f aca="false">F1119-E1119</f>
        <v>108.023598019559</v>
      </c>
      <c r="I1119" s="52" t="n">
        <f aca="false">MAX(H1119,G1119)</f>
        <v>159.15</v>
      </c>
      <c r="J1119" s="4" t="str">
        <f aca="false">IFERROR("PN"&amp;SMALL(PN_list,COUNTIF(PN_list,"&lt;"&amp;I1119*bar_per_m)+1),"&gt; max PN")</f>
        <v>PN16</v>
      </c>
      <c r="K1119" s="4" t="str">
        <f aca="false">IF(L1119="no","end at tank",IF(H1119&lt;0,"NEGATIVE",IF(H1119&lt;p_min-0.005,"low","OK")))</f>
        <v>OK</v>
      </c>
      <c r="L1119" s="4" t="s">
        <v>414</v>
      </c>
    </row>
    <row r="1120" customFormat="false" ht="15" hidden="false" customHeight="false" outlineLevel="0" collapsed="false">
      <c r="A1120" s="4" t="s">
        <v>42</v>
      </c>
      <c r="B1120" s="4" t="s">
        <v>368</v>
      </c>
      <c r="C1120" s="47" t="n">
        <v>35066.72</v>
      </c>
      <c r="D1120" s="48" t="n">
        <v>1509.19</v>
      </c>
      <c r="E1120" s="49" t="n">
        <f aca="false">D1120-cover</f>
        <v>1507.99</v>
      </c>
      <c r="F1120" s="50" t="n">
        <f aca="false">'Z5 Ikana-Nkangamo'!S12-'Z5 Ikana-Nkangamo'!P12*C1120/'Z5 Ikana-Nkangamo'!G12</f>
        <v>1616.80729297939</v>
      </c>
      <c r="G1120" s="51" t="n">
        <f aca="false">'Z5 Ikana-Nkangamo'!$B$8-E1120</f>
        <v>160.01</v>
      </c>
      <c r="H1120" s="52" t="n">
        <f aca="false">F1120-E1120</f>
        <v>108.817292979393</v>
      </c>
      <c r="I1120" s="52" t="n">
        <f aca="false">MAX(H1120,G1120)</f>
        <v>160.01</v>
      </c>
      <c r="J1120" s="4" t="str">
        <f aca="false">IFERROR("PN"&amp;SMALL(PN_list,COUNTIF(PN_list,"&lt;"&amp;I1120*bar_per_m)+1),"&gt; max PN")</f>
        <v>PN16</v>
      </c>
      <c r="K1120" s="4" t="str">
        <f aca="false">IF(L1120="no","end at tank",IF(H1120&lt;0,"NEGATIVE",IF(H1120&lt;p_min-0.005,"low","OK")))</f>
        <v>OK</v>
      </c>
      <c r="L1120" s="4" t="s">
        <v>414</v>
      </c>
    </row>
    <row r="1121" customFormat="false" ht="15" hidden="false" customHeight="false" outlineLevel="0" collapsed="false">
      <c r="A1121" s="4" t="s">
        <v>42</v>
      </c>
      <c r="B1121" s="4" t="s">
        <v>368</v>
      </c>
      <c r="C1121" s="47" t="n">
        <v>35116.72</v>
      </c>
      <c r="D1121" s="48" t="n">
        <v>1508.8</v>
      </c>
      <c r="E1121" s="49" t="n">
        <f aca="false">D1121-cover</f>
        <v>1507.6</v>
      </c>
      <c r="F1121" s="50" t="n">
        <f aca="false">'Z5 Ikana-Nkangamo'!S12-'Z5 Ikana-Nkangamo'!P12*C1121/'Z5 Ikana-Nkangamo'!G12</f>
        <v>1616.74100119758</v>
      </c>
      <c r="G1121" s="51" t="n">
        <f aca="false">'Z5 Ikana-Nkangamo'!$B$8-E1121</f>
        <v>160.4</v>
      </c>
      <c r="H1121" s="52" t="n">
        <f aca="false">F1121-E1121</f>
        <v>109.141001197582</v>
      </c>
      <c r="I1121" s="52" t="n">
        <f aca="false">MAX(H1121,G1121)</f>
        <v>160.4</v>
      </c>
      <c r="J1121" s="4" t="str">
        <f aca="false">IFERROR("PN"&amp;SMALL(PN_list,COUNTIF(PN_list,"&lt;"&amp;I1121*bar_per_m)+1),"&gt; max PN")</f>
        <v>PN16</v>
      </c>
      <c r="K1121" s="4" t="str">
        <f aca="false">IF(L1121="no","end at tank",IF(H1121&lt;0,"NEGATIVE",IF(H1121&lt;p_min-0.005,"low","OK")))</f>
        <v>OK</v>
      </c>
      <c r="L1121" s="4" t="s">
        <v>414</v>
      </c>
    </row>
    <row r="1122" customFormat="false" ht="15" hidden="false" customHeight="false" outlineLevel="0" collapsed="false">
      <c r="A1122" s="4" t="s">
        <v>42</v>
      </c>
      <c r="B1122" s="4" t="s">
        <v>368</v>
      </c>
      <c r="C1122" s="47" t="n">
        <v>35166.73</v>
      </c>
      <c r="D1122" s="48" t="n">
        <v>1507.84</v>
      </c>
      <c r="E1122" s="49" t="n">
        <f aca="false">D1122-cover</f>
        <v>1506.64</v>
      </c>
      <c r="F1122" s="50" t="n">
        <f aca="false">'Z5 Ikana-Nkangamo'!S12-'Z5 Ikana-Nkangamo'!P12*C1122/'Z5 Ikana-Nkangamo'!G12</f>
        <v>1616.67469615742</v>
      </c>
      <c r="G1122" s="51" t="n">
        <f aca="false">'Z5 Ikana-Nkangamo'!$B$8-E1122</f>
        <v>161.36</v>
      </c>
      <c r="H1122" s="52" t="n">
        <f aca="false">F1122-E1122</f>
        <v>110.034696157416</v>
      </c>
      <c r="I1122" s="52" t="n">
        <f aca="false">MAX(H1122,G1122)</f>
        <v>161.36</v>
      </c>
      <c r="J1122" s="4" t="str">
        <f aca="false">IFERROR("PN"&amp;SMALL(PN_list,COUNTIF(PN_list,"&lt;"&amp;I1122*bar_per_m)+1),"&gt; max PN")</f>
        <v>PN16</v>
      </c>
      <c r="K1122" s="4" t="str">
        <f aca="false">IF(L1122="no","end at tank",IF(H1122&lt;0,"NEGATIVE",IF(H1122&lt;p_min-0.005,"low","OK")))</f>
        <v>OK</v>
      </c>
      <c r="L1122" s="4" t="s">
        <v>414</v>
      </c>
    </row>
    <row r="1123" customFormat="false" ht="15" hidden="false" customHeight="false" outlineLevel="0" collapsed="false">
      <c r="A1123" s="4" t="s">
        <v>42</v>
      </c>
      <c r="B1123" s="4" t="s">
        <v>368</v>
      </c>
      <c r="C1123" s="47" t="n">
        <v>35216.74</v>
      </c>
      <c r="D1123" s="48" t="n">
        <v>1506.86</v>
      </c>
      <c r="E1123" s="49" t="n">
        <f aca="false">D1123-cover</f>
        <v>1505.66</v>
      </c>
      <c r="F1123" s="50" t="n">
        <f aca="false">'Z5 Ikana-Nkangamo'!S12-'Z5 Ikana-Nkangamo'!P12*C1123/'Z5 Ikana-Nkangamo'!G12</f>
        <v>1616.60839111725</v>
      </c>
      <c r="G1123" s="51" t="n">
        <f aca="false">'Z5 Ikana-Nkangamo'!$B$8-E1123</f>
        <v>162.34</v>
      </c>
      <c r="H1123" s="52" t="n">
        <f aca="false">F1123-E1123</f>
        <v>110.94839111725</v>
      </c>
      <c r="I1123" s="52" t="n">
        <f aca="false">MAX(H1123,G1123)</f>
        <v>162.34</v>
      </c>
      <c r="J1123" s="4" t="str">
        <f aca="false">IFERROR("PN"&amp;SMALL(PN_list,COUNTIF(PN_list,"&lt;"&amp;I1123*bar_per_m)+1),"&gt; max PN")</f>
        <v>PN16</v>
      </c>
      <c r="K1123" s="4" t="str">
        <f aca="false">IF(L1123="no","end at tank",IF(H1123&lt;0,"NEGATIVE",IF(H1123&lt;p_min-0.005,"low","OK")))</f>
        <v>OK</v>
      </c>
      <c r="L1123" s="4" t="s">
        <v>414</v>
      </c>
    </row>
    <row r="1124" customFormat="false" ht="15" hidden="false" customHeight="false" outlineLevel="0" collapsed="false">
      <c r="A1124" s="4" t="s">
        <v>42</v>
      </c>
      <c r="B1124" s="4" t="s">
        <v>368</v>
      </c>
      <c r="C1124" s="47" t="n">
        <v>35266.75</v>
      </c>
      <c r="D1124" s="48" t="n">
        <v>1505.84</v>
      </c>
      <c r="E1124" s="49" t="n">
        <f aca="false">D1124-cover</f>
        <v>1504.64</v>
      </c>
      <c r="F1124" s="50" t="n">
        <f aca="false">'Z5 Ikana-Nkangamo'!S12-'Z5 Ikana-Nkangamo'!P12*C1124/'Z5 Ikana-Nkangamo'!G12</f>
        <v>1616.54208607708</v>
      </c>
      <c r="G1124" s="51" t="n">
        <f aca="false">'Z5 Ikana-Nkangamo'!$B$8-E1124</f>
        <v>163.36</v>
      </c>
      <c r="H1124" s="52" t="n">
        <f aca="false">F1124-E1124</f>
        <v>111.902086077084</v>
      </c>
      <c r="I1124" s="52" t="n">
        <f aca="false">MAX(H1124,G1124)</f>
        <v>163.36</v>
      </c>
      <c r="J1124" s="4" t="str">
        <f aca="false">IFERROR("PN"&amp;SMALL(PN_list,COUNTIF(PN_list,"&lt;"&amp;I1124*bar_per_m)+1),"&gt; max PN")</f>
        <v>PN25</v>
      </c>
      <c r="K1124" s="4" t="str">
        <f aca="false">IF(L1124="no","end at tank",IF(H1124&lt;0,"NEGATIVE",IF(H1124&lt;p_min-0.005,"low","OK")))</f>
        <v>OK</v>
      </c>
      <c r="L1124" s="4" t="s">
        <v>414</v>
      </c>
    </row>
    <row r="1125" customFormat="false" ht="15" hidden="false" customHeight="false" outlineLevel="0" collapsed="false">
      <c r="A1125" s="4" t="s">
        <v>42</v>
      </c>
      <c r="B1125" s="4" t="s">
        <v>368</v>
      </c>
      <c r="C1125" s="47" t="n">
        <v>35316.75</v>
      </c>
      <c r="D1125" s="48" t="n">
        <v>1505.65</v>
      </c>
      <c r="E1125" s="49" t="n">
        <f aca="false">D1125-cover</f>
        <v>1504.45</v>
      </c>
      <c r="F1125" s="50" t="n">
        <f aca="false">'Z5 Ikana-Nkangamo'!S12-'Z5 Ikana-Nkangamo'!P12*C1125/'Z5 Ikana-Nkangamo'!G12</f>
        <v>1616.47579429527</v>
      </c>
      <c r="G1125" s="51" t="n">
        <f aca="false">'Z5 Ikana-Nkangamo'!$B$8-E1125</f>
        <v>163.55</v>
      </c>
      <c r="H1125" s="52" t="n">
        <f aca="false">F1125-E1125</f>
        <v>112.025794295274</v>
      </c>
      <c r="I1125" s="52" t="n">
        <f aca="false">MAX(H1125,G1125)</f>
        <v>163.55</v>
      </c>
      <c r="J1125" s="4" t="str">
        <f aca="false">IFERROR("PN"&amp;SMALL(PN_list,COUNTIF(PN_list,"&lt;"&amp;I1125*bar_per_m)+1),"&gt; max PN")</f>
        <v>PN25</v>
      </c>
      <c r="K1125" s="4" t="str">
        <f aca="false">IF(L1125="no","end at tank",IF(H1125&lt;0,"NEGATIVE",IF(H1125&lt;p_min-0.005,"low","OK")))</f>
        <v>OK</v>
      </c>
      <c r="L1125" s="4" t="s">
        <v>414</v>
      </c>
    </row>
    <row r="1126" customFormat="false" ht="15" hidden="false" customHeight="false" outlineLevel="0" collapsed="false">
      <c r="A1126" s="4" t="s">
        <v>42</v>
      </c>
      <c r="B1126" s="4" t="s">
        <v>368</v>
      </c>
      <c r="C1126" s="47" t="n">
        <v>35366.75</v>
      </c>
      <c r="D1126" s="48" t="n">
        <v>1506.12</v>
      </c>
      <c r="E1126" s="49" t="n">
        <f aca="false">D1126-cover</f>
        <v>1504.92</v>
      </c>
      <c r="F1126" s="50" t="n">
        <f aca="false">'Z5 Ikana-Nkangamo'!S12-'Z5 Ikana-Nkangamo'!P12*C1126/'Z5 Ikana-Nkangamo'!G12</f>
        <v>1616.40950251346</v>
      </c>
      <c r="G1126" s="51" t="n">
        <f aca="false">'Z5 Ikana-Nkangamo'!$B$8-E1126</f>
        <v>163.08</v>
      </c>
      <c r="H1126" s="52" t="n">
        <f aca="false">F1126-E1126</f>
        <v>111.489502513464</v>
      </c>
      <c r="I1126" s="52" t="n">
        <f aca="false">MAX(H1126,G1126)</f>
        <v>163.08</v>
      </c>
      <c r="J1126" s="4" t="str">
        <f aca="false">IFERROR("PN"&amp;SMALL(PN_list,COUNTIF(PN_list,"&lt;"&amp;I1126*bar_per_m)+1),"&gt; max PN")</f>
        <v>PN16</v>
      </c>
      <c r="K1126" s="4" t="str">
        <f aca="false">IF(L1126="no","end at tank",IF(H1126&lt;0,"NEGATIVE",IF(H1126&lt;p_min-0.005,"low","OK")))</f>
        <v>OK</v>
      </c>
      <c r="L1126" s="4" t="s">
        <v>414</v>
      </c>
    </row>
    <row r="1127" customFormat="false" ht="15" hidden="false" customHeight="false" outlineLevel="0" collapsed="false">
      <c r="A1127" s="4" t="s">
        <v>42</v>
      </c>
      <c r="B1127" s="4" t="s">
        <v>368</v>
      </c>
      <c r="C1127" s="47" t="n">
        <v>35416.77</v>
      </c>
      <c r="D1127" s="48" t="n">
        <v>1507.46</v>
      </c>
      <c r="E1127" s="49" t="n">
        <f aca="false">D1127-cover</f>
        <v>1506.26</v>
      </c>
      <c r="F1127" s="50" t="n">
        <f aca="false">'Z5 Ikana-Nkangamo'!S12-'Z5 Ikana-Nkangamo'!P12*C1127/'Z5 Ikana-Nkangamo'!G12</f>
        <v>1616.34318421494</v>
      </c>
      <c r="G1127" s="51" t="n">
        <f aca="false">'Z5 Ikana-Nkangamo'!$B$8-E1127</f>
        <v>161.74</v>
      </c>
      <c r="H1127" s="52" t="n">
        <f aca="false">F1127-E1127</f>
        <v>110.083184214941</v>
      </c>
      <c r="I1127" s="52" t="n">
        <f aca="false">MAX(H1127,G1127)</f>
        <v>161.74</v>
      </c>
      <c r="J1127" s="4" t="str">
        <f aca="false">IFERROR("PN"&amp;SMALL(PN_list,COUNTIF(PN_list,"&lt;"&amp;I1127*bar_per_m)+1),"&gt; max PN")</f>
        <v>PN16</v>
      </c>
      <c r="K1127" s="4" t="str">
        <f aca="false">IF(L1127="no","end at tank",IF(H1127&lt;0,"NEGATIVE",IF(H1127&lt;p_min-0.005,"low","OK")))</f>
        <v>OK</v>
      </c>
      <c r="L1127" s="4" t="s">
        <v>414</v>
      </c>
    </row>
    <row r="1128" customFormat="false" ht="15" hidden="false" customHeight="false" outlineLevel="0" collapsed="false">
      <c r="A1128" s="4" t="s">
        <v>42</v>
      </c>
      <c r="B1128" s="4" t="s">
        <v>368</v>
      </c>
      <c r="C1128" s="47" t="n">
        <v>35466.82</v>
      </c>
      <c r="D1128" s="48" t="n">
        <v>1509.71</v>
      </c>
      <c r="E1128" s="49" t="n">
        <f aca="false">D1128-cover</f>
        <v>1508.51</v>
      </c>
      <c r="F1128" s="50" t="n">
        <f aca="false">'Z5 Ikana-Nkangamo'!S12-'Z5 Ikana-Nkangamo'!P12*C1128/'Z5 Ikana-Nkangamo'!G12</f>
        <v>1616.27682614135</v>
      </c>
      <c r="G1128" s="51" t="n">
        <f aca="false">'Z5 Ikana-Nkangamo'!$B$8-E1128</f>
        <v>159.49</v>
      </c>
      <c r="H1128" s="52" t="n">
        <f aca="false">F1128-E1128</f>
        <v>107.766826141349</v>
      </c>
      <c r="I1128" s="52" t="n">
        <f aca="false">MAX(H1128,G1128)</f>
        <v>159.49</v>
      </c>
      <c r="J1128" s="4" t="str">
        <f aca="false">IFERROR("PN"&amp;SMALL(PN_list,COUNTIF(PN_list,"&lt;"&amp;I1128*bar_per_m)+1),"&gt; max PN")</f>
        <v>PN16</v>
      </c>
      <c r="K1128" s="4" t="str">
        <f aca="false">IF(L1128="no","end at tank",IF(H1128&lt;0,"NEGATIVE",IF(H1128&lt;p_min-0.005,"low","OK")))</f>
        <v>OK</v>
      </c>
      <c r="L1128" s="4" t="s">
        <v>414</v>
      </c>
    </row>
    <row r="1129" customFormat="false" ht="15" hidden="false" customHeight="false" outlineLevel="0" collapsed="false">
      <c r="A1129" s="4" t="s">
        <v>42</v>
      </c>
      <c r="B1129" s="4" t="s">
        <v>368</v>
      </c>
      <c r="C1129" s="47" t="n">
        <v>35516.83</v>
      </c>
      <c r="D1129" s="48" t="n">
        <v>1510.58</v>
      </c>
      <c r="E1129" s="49" t="n">
        <f aca="false">D1129-cover</f>
        <v>1509.38</v>
      </c>
      <c r="F1129" s="50" t="n">
        <f aca="false">'Z5 Ikana-Nkangamo'!S12-'Z5 Ikana-Nkangamo'!P12*C1129/'Z5 Ikana-Nkangamo'!G12</f>
        <v>1616.21052110118</v>
      </c>
      <c r="G1129" s="51" t="n">
        <f aca="false">'Z5 Ikana-Nkangamo'!$B$8-E1129</f>
        <v>158.62</v>
      </c>
      <c r="H1129" s="52" t="n">
        <f aca="false">F1129-E1129</f>
        <v>106.830521101183</v>
      </c>
      <c r="I1129" s="52" t="n">
        <f aca="false">MAX(H1129,G1129)</f>
        <v>158.62</v>
      </c>
      <c r="J1129" s="4" t="str">
        <f aca="false">IFERROR("PN"&amp;SMALL(PN_list,COUNTIF(PN_list,"&lt;"&amp;I1129*bar_per_m)+1),"&gt; max PN")</f>
        <v>PN16</v>
      </c>
      <c r="K1129" s="4" t="str">
        <f aca="false">IF(L1129="no","end at tank",IF(H1129&lt;0,"NEGATIVE",IF(H1129&lt;p_min-0.005,"low","OK")))</f>
        <v>OK</v>
      </c>
      <c r="L1129" s="4" t="s">
        <v>414</v>
      </c>
    </row>
    <row r="1130" customFormat="false" ht="15" hidden="false" customHeight="false" outlineLevel="0" collapsed="false">
      <c r="A1130" s="4" t="s">
        <v>42</v>
      </c>
      <c r="B1130" s="4" t="s">
        <v>368</v>
      </c>
      <c r="C1130" s="47" t="n">
        <v>35566.85</v>
      </c>
      <c r="D1130" s="48" t="n">
        <v>1512.27</v>
      </c>
      <c r="E1130" s="49" t="n">
        <f aca="false">D1130-cover</f>
        <v>1511.07</v>
      </c>
      <c r="F1130" s="50" t="n">
        <f aca="false">'Z5 Ikana-Nkangamo'!S12-'Z5 Ikana-Nkangamo'!P12*C1130/'Z5 Ikana-Nkangamo'!G12</f>
        <v>1616.14420280266</v>
      </c>
      <c r="G1130" s="51" t="n">
        <f aca="false">'Z5 Ikana-Nkangamo'!$B$8-E1130</f>
        <v>156.93</v>
      </c>
      <c r="H1130" s="52" t="n">
        <f aca="false">F1130-E1130</f>
        <v>105.07420280266</v>
      </c>
      <c r="I1130" s="52" t="n">
        <f aca="false">MAX(H1130,G1130)</f>
        <v>156.93</v>
      </c>
      <c r="J1130" s="4" t="str">
        <f aca="false">IFERROR("PN"&amp;SMALL(PN_list,COUNTIF(PN_list,"&lt;"&amp;I1130*bar_per_m)+1),"&gt; max PN")</f>
        <v>PN16</v>
      </c>
      <c r="K1130" s="4" t="str">
        <f aca="false">IF(L1130="no","end at tank",IF(H1130&lt;0,"NEGATIVE",IF(H1130&lt;p_min-0.005,"low","OK")))</f>
        <v>OK</v>
      </c>
      <c r="L1130" s="4" t="s">
        <v>414</v>
      </c>
    </row>
    <row r="1131" customFormat="false" ht="15" hidden="false" customHeight="false" outlineLevel="0" collapsed="false">
      <c r="A1131" s="4" t="s">
        <v>42</v>
      </c>
      <c r="B1131" s="4" t="s">
        <v>368</v>
      </c>
      <c r="C1131" s="47" t="n">
        <v>35616.89</v>
      </c>
      <c r="D1131" s="48" t="n">
        <v>1514.29</v>
      </c>
      <c r="E1131" s="49" t="n">
        <f aca="false">D1131-cover</f>
        <v>1513.09</v>
      </c>
      <c r="F1131" s="50" t="n">
        <f aca="false">'Z5 Ikana-Nkangamo'!S12-'Z5 Ikana-Nkangamo'!P12*C1131/'Z5 Ikana-Nkangamo'!G12</f>
        <v>1616.07785798743</v>
      </c>
      <c r="G1131" s="51" t="n">
        <f aca="false">'Z5 Ikana-Nkangamo'!$B$8-E1131</f>
        <v>154.91</v>
      </c>
      <c r="H1131" s="52" t="n">
        <f aca="false">F1131-E1131</f>
        <v>102.987857987425</v>
      </c>
      <c r="I1131" s="52" t="n">
        <f aca="false">MAX(H1131,G1131)</f>
        <v>154.91</v>
      </c>
      <c r="J1131" s="4" t="str">
        <f aca="false">IFERROR("PN"&amp;SMALL(PN_list,COUNTIF(PN_list,"&lt;"&amp;I1131*bar_per_m)+1),"&gt; max PN")</f>
        <v>PN16</v>
      </c>
      <c r="K1131" s="4" t="str">
        <f aca="false">IF(L1131="no","end at tank",IF(H1131&lt;0,"NEGATIVE",IF(H1131&lt;p_min-0.005,"low","OK")))</f>
        <v>OK</v>
      </c>
      <c r="L1131" s="4" t="s">
        <v>414</v>
      </c>
    </row>
    <row r="1132" customFormat="false" ht="15" hidden="false" customHeight="false" outlineLevel="0" collapsed="false">
      <c r="A1132" s="4" t="s">
        <v>42</v>
      </c>
      <c r="B1132" s="4" t="s">
        <v>368</v>
      </c>
      <c r="C1132" s="47" t="n">
        <v>35666.92</v>
      </c>
      <c r="D1132" s="48" t="n">
        <v>1515.83</v>
      </c>
      <c r="E1132" s="49" t="n">
        <f aca="false">D1132-cover</f>
        <v>1514.63</v>
      </c>
      <c r="F1132" s="50" t="n">
        <f aca="false">'Z5 Ikana-Nkangamo'!S12-'Z5 Ikana-Nkangamo'!P12*C1132/'Z5 Ikana-Nkangamo'!G12</f>
        <v>1616.01152643055</v>
      </c>
      <c r="G1132" s="51" t="n">
        <f aca="false">'Z5 Ikana-Nkangamo'!$B$8-E1132</f>
        <v>153.37</v>
      </c>
      <c r="H1132" s="52" t="n">
        <f aca="false">F1132-E1132</f>
        <v>101.381526430546</v>
      </c>
      <c r="I1132" s="52" t="n">
        <f aca="false">MAX(H1132,G1132)</f>
        <v>153.37</v>
      </c>
      <c r="J1132" s="4" t="str">
        <f aca="false">IFERROR("PN"&amp;SMALL(PN_list,COUNTIF(PN_list,"&lt;"&amp;I1132*bar_per_m)+1),"&gt; max PN")</f>
        <v>PN16</v>
      </c>
      <c r="K1132" s="4" t="str">
        <f aca="false">IF(L1132="no","end at tank",IF(H1132&lt;0,"NEGATIVE",IF(H1132&lt;p_min-0.005,"low","OK")))</f>
        <v>OK</v>
      </c>
      <c r="L1132" s="4" t="s">
        <v>414</v>
      </c>
    </row>
    <row r="1133" customFormat="false" ht="15" hidden="false" customHeight="false" outlineLevel="0" collapsed="false">
      <c r="A1133" s="4" t="s">
        <v>42</v>
      </c>
      <c r="B1133" s="4" t="s">
        <v>368</v>
      </c>
      <c r="C1133" s="47" t="n">
        <v>35716.93</v>
      </c>
      <c r="D1133" s="48" t="n">
        <v>1517.1</v>
      </c>
      <c r="E1133" s="49" t="n">
        <f aca="false">D1133-cover</f>
        <v>1515.9</v>
      </c>
      <c r="F1133" s="50" t="n">
        <f aca="false">'Z5 Ikana-Nkangamo'!S12-'Z5 Ikana-Nkangamo'!P12*C1133/'Z5 Ikana-Nkangamo'!G12</f>
        <v>1615.94522139038</v>
      </c>
      <c r="G1133" s="51" t="n">
        <f aca="false">'Z5 Ikana-Nkangamo'!$B$8-E1133</f>
        <v>152.1</v>
      </c>
      <c r="H1133" s="52" t="n">
        <f aca="false">F1133-E1133</f>
        <v>100.04522139038</v>
      </c>
      <c r="I1133" s="52" t="n">
        <f aca="false">MAX(H1133,G1133)</f>
        <v>152.1</v>
      </c>
      <c r="J1133" s="4" t="str">
        <f aca="false">IFERROR("PN"&amp;SMALL(PN_list,COUNTIF(PN_list,"&lt;"&amp;I1133*bar_per_m)+1),"&gt; max PN")</f>
        <v>PN16</v>
      </c>
      <c r="K1133" s="4" t="str">
        <f aca="false">IF(L1133="no","end at tank",IF(H1133&lt;0,"NEGATIVE",IF(H1133&lt;p_min-0.005,"low","OK")))</f>
        <v>OK</v>
      </c>
      <c r="L1133" s="4" t="s">
        <v>414</v>
      </c>
    </row>
    <row r="1134" customFormat="false" ht="15" hidden="false" customHeight="false" outlineLevel="0" collapsed="false">
      <c r="A1134" s="4" t="s">
        <v>42</v>
      </c>
      <c r="B1134" s="4" t="s">
        <v>368</v>
      </c>
      <c r="C1134" s="47" t="n">
        <v>35766.95</v>
      </c>
      <c r="D1134" s="48" t="n">
        <v>1518.48</v>
      </c>
      <c r="E1134" s="49" t="n">
        <f aca="false">D1134-cover</f>
        <v>1517.28</v>
      </c>
      <c r="F1134" s="50" t="n">
        <f aca="false">'Z5 Ikana-Nkangamo'!S12-'Z5 Ikana-Nkangamo'!P12*C1134/'Z5 Ikana-Nkangamo'!G12</f>
        <v>1615.87890309186</v>
      </c>
      <c r="G1134" s="51" t="n">
        <f aca="false">'Z5 Ikana-Nkangamo'!$B$8-E1134</f>
        <v>150.72</v>
      </c>
      <c r="H1134" s="52" t="n">
        <f aca="false">F1134-E1134</f>
        <v>98.598903091857</v>
      </c>
      <c r="I1134" s="52" t="n">
        <f aca="false">MAX(H1134,G1134)</f>
        <v>150.72</v>
      </c>
      <c r="J1134" s="4" t="str">
        <f aca="false">IFERROR("PN"&amp;SMALL(PN_list,COUNTIF(PN_list,"&lt;"&amp;I1134*bar_per_m)+1),"&gt; max PN")</f>
        <v>PN16</v>
      </c>
      <c r="K1134" s="4" t="str">
        <f aca="false">IF(L1134="no","end at tank",IF(H1134&lt;0,"NEGATIVE",IF(H1134&lt;p_min-0.005,"low","OK")))</f>
        <v>OK</v>
      </c>
      <c r="L1134" s="4" t="s">
        <v>414</v>
      </c>
    </row>
    <row r="1135" customFormat="false" ht="15" hidden="false" customHeight="false" outlineLevel="0" collapsed="false">
      <c r="A1135" s="4" t="s">
        <v>42</v>
      </c>
      <c r="B1135" s="4" t="s">
        <v>368</v>
      </c>
      <c r="C1135" s="47" t="n">
        <v>35816.96</v>
      </c>
      <c r="D1135" s="48" t="n">
        <v>1519</v>
      </c>
      <c r="E1135" s="49" t="n">
        <f aca="false">D1135-cover</f>
        <v>1517.8</v>
      </c>
      <c r="F1135" s="50" t="n">
        <f aca="false">'Z5 Ikana-Nkangamo'!S12-'Z5 Ikana-Nkangamo'!P12*C1135/'Z5 Ikana-Nkangamo'!G12</f>
        <v>1615.81259805169</v>
      </c>
      <c r="G1135" s="51" t="n">
        <f aca="false">'Z5 Ikana-Nkangamo'!$B$8-E1135</f>
        <v>150.2</v>
      </c>
      <c r="H1135" s="52" t="n">
        <f aca="false">F1135-E1135</f>
        <v>98.0125980516907</v>
      </c>
      <c r="I1135" s="52" t="n">
        <f aca="false">MAX(H1135,G1135)</f>
        <v>150.2</v>
      </c>
      <c r="J1135" s="4" t="str">
        <f aca="false">IFERROR("PN"&amp;SMALL(PN_list,COUNTIF(PN_list,"&lt;"&amp;I1135*bar_per_m)+1),"&gt; max PN")</f>
        <v>PN16</v>
      </c>
      <c r="K1135" s="4" t="str">
        <f aca="false">IF(L1135="no","end at tank",IF(H1135&lt;0,"NEGATIVE",IF(H1135&lt;p_min-0.005,"low","OK")))</f>
        <v>OK</v>
      </c>
      <c r="L1135" s="4" t="s">
        <v>414</v>
      </c>
    </row>
    <row r="1136" customFormat="false" ht="15" hidden="false" customHeight="false" outlineLevel="0" collapsed="false">
      <c r="A1136" s="4" t="s">
        <v>42</v>
      </c>
      <c r="B1136" s="4" t="s">
        <v>368</v>
      </c>
      <c r="C1136" s="47" t="n">
        <v>35866.95</v>
      </c>
      <c r="D1136" s="48" t="n">
        <v>1519.85</v>
      </c>
      <c r="E1136" s="49" t="n">
        <f aca="false">D1136-cover</f>
        <v>1518.65</v>
      </c>
      <c r="F1136" s="50" t="n">
        <f aca="false">'Z5 Ikana-Nkangamo'!S12-'Z5 Ikana-Nkangamo'!P12*C1136/'Z5 Ikana-Nkangamo'!G12</f>
        <v>1615.74631952824</v>
      </c>
      <c r="G1136" s="51" t="n">
        <f aca="false">'Z5 Ikana-Nkangamo'!$B$8-E1136</f>
        <v>149.35</v>
      </c>
      <c r="H1136" s="52" t="n">
        <f aca="false">F1136-E1136</f>
        <v>97.0963195282373</v>
      </c>
      <c r="I1136" s="52" t="n">
        <f aca="false">MAX(H1136,G1136)</f>
        <v>149.35</v>
      </c>
      <c r="J1136" s="4" t="str">
        <f aca="false">IFERROR("PN"&amp;SMALL(PN_list,COUNTIF(PN_list,"&lt;"&amp;I1136*bar_per_m)+1),"&gt; max PN")</f>
        <v>PN16</v>
      </c>
      <c r="K1136" s="4" t="str">
        <f aca="false">IF(L1136="no","end at tank",IF(H1136&lt;0,"NEGATIVE",IF(H1136&lt;p_min-0.005,"low","OK")))</f>
        <v>OK</v>
      </c>
      <c r="L1136" s="4" t="s">
        <v>414</v>
      </c>
    </row>
    <row r="1137" customFormat="false" ht="15" hidden="false" customHeight="false" outlineLevel="0" collapsed="false">
      <c r="A1137" s="4" t="s">
        <v>42</v>
      </c>
      <c r="B1137" s="4" t="s">
        <v>368</v>
      </c>
      <c r="C1137" s="47" t="n">
        <v>35916.96</v>
      </c>
      <c r="D1137" s="48" t="n">
        <v>1520.56</v>
      </c>
      <c r="E1137" s="49" t="n">
        <f aca="false">D1137-cover</f>
        <v>1519.36</v>
      </c>
      <c r="F1137" s="50" t="n">
        <f aca="false">'Z5 Ikana-Nkangamo'!S12-'Z5 Ikana-Nkangamo'!P12*C1137/'Z5 Ikana-Nkangamo'!G12</f>
        <v>1615.68001448807</v>
      </c>
      <c r="G1137" s="51" t="n">
        <f aca="false">'Z5 Ikana-Nkangamo'!$B$8-E1137</f>
        <v>148.64</v>
      </c>
      <c r="H1137" s="52" t="n">
        <f aca="false">F1137-E1137</f>
        <v>96.3200144880707</v>
      </c>
      <c r="I1137" s="52" t="n">
        <f aca="false">MAX(H1137,G1137)</f>
        <v>148.64</v>
      </c>
      <c r="J1137" s="4" t="str">
        <f aca="false">IFERROR("PN"&amp;SMALL(PN_list,COUNTIF(PN_list,"&lt;"&amp;I1137*bar_per_m)+1),"&gt; max PN")</f>
        <v>PN16</v>
      </c>
      <c r="K1137" s="4" t="str">
        <f aca="false">IF(L1137="no","end at tank",IF(H1137&lt;0,"NEGATIVE",IF(H1137&lt;p_min-0.005,"low","OK")))</f>
        <v>OK</v>
      </c>
      <c r="L1137" s="4" t="s">
        <v>414</v>
      </c>
    </row>
    <row r="1138" customFormat="false" ht="15" hidden="false" customHeight="false" outlineLevel="0" collapsed="false">
      <c r="A1138" s="4" t="s">
        <v>42</v>
      </c>
      <c r="B1138" s="4" t="s">
        <v>368</v>
      </c>
      <c r="C1138" s="47" t="n">
        <v>35966.96</v>
      </c>
      <c r="D1138" s="48" t="n">
        <v>1520.66</v>
      </c>
      <c r="E1138" s="49" t="n">
        <f aca="false">D1138-cover</f>
        <v>1519.46</v>
      </c>
      <c r="F1138" s="50" t="n">
        <f aca="false">'Z5 Ikana-Nkangamo'!S12-'Z5 Ikana-Nkangamo'!P12*C1138/'Z5 Ikana-Nkangamo'!G12</f>
        <v>1615.61372270626</v>
      </c>
      <c r="G1138" s="51" t="n">
        <f aca="false">'Z5 Ikana-Nkangamo'!$B$8-E1138</f>
        <v>148.54</v>
      </c>
      <c r="H1138" s="52" t="n">
        <f aca="false">F1138-E1138</f>
        <v>96.1537227062606</v>
      </c>
      <c r="I1138" s="52" t="n">
        <f aca="false">MAX(H1138,G1138)</f>
        <v>148.54</v>
      </c>
      <c r="J1138" s="4" t="str">
        <f aca="false">IFERROR("PN"&amp;SMALL(PN_list,COUNTIF(PN_list,"&lt;"&amp;I1138*bar_per_m)+1),"&gt; max PN")</f>
        <v>PN16</v>
      </c>
      <c r="K1138" s="4" t="str">
        <f aca="false">IF(L1138="no","end at tank",IF(H1138&lt;0,"NEGATIVE",IF(H1138&lt;p_min-0.005,"low","OK")))</f>
        <v>OK</v>
      </c>
      <c r="L1138" s="4" t="s">
        <v>414</v>
      </c>
    </row>
    <row r="1139" customFormat="false" ht="15" hidden="false" customHeight="false" outlineLevel="0" collapsed="false">
      <c r="A1139" s="4" t="s">
        <v>42</v>
      </c>
      <c r="B1139" s="4" t="s">
        <v>368</v>
      </c>
      <c r="C1139" s="47" t="n">
        <v>36016.96</v>
      </c>
      <c r="D1139" s="48" t="n">
        <v>1520.69</v>
      </c>
      <c r="E1139" s="49" t="n">
        <f aca="false">D1139-cover</f>
        <v>1519.49</v>
      </c>
      <c r="F1139" s="50" t="n">
        <f aca="false">'Z5 Ikana-Nkangamo'!S12-'Z5 Ikana-Nkangamo'!P12*C1139/'Z5 Ikana-Nkangamo'!G12</f>
        <v>1615.54743092445</v>
      </c>
      <c r="G1139" s="51" t="n">
        <f aca="false">'Z5 Ikana-Nkangamo'!$B$8-E1139</f>
        <v>148.51</v>
      </c>
      <c r="H1139" s="52" t="n">
        <f aca="false">F1139-E1139</f>
        <v>96.0574309244507</v>
      </c>
      <c r="I1139" s="52" t="n">
        <f aca="false">MAX(H1139,G1139)</f>
        <v>148.51</v>
      </c>
      <c r="J1139" s="4" t="str">
        <f aca="false">IFERROR("PN"&amp;SMALL(PN_list,COUNTIF(PN_list,"&lt;"&amp;I1139*bar_per_m)+1),"&gt; max PN")</f>
        <v>PN16</v>
      </c>
      <c r="K1139" s="4" t="str">
        <f aca="false">IF(L1139="no","end at tank",IF(H1139&lt;0,"NEGATIVE",IF(H1139&lt;p_min-0.005,"low","OK")))</f>
        <v>OK</v>
      </c>
      <c r="L1139" s="4" t="s">
        <v>414</v>
      </c>
    </row>
    <row r="1140" customFormat="false" ht="15" hidden="false" customHeight="false" outlineLevel="0" collapsed="false">
      <c r="A1140" s="4" t="s">
        <v>42</v>
      </c>
      <c r="B1140" s="4" t="s">
        <v>368</v>
      </c>
      <c r="C1140" s="47" t="n">
        <v>36066.96</v>
      </c>
      <c r="D1140" s="48" t="n">
        <v>1521.01</v>
      </c>
      <c r="E1140" s="49" t="n">
        <f aca="false">D1140-cover</f>
        <v>1519.81</v>
      </c>
      <c r="F1140" s="50" t="n">
        <f aca="false">'Z5 Ikana-Nkangamo'!S12-'Z5 Ikana-Nkangamo'!P12*C1140/'Z5 Ikana-Nkangamo'!G12</f>
        <v>1615.48113914264</v>
      </c>
      <c r="G1140" s="51" t="n">
        <f aca="false">'Z5 Ikana-Nkangamo'!$B$8-E1140</f>
        <v>148.19</v>
      </c>
      <c r="H1140" s="52" t="n">
        <f aca="false">F1140-E1140</f>
        <v>95.6711391426409</v>
      </c>
      <c r="I1140" s="52" t="n">
        <f aca="false">MAX(H1140,G1140)</f>
        <v>148.19</v>
      </c>
      <c r="J1140" s="4" t="str">
        <f aca="false">IFERROR("PN"&amp;SMALL(PN_list,COUNTIF(PN_list,"&lt;"&amp;I1140*bar_per_m)+1),"&gt; max PN")</f>
        <v>PN16</v>
      </c>
      <c r="K1140" s="4" t="str">
        <f aca="false">IF(L1140="no","end at tank",IF(H1140&lt;0,"NEGATIVE",IF(H1140&lt;p_min-0.005,"low","OK")))</f>
        <v>OK</v>
      </c>
      <c r="L1140" s="4" t="s">
        <v>414</v>
      </c>
    </row>
    <row r="1141" customFormat="false" ht="15" hidden="false" customHeight="false" outlineLevel="0" collapsed="false">
      <c r="A1141" s="4" t="s">
        <v>42</v>
      </c>
      <c r="B1141" s="4" t="s">
        <v>368</v>
      </c>
      <c r="C1141" s="47" t="n">
        <v>36116.96</v>
      </c>
      <c r="D1141" s="48" t="n">
        <v>1521.35</v>
      </c>
      <c r="E1141" s="49" t="n">
        <f aca="false">D1141-cover</f>
        <v>1520.15</v>
      </c>
      <c r="F1141" s="50" t="n">
        <f aca="false">'Z5 Ikana-Nkangamo'!S12-'Z5 Ikana-Nkangamo'!P12*C1141/'Z5 Ikana-Nkangamo'!G12</f>
        <v>1615.41484736083</v>
      </c>
      <c r="G1141" s="51" t="n">
        <f aca="false">'Z5 Ikana-Nkangamo'!$B$8-E1141</f>
        <v>147.85</v>
      </c>
      <c r="H1141" s="52" t="n">
        <f aca="false">F1141-E1141</f>
        <v>95.264847360831</v>
      </c>
      <c r="I1141" s="52" t="n">
        <f aca="false">MAX(H1141,G1141)</f>
        <v>147.85</v>
      </c>
      <c r="J1141" s="4" t="str">
        <f aca="false">IFERROR("PN"&amp;SMALL(PN_list,COUNTIF(PN_list,"&lt;"&amp;I1141*bar_per_m)+1),"&gt; max PN")</f>
        <v>PN16</v>
      </c>
      <c r="K1141" s="4" t="str">
        <f aca="false">IF(L1141="no","end at tank",IF(H1141&lt;0,"NEGATIVE",IF(H1141&lt;p_min-0.005,"low","OK")))</f>
        <v>OK</v>
      </c>
      <c r="L1141" s="4" t="s">
        <v>414</v>
      </c>
    </row>
    <row r="1142" customFormat="false" ht="15" hidden="false" customHeight="false" outlineLevel="0" collapsed="false">
      <c r="A1142" s="4" t="s">
        <v>42</v>
      </c>
      <c r="B1142" s="4" t="s">
        <v>368</v>
      </c>
      <c r="C1142" s="47" t="n">
        <v>36166.97</v>
      </c>
      <c r="D1142" s="48" t="n">
        <v>1522.22</v>
      </c>
      <c r="E1142" s="49" t="n">
        <f aca="false">D1142-cover</f>
        <v>1521.02</v>
      </c>
      <c r="F1142" s="50" t="n">
        <f aca="false">'Z5 Ikana-Nkangamo'!S12-'Z5 Ikana-Nkangamo'!P12*C1142/'Z5 Ikana-Nkangamo'!G12</f>
        <v>1615.34854232066</v>
      </c>
      <c r="G1142" s="51" t="n">
        <f aca="false">'Z5 Ikana-Nkangamo'!$B$8-E1142</f>
        <v>146.98</v>
      </c>
      <c r="H1142" s="52" t="n">
        <f aca="false">F1142-E1142</f>
        <v>94.3285423206646</v>
      </c>
      <c r="I1142" s="52" t="n">
        <f aca="false">MAX(H1142,G1142)</f>
        <v>146.98</v>
      </c>
      <c r="J1142" s="4" t="str">
        <f aca="false">IFERROR("PN"&amp;SMALL(PN_list,COUNTIF(PN_list,"&lt;"&amp;I1142*bar_per_m)+1),"&gt; max PN")</f>
        <v>PN16</v>
      </c>
      <c r="K1142" s="4" t="str">
        <f aca="false">IF(L1142="no","end at tank",IF(H1142&lt;0,"NEGATIVE",IF(H1142&lt;p_min-0.005,"low","OK")))</f>
        <v>OK</v>
      </c>
      <c r="L1142" s="4" t="s">
        <v>414</v>
      </c>
    </row>
    <row r="1143" customFormat="false" ht="15" hidden="false" customHeight="false" outlineLevel="0" collapsed="false">
      <c r="A1143" s="4" t="s">
        <v>42</v>
      </c>
      <c r="B1143" s="4" t="s">
        <v>368</v>
      </c>
      <c r="C1143" s="47" t="n">
        <v>36216.99</v>
      </c>
      <c r="D1143" s="48" t="n">
        <v>1523.56</v>
      </c>
      <c r="E1143" s="49" t="n">
        <f aca="false">D1143-cover</f>
        <v>1522.36</v>
      </c>
      <c r="F1143" s="50" t="n">
        <f aca="false">'Z5 Ikana-Nkangamo'!S12-'Z5 Ikana-Nkangamo'!P12*C1143/'Z5 Ikana-Nkangamo'!G12</f>
        <v>1615.28222402214</v>
      </c>
      <c r="G1143" s="51" t="n">
        <f aca="false">'Z5 Ikana-Nkangamo'!$B$8-E1143</f>
        <v>145.64</v>
      </c>
      <c r="H1143" s="52" t="n">
        <f aca="false">F1143-E1143</f>
        <v>92.922224022142</v>
      </c>
      <c r="I1143" s="52" t="n">
        <f aca="false">MAX(H1143,G1143)</f>
        <v>145.64</v>
      </c>
      <c r="J1143" s="4" t="str">
        <f aca="false">IFERROR("PN"&amp;SMALL(PN_list,COUNTIF(PN_list,"&lt;"&amp;I1143*bar_per_m)+1),"&gt; max PN")</f>
        <v>PN16</v>
      </c>
      <c r="K1143" s="4" t="str">
        <f aca="false">IF(L1143="no","end at tank",IF(H1143&lt;0,"NEGATIVE",IF(H1143&lt;p_min-0.005,"low","OK")))</f>
        <v>OK</v>
      </c>
      <c r="L1143" s="4" t="s">
        <v>414</v>
      </c>
    </row>
    <row r="1144" customFormat="false" ht="15" hidden="false" customHeight="false" outlineLevel="0" collapsed="false">
      <c r="A1144" s="4" t="s">
        <v>42</v>
      </c>
      <c r="B1144" s="4" t="s">
        <v>368</v>
      </c>
      <c r="C1144" s="47" t="n">
        <v>36266.99</v>
      </c>
      <c r="D1144" s="48" t="n">
        <v>1524.5</v>
      </c>
      <c r="E1144" s="49" t="n">
        <f aca="false">D1144-cover</f>
        <v>1523.3</v>
      </c>
      <c r="F1144" s="50" t="n">
        <f aca="false">'Z5 Ikana-Nkangamo'!S12-'Z5 Ikana-Nkangamo'!P12*C1144/'Z5 Ikana-Nkangamo'!G12</f>
        <v>1615.21593224033</v>
      </c>
      <c r="G1144" s="51" t="n">
        <f aca="false">'Z5 Ikana-Nkangamo'!$B$8-E1144</f>
        <v>144.7</v>
      </c>
      <c r="H1144" s="52" t="n">
        <f aca="false">F1144-E1144</f>
        <v>91.915932240332</v>
      </c>
      <c r="I1144" s="52" t="n">
        <f aca="false">MAX(H1144,G1144)</f>
        <v>144.7</v>
      </c>
      <c r="J1144" s="4" t="str">
        <f aca="false">IFERROR("PN"&amp;SMALL(PN_list,COUNTIF(PN_list,"&lt;"&amp;I1144*bar_per_m)+1),"&gt; max PN")</f>
        <v>PN16</v>
      </c>
      <c r="K1144" s="4" t="str">
        <f aca="false">IF(L1144="no","end at tank",IF(H1144&lt;0,"NEGATIVE",IF(H1144&lt;p_min-0.005,"low","OK")))</f>
        <v>OK</v>
      </c>
      <c r="L1144" s="4" t="s">
        <v>414</v>
      </c>
    </row>
    <row r="1145" customFormat="false" ht="15" hidden="false" customHeight="false" outlineLevel="0" collapsed="false">
      <c r="A1145" s="4" t="s">
        <v>42</v>
      </c>
      <c r="B1145" s="4" t="s">
        <v>368</v>
      </c>
      <c r="C1145" s="47" t="n">
        <v>36317.32</v>
      </c>
      <c r="D1145" s="48" t="n">
        <v>1530.19</v>
      </c>
      <c r="E1145" s="49" t="n">
        <f aca="false">D1145-cover</f>
        <v>1528.99</v>
      </c>
      <c r="F1145" s="50" t="n">
        <f aca="false">'Z5 Ikana-Nkangamo'!S12-'Z5 Ikana-Nkangamo'!P12*C1145/'Z5 Ikana-Nkangamo'!G12</f>
        <v>1615.14920293276</v>
      </c>
      <c r="G1145" s="51" t="n">
        <f aca="false">'Z5 Ikana-Nkangamo'!$B$8-E1145</f>
        <v>139.01</v>
      </c>
      <c r="H1145" s="52" t="n">
        <f aca="false">F1145-E1145</f>
        <v>86.1592029327621</v>
      </c>
      <c r="I1145" s="52" t="n">
        <f aca="false">MAX(H1145,G1145)</f>
        <v>139.01</v>
      </c>
      <c r="J1145" s="4" t="str">
        <f aca="false">IFERROR("PN"&amp;SMALL(PN_list,COUNTIF(PN_list,"&lt;"&amp;I1145*bar_per_m)+1),"&gt; max PN")</f>
        <v>PN16</v>
      </c>
      <c r="K1145" s="4" t="str">
        <f aca="false">IF(L1145="no","end at tank",IF(H1145&lt;0,"NEGATIVE",IF(H1145&lt;p_min-0.005,"low","OK")))</f>
        <v>OK</v>
      </c>
      <c r="L1145" s="4" t="s">
        <v>414</v>
      </c>
    </row>
    <row r="1146" customFormat="false" ht="15" hidden="false" customHeight="false" outlineLevel="0" collapsed="false">
      <c r="A1146" s="4" t="s">
        <v>42</v>
      </c>
      <c r="B1146" s="4" t="s">
        <v>368</v>
      </c>
      <c r="C1146" s="47" t="n">
        <v>36367.32</v>
      </c>
      <c r="D1146" s="48" t="n">
        <v>1530.28</v>
      </c>
      <c r="E1146" s="49" t="n">
        <f aca="false">D1146-cover</f>
        <v>1529.08</v>
      </c>
      <c r="F1146" s="50" t="n">
        <f aca="false">'Z5 Ikana-Nkangamo'!S12-'Z5 Ikana-Nkangamo'!P12*C1146/'Z5 Ikana-Nkangamo'!G12</f>
        <v>1615.08291115095</v>
      </c>
      <c r="G1146" s="51" t="n">
        <f aca="false">'Z5 Ikana-Nkangamo'!$B$8-E1146</f>
        <v>138.92</v>
      </c>
      <c r="H1146" s="52" t="n">
        <f aca="false">F1146-E1146</f>
        <v>86.0029111509523</v>
      </c>
      <c r="I1146" s="52" t="n">
        <f aca="false">MAX(H1146,G1146)</f>
        <v>138.92</v>
      </c>
      <c r="J1146" s="4" t="str">
        <f aca="false">IFERROR("PN"&amp;SMALL(PN_list,COUNTIF(PN_list,"&lt;"&amp;I1146*bar_per_m)+1),"&gt; max PN")</f>
        <v>PN16</v>
      </c>
      <c r="K1146" s="4" t="str">
        <f aca="false">IF(L1146="no","end at tank",IF(H1146&lt;0,"NEGATIVE",IF(H1146&lt;p_min-0.005,"low","OK")))</f>
        <v>OK</v>
      </c>
      <c r="L1146" s="4" t="s">
        <v>414</v>
      </c>
    </row>
    <row r="1147" customFormat="false" ht="15" hidden="false" customHeight="false" outlineLevel="0" collapsed="false">
      <c r="A1147" s="4" t="s">
        <v>42</v>
      </c>
      <c r="B1147" s="4" t="s">
        <v>368</v>
      </c>
      <c r="C1147" s="47" t="n">
        <v>36417.73</v>
      </c>
      <c r="D1147" s="48" t="n">
        <v>1536.68</v>
      </c>
      <c r="E1147" s="49" t="n">
        <f aca="false">D1147-cover</f>
        <v>1535.48</v>
      </c>
      <c r="F1147" s="50" t="n">
        <f aca="false">'Z5 Ikana-Nkangamo'!S12-'Z5 Ikana-Nkangamo'!P12*C1147/'Z5 Ikana-Nkangamo'!G12</f>
        <v>1615.01607577653</v>
      </c>
      <c r="G1147" s="51" t="n">
        <f aca="false">'Z5 Ikana-Nkangamo'!$B$8-E1147</f>
        <v>132.52</v>
      </c>
      <c r="H1147" s="52" t="n">
        <f aca="false">F1147-E1147</f>
        <v>79.5360757765313</v>
      </c>
      <c r="I1147" s="52" t="n">
        <f aca="false">MAX(H1147,G1147)</f>
        <v>132.52</v>
      </c>
      <c r="J1147" s="4" t="str">
        <f aca="false">IFERROR("PN"&amp;SMALL(PN_list,COUNTIF(PN_list,"&lt;"&amp;I1147*bar_per_m)+1),"&gt; max PN")</f>
        <v>PN16</v>
      </c>
      <c r="K1147" s="4" t="str">
        <f aca="false">IF(L1147="no","end at tank",IF(H1147&lt;0,"NEGATIVE",IF(H1147&lt;p_min-0.005,"low","OK")))</f>
        <v>OK</v>
      </c>
      <c r="L1147" s="4" t="s">
        <v>414</v>
      </c>
    </row>
    <row r="1148" customFormat="false" ht="15" hidden="false" customHeight="false" outlineLevel="0" collapsed="false">
      <c r="A1148" s="4" t="s">
        <v>42</v>
      </c>
      <c r="B1148" s="4" t="s">
        <v>368</v>
      </c>
      <c r="C1148" s="47" t="n">
        <v>36467.73</v>
      </c>
      <c r="D1148" s="48" t="n">
        <v>1536.65</v>
      </c>
      <c r="E1148" s="49" t="n">
        <f aca="false">D1148-cover</f>
        <v>1535.45</v>
      </c>
      <c r="F1148" s="50" t="n">
        <f aca="false">'Z5 Ikana-Nkangamo'!S12-'Z5 Ikana-Nkangamo'!P12*C1148/'Z5 Ikana-Nkangamo'!G12</f>
        <v>1614.94978399472</v>
      </c>
      <c r="G1148" s="51" t="n">
        <f aca="false">'Z5 Ikana-Nkangamo'!$B$8-E1148</f>
        <v>132.55</v>
      </c>
      <c r="H1148" s="52" t="n">
        <f aca="false">F1148-E1148</f>
        <v>79.4997839947214</v>
      </c>
      <c r="I1148" s="52" t="n">
        <f aca="false">MAX(H1148,G1148)</f>
        <v>132.55</v>
      </c>
      <c r="J1148" s="4" t="str">
        <f aca="false">IFERROR("PN"&amp;SMALL(PN_list,COUNTIF(PN_list,"&lt;"&amp;I1148*bar_per_m)+1),"&gt; max PN")</f>
        <v>PN16</v>
      </c>
      <c r="K1148" s="4" t="str">
        <f aca="false">IF(L1148="no","end at tank",IF(H1148&lt;0,"NEGATIVE",IF(H1148&lt;p_min-0.005,"low","OK")))</f>
        <v>OK</v>
      </c>
      <c r="L1148" s="4" t="s">
        <v>414</v>
      </c>
    </row>
    <row r="1149" customFormat="false" ht="15" hidden="false" customHeight="false" outlineLevel="0" collapsed="false">
      <c r="A1149" s="4" t="s">
        <v>42</v>
      </c>
      <c r="B1149" s="4" t="s">
        <v>368</v>
      </c>
      <c r="C1149" s="47" t="n">
        <v>36517.94</v>
      </c>
      <c r="D1149" s="48" t="n">
        <v>1541.25</v>
      </c>
      <c r="E1149" s="49" t="n">
        <f aca="false">D1149-cover</f>
        <v>1540.05</v>
      </c>
      <c r="F1149" s="50" t="n">
        <f aca="false">'Z5 Ikana-Nkangamo'!S12-'Z5 Ikana-Nkangamo'!P12*C1149/'Z5 Ikana-Nkangamo'!G12</f>
        <v>1614.88321378743</v>
      </c>
      <c r="G1149" s="51" t="n">
        <f aca="false">'Z5 Ikana-Nkangamo'!$B$8-E1149</f>
        <v>127.95</v>
      </c>
      <c r="H1149" s="52" t="n">
        <f aca="false">F1149-E1149</f>
        <v>74.8332137874279</v>
      </c>
      <c r="I1149" s="52" t="n">
        <f aca="false">MAX(H1149,G1149)</f>
        <v>127.95</v>
      </c>
      <c r="J1149" s="4" t="str">
        <f aca="false">IFERROR("PN"&amp;SMALL(PN_list,COUNTIF(PN_list,"&lt;"&amp;I1149*bar_per_m)+1),"&gt; max PN")</f>
        <v>PN16</v>
      </c>
      <c r="K1149" s="4" t="str">
        <f aca="false">IF(L1149="no","end at tank",IF(H1149&lt;0,"NEGATIVE",IF(H1149&lt;p_min-0.005,"low","OK")))</f>
        <v>OK</v>
      </c>
      <c r="L1149" s="4" t="s">
        <v>414</v>
      </c>
    </row>
    <row r="1150" customFormat="false" ht="15" hidden="false" customHeight="false" outlineLevel="0" collapsed="false">
      <c r="A1150" s="4" t="s">
        <v>42</v>
      </c>
      <c r="B1150" s="4" t="s">
        <v>368</v>
      </c>
      <c r="C1150" s="47" t="n">
        <v>36568.01</v>
      </c>
      <c r="D1150" s="48" t="n">
        <v>1544</v>
      </c>
      <c r="E1150" s="49" t="n">
        <f aca="false">D1150-cover</f>
        <v>1542.8</v>
      </c>
      <c r="F1150" s="50" t="n">
        <f aca="false">'Z5 Ikana-Nkangamo'!S12-'Z5 Ikana-Nkangamo'!P12*C1150/'Z5 Ikana-Nkangamo'!G12</f>
        <v>1614.81682919712</v>
      </c>
      <c r="G1150" s="51" t="n">
        <f aca="false">'Z5 Ikana-Nkangamo'!$B$8-E1150</f>
        <v>125.2</v>
      </c>
      <c r="H1150" s="52" t="n">
        <f aca="false">F1150-E1150</f>
        <v>72.0168291971236</v>
      </c>
      <c r="I1150" s="52" t="n">
        <f aca="false">MAX(H1150,G1150)</f>
        <v>125.2</v>
      </c>
      <c r="J1150" s="4" t="str">
        <f aca="false">IFERROR("PN"&amp;SMALL(PN_list,COUNTIF(PN_list,"&lt;"&amp;I1150*bar_per_m)+1),"&gt; max PN")</f>
        <v>PN16</v>
      </c>
      <c r="K1150" s="4" t="str">
        <f aca="false">IF(L1150="no","end at tank",IF(H1150&lt;0,"NEGATIVE",IF(H1150&lt;p_min-0.005,"low","OK")))</f>
        <v>OK</v>
      </c>
      <c r="L1150" s="4" t="s">
        <v>414</v>
      </c>
    </row>
    <row r="1151" customFormat="false" ht="15" hidden="false" customHeight="false" outlineLevel="0" collapsed="false">
      <c r="A1151" s="4" t="s">
        <v>42</v>
      </c>
      <c r="B1151" s="4" t="s">
        <v>368</v>
      </c>
      <c r="C1151" s="47" t="n">
        <v>36618.07</v>
      </c>
      <c r="D1151" s="48" t="n">
        <v>1546.48</v>
      </c>
      <c r="E1151" s="49" t="n">
        <f aca="false">D1151-cover</f>
        <v>1545.28</v>
      </c>
      <c r="F1151" s="50" t="n">
        <f aca="false">'Z5 Ikana-Nkangamo'!S12-'Z5 Ikana-Nkangamo'!P12*C1151/'Z5 Ikana-Nkangamo'!G12</f>
        <v>1614.75045786518</v>
      </c>
      <c r="G1151" s="51" t="n">
        <f aca="false">'Z5 Ikana-Nkangamo'!$B$8-E1151</f>
        <v>122.72</v>
      </c>
      <c r="H1151" s="52" t="n">
        <f aca="false">F1151-E1151</f>
        <v>69.4704578651754</v>
      </c>
      <c r="I1151" s="52" t="n">
        <f aca="false">MAX(H1151,G1151)</f>
        <v>122.72</v>
      </c>
      <c r="J1151" s="4" t="str">
        <f aca="false">IFERROR("PN"&amp;SMALL(PN_list,COUNTIF(PN_list,"&lt;"&amp;I1151*bar_per_m)+1),"&gt; max PN")</f>
        <v>PN16</v>
      </c>
      <c r="K1151" s="4" t="str">
        <f aca="false">IF(L1151="no","end at tank",IF(H1151&lt;0,"NEGATIVE",IF(H1151&lt;p_min-0.005,"low","OK")))</f>
        <v>OK</v>
      </c>
      <c r="L1151" s="4" t="s">
        <v>414</v>
      </c>
    </row>
    <row r="1152" customFormat="false" ht="15" hidden="false" customHeight="false" outlineLevel="0" collapsed="false">
      <c r="A1152" s="4" t="s">
        <v>42</v>
      </c>
      <c r="B1152" s="4" t="s">
        <v>368</v>
      </c>
      <c r="C1152" s="47" t="n">
        <v>36668.07</v>
      </c>
      <c r="D1152" s="48" t="n">
        <v>1546.77</v>
      </c>
      <c r="E1152" s="49" t="n">
        <f aca="false">D1152-cover</f>
        <v>1545.57</v>
      </c>
      <c r="F1152" s="50" t="n">
        <f aca="false">'Z5 Ikana-Nkangamo'!S12-'Z5 Ikana-Nkangamo'!P12*C1152/'Z5 Ikana-Nkangamo'!G12</f>
        <v>1614.68416608337</v>
      </c>
      <c r="G1152" s="51" t="n">
        <f aca="false">'Z5 Ikana-Nkangamo'!$B$8-E1152</f>
        <v>122.43</v>
      </c>
      <c r="H1152" s="52" t="n">
        <f aca="false">F1152-E1152</f>
        <v>69.1141660833655</v>
      </c>
      <c r="I1152" s="52" t="n">
        <f aca="false">MAX(H1152,G1152)</f>
        <v>122.43</v>
      </c>
      <c r="J1152" s="4" t="str">
        <f aca="false">IFERROR("PN"&amp;SMALL(PN_list,COUNTIF(PN_list,"&lt;"&amp;I1152*bar_per_m)+1),"&gt; max PN")</f>
        <v>PN16</v>
      </c>
      <c r="K1152" s="4" t="str">
        <f aca="false">IF(L1152="no","end at tank",IF(H1152&lt;0,"NEGATIVE",IF(H1152&lt;p_min-0.005,"low","OK")))</f>
        <v>OK</v>
      </c>
      <c r="L1152" s="4" t="s">
        <v>414</v>
      </c>
    </row>
    <row r="1153" customFormat="false" ht="15" hidden="false" customHeight="false" outlineLevel="0" collapsed="false">
      <c r="A1153" s="4" t="s">
        <v>42</v>
      </c>
      <c r="B1153" s="4" t="s">
        <v>368</v>
      </c>
      <c r="C1153" s="47" t="n">
        <v>36718.07</v>
      </c>
      <c r="D1153" s="48" t="n">
        <v>1546.94</v>
      </c>
      <c r="E1153" s="49" t="n">
        <f aca="false">D1153-cover</f>
        <v>1545.74</v>
      </c>
      <c r="F1153" s="50" t="n">
        <f aca="false">'Z5 Ikana-Nkangamo'!S12-'Z5 Ikana-Nkangamo'!P12*C1153/'Z5 Ikana-Nkangamo'!G12</f>
        <v>1614.61787430156</v>
      </c>
      <c r="G1153" s="51" t="n">
        <f aca="false">'Z5 Ikana-Nkangamo'!$B$8-E1153</f>
        <v>122.26</v>
      </c>
      <c r="H1153" s="52" t="n">
        <f aca="false">F1153-E1153</f>
        <v>68.8778743015555</v>
      </c>
      <c r="I1153" s="52" t="n">
        <f aca="false">MAX(H1153,G1153)</f>
        <v>122.26</v>
      </c>
      <c r="J1153" s="4" t="str">
        <f aca="false">IFERROR("PN"&amp;SMALL(PN_list,COUNTIF(PN_list,"&lt;"&amp;I1153*bar_per_m)+1),"&gt; max PN")</f>
        <v>PN16</v>
      </c>
      <c r="K1153" s="4" t="str">
        <f aca="false">IF(L1153="no","end at tank",IF(H1153&lt;0,"NEGATIVE",IF(H1153&lt;p_min-0.005,"low","OK")))</f>
        <v>OK</v>
      </c>
      <c r="L1153" s="4" t="s">
        <v>414</v>
      </c>
    </row>
    <row r="1154" customFormat="false" ht="15" hidden="false" customHeight="false" outlineLevel="0" collapsed="false">
      <c r="A1154" s="4" t="s">
        <v>42</v>
      </c>
      <c r="B1154" s="4" t="s">
        <v>368</v>
      </c>
      <c r="C1154" s="47" t="n">
        <v>36768.08</v>
      </c>
      <c r="D1154" s="48" t="n">
        <v>1547.09</v>
      </c>
      <c r="E1154" s="49" t="n">
        <f aca="false">D1154-cover</f>
        <v>1545.89</v>
      </c>
      <c r="F1154" s="50" t="n">
        <f aca="false">'Z5 Ikana-Nkangamo'!S12-'Z5 Ikana-Nkangamo'!P12*C1154/'Z5 Ikana-Nkangamo'!G12</f>
        <v>1614.55156926139</v>
      </c>
      <c r="G1154" s="51" t="n">
        <f aca="false">'Z5 Ikana-Nkangamo'!$B$8-E1154</f>
        <v>122.11</v>
      </c>
      <c r="H1154" s="52" t="n">
        <f aca="false">F1154-E1154</f>
        <v>68.6615692613893</v>
      </c>
      <c r="I1154" s="52" t="n">
        <f aca="false">MAX(H1154,G1154)</f>
        <v>122.11</v>
      </c>
      <c r="J1154" s="4" t="str">
        <f aca="false">IFERROR("PN"&amp;SMALL(PN_list,COUNTIF(PN_list,"&lt;"&amp;I1154*bar_per_m)+1),"&gt; max PN")</f>
        <v>PN16</v>
      </c>
      <c r="K1154" s="4" t="str">
        <f aca="false">IF(L1154="no","end at tank",IF(H1154&lt;0,"NEGATIVE",IF(H1154&lt;p_min-0.005,"low","OK")))</f>
        <v>OK</v>
      </c>
      <c r="L1154" s="4" t="s">
        <v>414</v>
      </c>
    </row>
    <row r="1155" customFormat="false" ht="15" hidden="false" customHeight="false" outlineLevel="0" collapsed="false">
      <c r="A1155" s="4" t="s">
        <v>42</v>
      </c>
      <c r="B1155" s="4" t="s">
        <v>368</v>
      </c>
      <c r="C1155" s="47" t="n">
        <v>36818.08</v>
      </c>
      <c r="D1155" s="48" t="n">
        <v>1547.14</v>
      </c>
      <c r="E1155" s="49" t="n">
        <f aca="false">D1155-cover</f>
        <v>1545.94</v>
      </c>
      <c r="F1155" s="50" t="n">
        <f aca="false">'Z5 Ikana-Nkangamo'!S12-'Z5 Ikana-Nkangamo'!P12*C1155/'Z5 Ikana-Nkangamo'!G12</f>
        <v>1614.48527747958</v>
      </c>
      <c r="G1155" s="51" t="n">
        <f aca="false">'Z5 Ikana-Nkangamo'!$B$8-E1155</f>
        <v>122.06</v>
      </c>
      <c r="H1155" s="52" t="n">
        <f aca="false">F1155-E1155</f>
        <v>68.545277479579</v>
      </c>
      <c r="I1155" s="52" t="n">
        <f aca="false">MAX(H1155,G1155)</f>
        <v>122.06</v>
      </c>
      <c r="J1155" s="4" t="str">
        <f aca="false">IFERROR("PN"&amp;SMALL(PN_list,COUNTIF(PN_list,"&lt;"&amp;I1155*bar_per_m)+1),"&gt; max PN")</f>
        <v>PN16</v>
      </c>
      <c r="K1155" s="4" t="str">
        <f aca="false">IF(L1155="no","end at tank",IF(H1155&lt;0,"NEGATIVE",IF(H1155&lt;p_min-0.005,"low","OK")))</f>
        <v>OK</v>
      </c>
      <c r="L1155" s="4" t="s">
        <v>414</v>
      </c>
    </row>
    <row r="1156" customFormat="false" ht="15" hidden="false" customHeight="false" outlineLevel="0" collapsed="false">
      <c r="A1156" s="4" t="s">
        <v>42</v>
      </c>
      <c r="B1156" s="4" t="s">
        <v>368</v>
      </c>
      <c r="C1156" s="47" t="n">
        <v>36868.08</v>
      </c>
      <c r="D1156" s="48" t="n">
        <v>1547.9</v>
      </c>
      <c r="E1156" s="49" t="n">
        <f aca="false">D1156-cover</f>
        <v>1546.7</v>
      </c>
      <c r="F1156" s="50" t="n">
        <f aca="false">'Z5 Ikana-Nkangamo'!S12-'Z5 Ikana-Nkangamo'!P12*C1156/'Z5 Ikana-Nkangamo'!G12</f>
        <v>1614.41898569777</v>
      </c>
      <c r="G1156" s="51" t="n">
        <f aca="false">'Z5 Ikana-Nkangamo'!$B$8-E1156</f>
        <v>121.3</v>
      </c>
      <c r="H1156" s="52" t="n">
        <f aca="false">F1156-E1156</f>
        <v>67.7189856977691</v>
      </c>
      <c r="I1156" s="52" t="n">
        <f aca="false">MAX(H1156,G1156)</f>
        <v>121.3</v>
      </c>
      <c r="J1156" s="4" t="str">
        <f aca="false">IFERROR("PN"&amp;SMALL(PN_list,COUNTIF(PN_list,"&lt;"&amp;I1156*bar_per_m)+1),"&gt; max PN")</f>
        <v>PN16</v>
      </c>
      <c r="K1156" s="4" t="str">
        <f aca="false">IF(L1156="no","end at tank",IF(H1156&lt;0,"NEGATIVE",IF(H1156&lt;p_min-0.005,"low","OK")))</f>
        <v>OK</v>
      </c>
      <c r="L1156" s="4" t="s">
        <v>414</v>
      </c>
    </row>
    <row r="1157" customFormat="false" ht="15" hidden="false" customHeight="false" outlineLevel="0" collapsed="false">
      <c r="A1157" s="4" t="s">
        <v>42</v>
      </c>
      <c r="B1157" s="4" t="s">
        <v>368</v>
      </c>
      <c r="C1157" s="47" t="n">
        <v>36918.08</v>
      </c>
      <c r="D1157" s="48" t="n">
        <v>1547.62</v>
      </c>
      <c r="E1157" s="49" t="n">
        <f aca="false">D1157-cover</f>
        <v>1546.42</v>
      </c>
      <c r="F1157" s="50" t="n">
        <f aca="false">'Z5 Ikana-Nkangamo'!S12-'Z5 Ikana-Nkangamo'!P12*C1157/'Z5 Ikana-Nkangamo'!G12</f>
        <v>1614.35269391596</v>
      </c>
      <c r="G1157" s="51" t="n">
        <f aca="false">'Z5 Ikana-Nkangamo'!$B$8-E1157</f>
        <v>121.58</v>
      </c>
      <c r="H1157" s="52" t="n">
        <f aca="false">F1157-E1157</f>
        <v>67.9326939159594</v>
      </c>
      <c r="I1157" s="52" t="n">
        <f aca="false">MAX(H1157,G1157)</f>
        <v>121.58</v>
      </c>
      <c r="J1157" s="4" t="str">
        <f aca="false">IFERROR("PN"&amp;SMALL(PN_list,COUNTIF(PN_list,"&lt;"&amp;I1157*bar_per_m)+1),"&gt; max PN")</f>
        <v>PN16</v>
      </c>
      <c r="K1157" s="4" t="str">
        <f aca="false">IF(L1157="no","end at tank",IF(H1157&lt;0,"NEGATIVE",IF(H1157&lt;p_min-0.005,"low","OK")))</f>
        <v>OK</v>
      </c>
      <c r="L1157" s="4" t="s">
        <v>414</v>
      </c>
    </row>
    <row r="1158" customFormat="false" ht="15" hidden="false" customHeight="false" outlineLevel="0" collapsed="false">
      <c r="A1158" s="4" t="s">
        <v>42</v>
      </c>
      <c r="B1158" s="4" t="s">
        <v>368</v>
      </c>
      <c r="C1158" s="47" t="n">
        <v>36968.08</v>
      </c>
      <c r="D1158" s="48" t="n">
        <v>1547.26</v>
      </c>
      <c r="E1158" s="49" t="n">
        <f aca="false">D1158-cover</f>
        <v>1546.06</v>
      </c>
      <c r="F1158" s="50" t="n">
        <f aca="false">'Z5 Ikana-Nkangamo'!S12-'Z5 Ikana-Nkangamo'!P12*C1158/'Z5 Ikana-Nkangamo'!G12</f>
        <v>1614.28640213415</v>
      </c>
      <c r="G1158" s="51" t="n">
        <f aca="false">'Z5 Ikana-Nkangamo'!$B$8-E1158</f>
        <v>121.94</v>
      </c>
      <c r="H1158" s="52" t="n">
        <f aca="false">F1158-E1158</f>
        <v>68.2264021341493</v>
      </c>
      <c r="I1158" s="52" t="n">
        <f aca="false">MAX(H1158,G1158)</f>
        <v>121.94</v>
      </c>
      <c r="J1158" s="4" t="str">
        <f aca="false">IFERROR("PN"&amp;SMALL(PN_list,COUNTIF(PN_list,"&lt;"&amp;I1158*bar_per_m)+1),"&gt; max PN")</f>
        <v>PN16</v>
      </c>
      <c r="K1158" s="4" t="str">
        <f aca="false">IF(L1158="no","end at tank",IF(H1158&lt;0,"NEGATIVE",IF(H1158&lt;p_min-0.005,"low","OK")))</f>
        <v>OK</v>
      </c>
      <c r="L1158" s="4" t="s">
        <v>414</v>
      </c>
    </row>
    <row r="1159" customFormat="false" ht="15" hidden="false" customHeight="false" outlineLevel="0" collapsed="false">
      <c r="A1159" s="4" t="s">
        <v>42</v>
      </c>
      <c r="B1159" s="4" t="s">
        <v>368</v>
      </c>
      <c r="C1159" s="47" t="n">
        <v>37018.09</v>
      </c>
      <c r="D1159" s="48" t="n">
        <v>1547.87</v>
      </c>
      <c r="E1159" s="49" t="n">
        <f aca="false">D1159-cover</f>
        <v>1546.67</v>
      </c>
      <c r="F1159" s="50" t="n">
        <f aca="false">'Z5 Ikana-Nkangamo'!S12-'Z5 Ikana-Nkangamo'!P12*C1159/'Z5 Ikana-Nkangamo'!G12</f>
        <v>1614.22009709398</v>
      </c>
      <c r="G1159" s="51" t="n">
        <f aca="false">'Z5 Ikana-Nkangamo'!$B$8-E1159</f>
        <v>121.33</v>
      </c>
      <c r="H1159" s="52" t="n">
        <f aca="false">F1159-E1159</f>
        <v>67.5500970939831</v>
      </c>
      <c r="I1159" s="52" t="n">
        <f aca="false">MAX(H1159,G1159)</f>
        <v>121.33</v>
      </c>
      <c r="J1159" s="4" t="str">
        <f aca="false">IFERROR("PN"&amp;SMALL(PN_list,COUNTIF(PN_list,"&lt;"&amp;I1159*bar_per_m)+1),"&gt; max PN")</f>
        <v>PN16</v>
      </c>
      <c r="K1159" s="4" t="str">
        <f aca="false">IF(L1159="no","end at tank",IF(H1159&lt;0,"NEGATIVE",IF(H1159&lt;p_min-0.005,"low","OK")))</f>
        <v>OK</v>
      </c>
      <c r="L1159" s="4" t="s">
        <v>414</v>
      </c>
    </row>
    <row r="1160" customFormat="false" ht="15" hidden="false" customHeight="false" outlineLevel="0" collapsed="false">
      <c r="A1160" s="4" t="s">
        <v>42</v>
      </c>
      <c r="B1160" s="4" t="s">
        <v>368</v>
      </c>
      <c r="C1160" s="47" t="n">
        <v>37068.09</v>
      </c>
      <c r="D1160" s="48" t="n">
        <v>1548.31</v>
      </c>
      <c r="E1160" s="49" t="n">
        <f aca="false">D1160-cover</f>
        <v>1547.11</v>
      </c>
      <c r="F1160" s="50" t="n">
        <f aca="false">'Z5 Ikana-Nkangamo'!S12-'Z5 Ikana-Nkangamo'!P12*C1160/'Z5 Ikana-Nkangamo'!G12</f>
        <v>1614.15380531217</v>
      </c>
      <c r="G1160" s="51" t="n">
        <f aca="false">'Z5 Ikana-Nkangamo'!$B$8-E1160</f>
        <v>120.89</v>
      </c>
      <c r="H1160" s="52" t="n">
        <f aca="false">F1160-E1160</f>
        <v>67.0438053121732</v>
      </c>
      <c r="I1160" s="52" t="n">
        <f aca="false">MAX(H1160,G1160)</f>
        <v>120.89</v>
      </c>
      <c r="J1160" s="4" t="str">
        <f aca="false">IFERROR("PN"&amp;SMALL(PN_list,COUNTIF(PN_list,"&lt;"&amp;I1160*bar_per_m)+1),"&gt; max PN")</f>
        <v>PN16</v>
      </c>
      <c r="K1160" s="4" t="str">
        <f aca="false">IF(L1160="no","end at tank",IF(H1160&lt;0,"NEGATIVE",IF(H1160&lt;p_min-0.005,"low","OK")))</f>
        <v>OK</v>
      </c>
      <c r="L1160" s="4" t="s">
        <v>414</v>
      </c>
    </row>
    <row r="1161" customFormat="false" ht="15" hidden="false" customHeight="false" outlineLevel="0" collapsed="false">
      <c r="A1161" s="4" t="s">
        <v>42</v>
      </c>
      <c r="B1161" s="4" t="s">
        <v>368</v>
      </c>
      <c r="C1161" s="47" t="n">
        <v>37118.09</v>
      </c>
      <c r="D1161" s="48" t="n">
        <v>1547.99</v>
      </c>
      <c r="E1161" s="49" t="n">
        <f aca="false">D1161-cover</f>
        <v>1546.79</v>
      </c>
      <c r="F1161" s="50" t="n">
        <f aca="false">'Z5 Ikana-Nkangamo'!S12-'Z5 Ikana-Nkangamo'!P12*C1161/'Z5 Ikana-Nkangamo'!G12</f>
        <v>1614.08751353036</v>
      </c>
      <c r="G1161" s="51" t="n">
        <f aca="false">'Z5 Ikana-Nkangamo'!$B$8-E1161</f>
        <v>121.21</v>
      </c>
      <c r="H1161" s="52" t="n">
        <f aca="false">F1161-E1161</f>
        <v>67.2975135303632</v>
      </c>
      <c r="I1161" s="52" t="n">
        <f aca="false">MAX(H1161,G1161)</f>
        <v>121.21</v>
      </c>
      <c r="J1161" s="4" t="str">
        <f aca="false">IFERROR("PN"&amp;SMALL(PN_list,COUNTIF(PN_list,"&lt;"&amp;I1161*bar_per_m)+1),"&gt; max PN")</f>
        <v>PN16</v>
      </c>
      <c r="K1161" s="4" t="str">
        <f aca="false">IF(L1161="no","end at tank",IF(H1161&lt;0,"NEGATIVE",IF(H1161&lt;p_min-0.005,"low","OK")))</f>
        <v>OK</v>
      </c>
      <c r="L1161" s="4" t="s">
        <v>414</v>
      </c>
    </row>
    <row r="1162" customFormat="false" ht="15" hidden="false" customHeight="false" outlineLevel="0" collapsed="false">
      <c r="A1162" s="4" t="s">
        <v>42</v>
      </c>
      <c r="B1162" s="4" t="s">
        <v>368</v>
      </c>
      <c r="C1162" s="47" t="n">
        <v>37168.09</v>
      </c>
      <c r="D1162" s="48" t="n">
        <v>1547.27</v>
      </c>
      <c r="E1162" s="49" t="n">
        <f aca="false">D1162-cover</f>
        <v>1546.07</v>
      </c>
      <c r="F1162" s="50" t="n">
        <f aca="false">'Z5 Ikana-Nkangamo'!S12-'Z5 Ikana-Nkangamo'!P12*C1162/'Z5 Ikana-Nkangamo'!G12</f>
        <v>1614.02122174855</v>
      </c>
      <c r="G1162" s="51" t="n">
        <f aca="false">'Z5 Ikana-Nkangamo'!$B$8-E1162</f>
        <v>121.93</v>
      </c>
      <c r="H1162" s="52" t="n">
        <f aca="false">F1162-E1162</f>
        <v>67.9512217485533</v>
      </c>
      <c r="I1162" s="52" t="n">
        <f aca="false">MAX(H1162,G1162)</f>
        <v>121.93</v>
      </c>
      <c r="J1162" s="4" t="str">
        <f aca="false">IFERROR("PN"&amp;SMALL(PN_list,COUNTIF(PN_list,"&lt;"&amp;I1162*bar_per_m)+1),"&gt; max PN")</f>
        <v>PN16</v>
      </c>
      <c r="K1162" s="4" t="str">
        <f aca="false">IF(L1162="no","end at tank",IF(H1162&lt;0,"NEGATIVE",IF(H1162&lt;p_min-0.005,"low","OK")))</f>
        <v>OK</v>
      </c>
      <c r="L1162" s="4" t="s">
        <v>414</v>
      </c>
    </row>
    <row r="1163" customFormat="false" ht="15" hidden="false" customHeight="false" outlineLevel="0" collapsed="false">
      <c r="A1163" s="4" t="s">
        <v>42</v>
      </c>
      <c r="B1163" s="4" t="s">
        <v>368</v>
      </c>
      <c r="C1163" s="47" t="n">
        <v>37218.09</v>
      </c>
      <c r="D1163" s="48" t="n">
        <v>1547.24</v>
      </c>
      <c r="E1163" s="49" t="n">
        <f aca="false">D1163-cover</f>
        <v>1546.04</v>
      </c>
      <c r="F1163" s="50" t="n">
        <f aca="false">'Z5 Ikana-Nkangamo'!S12-'Z5 Ikana-Nkangamo'!P12*C1163/'Z5 Ikana-Nkangamo'!G12</f>
        <v>1613.95492996674</v>
      </c>
      <c r="G1163" s="51" t="n">
        <f aca="false">'Z5 Ikana-Nkangamo'!$B$8-E1163</f>
        <v>121.96</v>
      </c>
      <c r="H1163" s="52" t="n">
        <f aca="false">F1163-E1163</f>
        <v>67.9149299667433</v>
      </c>
      <c r="I1163" s="52" t="n">
        <f aca="false">MAX(H1163,G1163)</f>
        <v>121.96</v>
      </c>
      <c r="J1163" s="4" t="str">
        <f aca="false">IFERROR("PN"&amp;SMALL(PN_list,COUNTIF(PN_list,"&lt;"&amp;I1163*bar_per_m)+1),"&gt; max PN")</f>
        <v>PN16</v>
      </c>
      <c r="K1163" s="4" t="str">
        <f aca="false">IF(L1163="no","end at tank",IF(H1163&lt;0,"NEGATIVE",IF(H1163&lt;p_min-0.005,"low","OK")))</f>
        <v>OK</v>
      </c>
      <c r="L1163" s="4" t="s">
        <v>414</v>
      </c>
    </row>
    <row r="1164" customFormat="false" ht="15" hidden="false" customHeight="false" outlineLevel="0" collapsed="false">
      <c r="A1164" s="4" t="s">
        <v>42</v>
      </c>
      <c r="B1164" s="4" t="s">
        <v>368</v>
      </c>
      <c r="C1164" s="47" t="n">
        <v>37268.14</v>
      </c>
      <c r="D1164" s="48" t="n">
        <v>1545.11</v>
      </c>
      <c r="E1164" s="49" t="n">
        <f aca="false">D1164-cover</f>
        <v>1543.91</v>
      </c>
      <c r="F1164" s="50" t="n">
        <f aca="false">'Z5 Ikana-Nkangamo'!S12-'Z5 Ikana-Nkangamo'!P12*C1164/'Z5 Ikana-Nkangamo'!G12</f>
        <v>1613.88857189315</v>
      </c>
      <c r="G1164" s="51" t="n">
        <f aca="false">'Z5 Ikana-Nkangamo'!$B$8-E1164</f>
        <v>124.09</v>
      </c>
      <c r="H1164" s="52" t="n">
        <f aca="false">F1164-E1164</f>
        <v>69.9785718931516</v>
      </c>
      <c r="I1164" s="52" t="n">
        <f aca="false">MAX(H1164,G1164)</f>
        <v>124.09</v>
      </c>
      <c r="J1164" s="4" t="str">
        <f aca="false">IFERROR("PN"&amp;SMALL(PN_list,COUNTIF(PN_list,"&lt;"&amp;I1164*bar_per_m)+1),"&gt; max PN")</f>
        <v>PN16</v>
      </c>
      <c r="K1164" s="4" t="str">
        <f aca="false">IF(L1164="no","end at tank",IF(H1164&lt;0,"NEGATIVE",IF(H1164&lt;p_min-0.005,"low","OK")))</f>
        <v>OK</v>
      </c>
      <c r="L1164" s="4" t="s">
        <v>414</v>
      </c>
    </row>
    <row r="1165" customFormat="false" ht="15" hidden="false" customHeight="false" outlineLevel="0" collapsed="false">
      <c r="A1165" s="4" t="s">
        <v>42</v>
      </c>
      <c r="B1165" s="4" t="s">
        <v>368</v>
      </c>
      <c r="C1165" s="47" t="n">
        <v>37318.16</v>
      </c>
      <c r="D1165" s="48" t="n">
        <v>1543.68</v>
      </c>
      <c r="E1165" s="49" t="n">
        <f aca="false">D1165-cover</f>
        <v>1542.48</v>
      </c>
      <c r="F1165" s="50" t="n">
        <f aca="false">'Z5 Ikana-Nkangamo'!S12-'Z5 Ikana-Nkangamo'!P12*C1165/'Z5 Ikana-Nkangamo'!G12</f>
        <v>1613.82225359463</v>
      </c>
      <c r="G1165" s="51" t="n">
        <f aca="false">'Z5 Ikana-Nkangamo'!$B$8-E1165</f>
        <v>125.52</v>
      </c>
      <c r="H1165" s="52" t="n">
        <f aca="false">F1165-E1165</f>
        <v>71.3422535946288</v>
      </c>
      <c r="I1165" s="52" t="n">
        <f aca="false">MAX(H1165,G1165)</f>
        <v>125.52</v>
      </c>
      <c r="J1165" s="4" t="str">
        <f aca="false">IFERROR("PN"&amp;SMALL(PN_list,COUNTIF(PN_list,"&lt;"&amp;I1165*bar_per_m)+1),"&gt; max PN")</f>
        <v>PN16</v>
      </c>
      <c r="K1165" s="4" t="str">
        <f aca="false">IF(L1165="no","end at tank",IF(H1165&lt;0,"NEGATIVE",IF(H1165&lt;p_min-0.005,"low","OK")))</f>
        <v>OK</v>
      </c>
      <c r="L1165" s="4" t="s">
        <v>414</v>
      </c>
    </row>
    <row r="1166" customFormat="false" ht="15" hidden="false" customHeight="false" outlineLevel="0" collapsed="false">
      <c r="A1166" s="4" t="s">
        <v>42</v>
      </c>
      <c r="B1166" s="4" t="s">
        <v>368</v>
      </c>
      <c r="C1166" s="47" t="n">
        <v>37368.18</v>
      </c>
      <c r="D1166" s="48" t="n">
        <v>1545</v>
      </c>
      <c r="E1166" s="49" t="n">
        <f aca="false">D1166-cover</f>
        <v>1543.8</v>
      </c>
      <c r="F1166" s="50" t="n">
        <f aca="false">'Z5 Ikana-Nkangamo'!S12-'Z5 Ikana-Nkangamo'!P12*C1166/'Z5 Ikana-Nkangamo'!G12</f>
        <v>1613.75593529611</v>
      </c>
      <c r="G1166" s="51" t="n">
        <f aca="false">'Z5 Ikana-Nkangamo'!$B$8-E1166</f>
        <v>124.2</v>
      </c>
      <c r="H1166" s="52" t="n">
        <f aca="false">F1166-E1166</f>
        <v>69.9559352961062</v>
      </c>
      <c r="I1166" s="52" t="n">
        <f aca="false">MAX(H1166,G1166)</f>
        <v>124.2</v>
      </c>
      <c r="J1166" s="4" t="str">
        <f aca="false">IFERROR("PN"&amp;SMALL(PN_list,COUNTIF(PN_list,"&lt;"&amp;I1166*bar_per_m)+1),"&gt; max PN")</f>
        <v>PN16</v>
      </c>
      <c r="K1166" s="4" t="str">
        <f aca="false">IF(L1166="no","end at tank",IF(H1166&lt;0,"NEGATIVE",IF(H1166&lt;p_min-0.005,"low","OK")))</f>
        <v>OK</v>
      </c>
      <c r="L1166" s="4" t="s">
        <v>414</v>
      </c>
    </row>
    <row r="1167" customFormat="false" ht="15" hidden="false" customHeight="false" outlineLevel="0" collapsed="false">
      <c r="A1167" s="4" t="s">
        <v>42</v>
      </c>
      <c r="B1167" s="4" t="s">
        <v>368</v>
      </c>
      <c r="C1167" s="47" t="n">
        <v>37418.19</v>
      </c>
      <c r="D1167" s="48" t="n">
        <v>1546.07</v>
      </c>
      <c r="E1167" s="49" t="n">
        <f aca="false">D1167-cover</f>
        <v>1544.87</v>
      </c>
      <c r="F1167" s="50" t="n">
        <f aca="false">'Z5 Ikana-Nkangamo'!S12-'Z5 Ikana-Nkangamo'!P12*C1167/'Z5 Ikana-Nkangamo'!G12</f>
        <v>1613.68963025594</v>
      </c>
      <c r="G1167" s="51" t="n">
        <f aca="false">'Z5 Ikana-Nkangamo'!$B$8-E1167</f>
        <v>123.13</v>
      </c>
      <c r="H1167" s="52" t="n">
        <f aca="false">F1167-E1167</f>
        <v>68.81963025594</v>
      </c>
      <c r="I1167" s="52" t="n">
        <f aca="false">MAX(H1167,G1167)</f>
        <v>123.13</v>
      </c>
      <c r="J1167" s="4" t="str">
        <f aca="false">IFERROR("PN"&amp;SMALL(PN_list,COUNTIF(PN_list,"&lt;"&amp;I1167*bar_per_m)+1),"&gt; max PN")</f>
        <v>PN16</v>
      </c>
      <c r="K1167" s="4" t="str">
        <f aca="false">IF(L1167="no","end at tank",IF(H1167&lt;0,"NEGATIVE",IF(H1167&lt;p_min-0.005,"low","OK")))</f>
        <v>OK</v>
      </c>
      <c r="L1167" s="4" t="s">
        <v>414</v>
      </c>
    </row>
    <row r="1168" customFormat="false" ht="15" hidden="false" customHeight="false" outlineLevel="0" collapsed="false">
      <c r="A1168" s="4" t="s">
        <v>42</v>
      </c>
      <c r="B1168" s="4" t="s">
        <v>368</v>
      </c>
      <c r="C1168" s="47" t="n">
        <v>37468.19</v>
      </c>
      <c r="D1168" s="48" t="n">
        <v>1546.02</v>
      </c>
      <c r="E1168" s="49" t="n">
        <f aca="false">D1168-cover</f>
        <v>1544.82</v>
      </c>
      <c r="F1168" s="50" t="n">
        <f aca="false">'Z5 Ikana-Nkangamo'!S12-'Z5 Ikana-Nkangamo'!P12*C1168/'Z5 Ikana-Nkangamo'!G12</f>
        <v>1613.62333847413</v>
      </c>
      <c r="G1168" s="51" t="n">
        <f aca="false">'Z5 Ikana-Nkangamo'!$B$8-E1168</f>
        <v>123.18</v>
      </c>
      <c r="H1168" s="52" t="n">
        <f aca="false">F1168-E1168</f>
        <v>68.80333847413</v>
      </c>
      <c r="I1168" s="52" t="n">
        <f aca="false">MAX(H1168,G1168)</f>
        <v>123.18</v>
      </c>
      <c r="J1168" s="4" t="str">
        <f aca="false">IFERROR("PN"&amp;SMALL(PN_list,COUNTIF(PN_list,"&lt;"&amp;I1168*bar_per_m)+1),"&gt; max PN")</f>
        <v>PN16</v>
      </c>
      <c r="K1168" s="4" t="str">
        <f aca="false">IF(L1168="no","end at tank",IF(H1168&lt;0,"NEGATIVE",IF(H1168&lt;p_min-0.005,"low","OK")))</f>
        <v>OK</v>
      </c>
      <c r="L1168" s="4" t="s">
        <v>414</v>
      </c>
    </row>
    <row r="1169" customFormat="false" ht="15" hidden="false" customHeight="false" outlineLevel="0" collapsed="false">
      <c r="A1169" s="4" t="s">
        <v>42</v>
      </c>
      <c r="B1169" s="4" t="s">
        <v>368</v>
      </c>
      <c r="C1169" s="47" t="n">
        <v>37518.19</v>
      </c>
      <c r="D1169" s="48" t="n">
        <v>1545.78</v>
      </c>
      <c r="E1169" s="49" t="n">
        <f aca="false">D1169-cover</f>
        <v>1544.58</v>
      </c>
      <c r="F1169" s="50" t="n">
        <f aca="false">'Z5 Ikana-Nkangamo'!S12-'Z5 Ikana-Nkangamo'!P12*C1169/'Z5 Ikana-Nkangamo'!G12</f>
        <v>1613.55704669232</v>
      </c>
      <c r="G1169" s="51" t="n">
        <f aca="false">'Z5 Ikana-Nkangamo'!$B$8-E1169</f>
        <v>123.42</v>
      </c>
      <c r="H1169" s="52" t="n">
        <f aca="false">F1169-E1169</f>
        <v>68.9770466923201</v>
      </c>
      <c r="I1169" s="52" t="n">
        <f aca="false">MAX(H1169,G1169)</f>
        <v>123.42</v>
      </c>
      <c r="J1169" s="4" t="str">
        <f aca="false">IFERROR("PN"&amp;SMALL(PN_list,COUNTIF(PN_list,"&lt;"&amp;I1169*bar_per_m)+1),"&gt; max PN")</f>
        <v>PN16</v>
      </c>
      <c r="K1169" s="4" t="str">
        <f aca="false">IF(L1169="no","end at tank",IF(H1169&lt;0,"NEGATIVE",IF(H1169&lt;p_min-0.005,"low","OK")))</f>
        <v>OK</v>
      </c>
      <c r="L1169" s="4" t="s">
        <v>414</v>
      </c>
    </row>
    <row r="1170" customFormat="false" ht="15" hidden="false" customHeight="false" outlineLevel="0" collapsed="false">
      <c r="A1170" s="4" t="s">
        <v>42</v>
      </c>
      <c r="B1170" s="4" t="s">
        <v>368</v>
      </c>
      <c r="C1170" s="47" t="n">
        <v>37568.19</v>
      </c>
      <c r="D1170" s="48" t="n">
        <v>1545.52</v>
      </c>
      <c r="E1170" s="49" t="n">
        <f aca="false">D1170-cover</f>
        <v>1544.32</v>
      </c>
      <c r="F1170" s="50" t="n">
        <f aca="false">'Z5 Ikana-Nkangamo'!S12-'Z5 Ikana-Nkangamo'!P12*C1170/'Z5 Ikana-Nkangamo'!G12</f>
        <v>1613.49075491051</v>
      </c>
      <c r="G1170" s="51" t="n">
        <f aca="false">'Z5 Ikana-Nkangamo'!$B$8-E1170</f>
        <v>123.68</v>
      </c>
      <c r="H1170" s="52" t="n">
        <f aca="false">F1170-E1170</f>
        <v>69.1707549105101</v>
      </c>
      <c r="I1170" s="52" t="n">
        <f aca="false">MAX(H1170,G1170)</f>
        <v>123.68</v>
      </c>
      <c r="J1170" s="4" t="str">
        <f aca="false">IFERROR("PN"&amp;SMALL(PN_list,COUNTIF(PN_list,"&lt;"&amp;I1170*bar_per_m)+1),"&gt; max PN")</f>
        <v>PN16</v>
      </c>
      <c r="K1170" s="4" t="str">
        <f aca="false">IF(L1170="no","end at tank",IF(H1170&lt;0,"NEGATIVE",IF(H1170&lt;p_min-0.005,"low","OK")))</f>
        <v>OK</v>
      </c>
      <c r="L1170" s="4" t="s">
        <v>414</v>
      </c>
    </row>
    <row r="1171" customFormat="false" ht="15" hidden="false" customHeight="false" outlineLevel="0" collapsed="false">
      <c r="A1171" s="4" t="s">
        <v>42</v>
      </c>
      <c r="B1171" s="4" t="s">
        <v>368</v>
      </c>
      <c r="C1171" s="47" t="n">
        <v>37618.19</v>
      </c>
      <c r="D1171" s="48" t="n">
        <v>1545.61</v>
      </c>
      <c r="E1171" s="49" t="n">
        <f aca="false">D1171-cover</f>
        <v>1544.41</v>
      </c>
      <c r="F1171" s="50" t="n">
        <f aca="false">'Z5 Ikana-Nkangamo'!S12-'Z5 Ikana-Nkangamo'!P12*C1171/'Z5 Ikana-Nkangamo'!G12</f>
        <v>1613.4244631287</v>
      </c>
      <c r="G1171" s="51" t="n">
        <f aca="false">'Z5 Ikana-Nkangamo'!$B$8-E1171</f>
        <v>123.59</v>
      </c>
      <c r="H1171" s="52" t="n">
        <f aca="false">F1171-E1171</f>
        <v>69.0144631287003</v>
      </c>
      <c r="I1171" s="52" t="n">
        <f aca="false">MAX(H1171,G1171)</f>
        <v>123.59</v>
      </c>
      <c r="J1171" s="4" t="str">
        <f aca="false">IFERROR("PN"&amp;SMALL(PN_list,COUNTIF(PN_list,"&lt;"&amp;I1171*bar_per_m)+1),"&gt; max PN")</f>
        <v>PN16</v>
      </c>
      <c r="K1171" s="4" t="str">
        <f aca="false">IF(L1171="no","end at tank",IF(H1171&lt;0,"NEGATIVE",IF(H1171&lt;p_min-0.005,"low","OK")))</f>
        <v>OK</v>
      </c>
      <c r="L1171" s="4" t="s">
        <v>414</v>
      </c>
    </row>
    <row r="1172" customFormat="false" ht="15" hidden="false" customHeight="false" outlineLevel="0" collapsed="false">
      <c r="A1172" s="4" t="s">
        <v>42</v>
      </c>
      <c r="B1172" s="4" t="s">
        <v>368</v>
      </c>
      <c r="C1172" s="47" t="n">
        <v>37668.2</v>
      </c>
      <c r="D1172" s="48" t="n">
        <v>1544.84</v>
      </c>
      <c r="E1172" s="49" t="n">
        <f aca="false">D1172-cover</f>
        <v>1543.64</v>
      </c>
      <c r="F1172" s="50" t="n">
        <f aca="false">'Z5 Ikana-Nkangamo'!S12-'Z5 Ikana-Nkangamo'!P12*C1172/'Z5 Ikana-Nkangamo'!G12</f>
        <v>1613.35815808853</v>
      </c>
      <c r="G1172" s="51" t="n">
        <f aca="false">'Z5 Ikana-Nkangamo'!$B$8-E1172</f>
        <v>124.36</v>
      </c>
      <c r="H1172" s="52" t="n">
        <f aca="false">F1172-E1172</f>
        <v>69.718158088534</v>
      </c>
      <c r="I1172" s="52" t="n">
        <f aca="false">MAX(H1172,G1172)</f>
        <v>124.36</v>
      </c>
      <c r="J1172" s="4" t="str">
        <f aca="false">IFERROR("PN"&amp;SMALL(PN_list,COUNTIF(PN_list,"&lt;"&amp;I1172*bar_per_m)+1),"&gt; max PN")</f>
        <v>PN16</v>
      </c>
      <c r="K1172" s="4" t="str">
        <f aca="false">IF(L1172="no","end at tank",IF(H1172&lt;0,"NEGATIVE",IF(H1172&lt;p_min-0.005,"low","OK")))</f>
        <v>OK</v>
      </c>
      <c r="L1172" s="4" t="s">
        <v>414</v>
      </c>
    </row>
    <row r="1173" customFormat="false" ht="15" hidden="false" customHeight="false" outlineLevel="0" collapsed="false">
      <c r="A1173" s="4" t="s">
        <v>42</v>
      </c>
      <c r="B1173" s="4" t="s">
        <v>368</v>
      </c>
      <c r="C1173" s="47" t="n">
        <v>37718.2</v>
      </c>
      <c r="D1173" s="48" t="n">
        <v>1545.12</v>
      </c>
      <c r="E1173" s="49" t="n">
        <f aca="false">D1173-cover</f>
        <v>1543.92</v>
      </c>
      <c r="F1173" s="50" t="n">
        <f aca="false">'Z5 Ikana-Nkangamo'!S12-'Z5 Ikana-Nkangamo'!P12*C1173/'Z5 Ikana-Nkangamo'!G12</f>
        <v>1613.29186630672</v>
      </c>
      <c r="G1173" s="51" t="n">
        <f aca="false">'Z5 Ikana-Nkangamo'!$B$8-E1173</f>
        <v>124.08</v>
      </c>
      <c r="H1173" s="52" t="n">
        <f aca="false">F1173-E1173</f>
        <v>69.3718663067241</v>
      </c>
      <c r="I1173" s="52" t="n">
        <f aca="false">MAX(H1173,G1173)</f>
        <v>124.08</v>
      </c>
      <c r="J1173" s="4" t="str">
        <f aca="false">IFERROR("PN"&amp;SMALL(PN_list,COUNTIF(PN_list,"&lt;"&amp;I1173*bar_per_m)+1),"&gt; max PN")</f>
        <v>PN16</v>
      </c>
      <c r="K1173" s="4" t="str">
        <f aca="false">IF(L1173="no","end at tank",IF(H1173&lt;0,"NEGATIVE",IF(H1173&lt;p_min-0.005,"low","OK")))</f>
        <v>OK</v>
      </c>
      <c r="L1173" s="4" t="s">
        <v>414</v>
      </c>
    </row>
    <row r="1174" customFormat="false" ht="15" hidden="false" customHeight="false" outlineLevel="0" collapsed="false">
      <c r="A1174" s="4" t="s">
        <v>42</v>
      </c>
      <c r="B1174" s="4" t="s">
        <v>368</v>
      </c>
      <c r="C1174" s="47" t="n">
        <v>37768.22</v>
      </c>
      <c r="D1174" s="48" t="n">
        <v>1543.6</v>
      </c>
      <c r="E1174" s="49" t="n">
        <f aca="false">D1174-cover</f>
        <v>1542.4</v>
      </c>
      <c r="F1174" s="50" t="n">
        <f aca="false">'Z5 Ikana-Nkangamo'!S12-'Z5 Ikana-Nkangamo'!P12*C1174/'Z5 Ikana-Nkangamo'!G12</f>
        <v>1613.2255480082</v>
      </c>
      <c r="G1174" s="51" t="n">
        <f aca="false">'Z5 Ikana-Nkangamo'!$B$8-E1174</f>
        <v>125.6</v>
      </c>
      <c r="H1174" s="52" t="n">
        <f aca="false">F1174-E1174</f>
        <v>70.8255480082014</v>
      </c>
      <c r="I1174" s="52" t="n">
        <f aca="false">MAX(H1174,G1174)</f>
        <v>125.6</v>
      </c>
      <c r="J1174" s="4" t="str">
        <f aca="false">IFERROR("PN"&amp;SMALL(PN_list,COUNTIF(PN_list,"&lt;"&amp;I1174*bar_per_m)+1),"&gt; max PN")</f>
        <v>PN16</v>
      </c>
      <c r="K1174" s="4" t="str">
        <f aca="false">IF(L1174="no","end at tank",IF(H1174&lt;0,"NEGATIVE",IF(H1174&lt;p_min-0.005,"low","OK")))</f>
        <v>OK</v>
      </c>
      <c r="L1174" s="4" t="s">
        <v>414</v>
      </c>
    </row>
    <row r="1175" customFormat="false" ht="15" hidden="false" customHeight="false" outlineLevel="0" collapsed="false">
      <c r="A1175" s="4" t="s">
        <v>42</v>
      </c>
      <c r="B1175" s="4" t="s">
        <v>368</v>
      </c>
      <c r="C1175" s="47" t="n">
        <v>37818.28</v>
      </c>
      <c r="D1175" s="48" t="n">
        <v>1541.19</v>
      </c>
      <c r="E1175" s="49" t="n">
        <f aca="false">D1175-cover</f>
        <v>1539.99</v>
      </c>
      <c r="F1175" s="50" t="n">
        <f aca="false">'Z5 Ikana-Nkangamo'!S12-'Z5 Ikana-Nkangamo'!P12*C1175/'Z5 Ikana-Nkangamo'!G12</f>
        <v>1613.15917667625</v>
      </c>
      <c r="G1175" s="51" t="n">
        <f aca="false">'Z5 Ikana-Nkangamo'!$B$8-E1175</f>
        <v>128.01</v>
      </c>
      <c r="H1175" s="52" t="n">
        <f aca="false">F1175-E1175</f>
        <v>73.1691766762531</v>
      </c>
      <c r="I1175" s="52" t="n">
        <f aca="false">MAX(H1175,G1175)</f>
        <v>128.01</v>
      </c>
      <c r="J1175" s="4" t="str">
        <f aca="false">IFERROR("PN"&amp;SMALL(PN_list,COUNTIF(PN_list,"&lt;"&amp;I1175*bar_per_m)+1),"&gt; max PN")</f>
        <v>PN16</v>
      </c>
      <c r="K1175" s="4" t="str">
        <f aca="false">IF(L1175="no","end at tank",IF(H1175&lt;0,"NEGATIVE",IF(H1175&lt;p_min-0.005,"low","OK")))</f>
        <v>OK</v>
      </c>
      <c r="L1175" s="4" t="s">
        <v>414</v>
      </c>
    </row>
    <row r="1176" customFormat="false" ht="15" hidden="false" customHeight="false" outlineLevel="0" collapsed="false">
      <c r="A1176" s="4" t="s">
        <v>42</v>
      </c>
      <c r="B1176" s="4" t="s">
        <v>368</v>
      </c>
      <c r="C1176" s="47" t="n">
        <v>37868.3</v>
      </c>
      <c r="D1176" s="48" t="n">
        <v>1539.62</v>
      </c>
      <c r="E1176" s="49" t="n">
        <f aca="false">D1176-cover</f>
        <v>1538.42</v>
      </c>
      <c r="F1176" s="50" t="n">
        <f aca="false">'Z5 Ikana-Nkangamo'!S12-'Z5 Ikana-Nkangamo'!P12*C1176/'Z5 Ikana-Nkangamo'!G12</f>
        <v>1613.09285837773</v>
      </c>
      <c r="G1176" s="51" t="n">
        <f aca="false">'Z5 Ikana-Nkangamo'!$B$8-E1176</f>
        <v>129.58</v>
      </c>
      <c r="H1176" s="52" t="n">
        <f aca="false">F1176-E1176</f>
        <v>74.6728583777306</v>
      </c>
      <c r="I1176" s="52" t="n">
        <f aca="false">MAX(H1176,G1176)</f>
        <v>129.58</v>
      </c>
      <c r="J1176" s="4" t="str">
        <f aca="false">IFERROR("PN"&amp;SMALL(PN_list,COUNTIF(PN_list,"&lt;"&amp;I1176*bar_per_m)+1),"&gt; max PN")</f>
        <v>PN16</v>
      </c>
      <c r="K1176" s="4" t="str">
        <f aca="false">IF(L1176="no","end at tank",IF(H1176&lt;0,"NEGATIVE",IF(H1176&lt;p_min-0.005,"low","OK")))</f>
        <v>OK</v>
      </c>
      <c r="L1176" s="4" t="s">
        <v>414</v>
      </c>
    </row>
    <row r="1177" customFormat="false" ht="15" hidden="false" customHeight="false" outlineLevel="0" collapsed="false">
      <c r="A1177" s="4" t="s">
        <v>42</v>
      </c>
      <c r="B1177" s="4" t="s">
        <v>368</v>
      </c>
      <c r="C1177" s="47" t="n">
        <v>37918.3</v>
      </c>
      <c r="D1177" s="48" t="n">
        <v>1539.71</v>
      </c>
      <c r="E1177" s="49" t="n">
        <f aca="false">D1177-cover</f>
        <v>1538.51</v>
      </c>
      <c r="F1177" s="50" t="n">
        <f aca="false">'Z5 Ikana-Nkangamo'!S12-'Z5 Ikana-Nkangamo'!P12*C1177/'Z5 Ikana-Nkangamo'!G12</f>
        <v>1613.02656659592</v>
      </c>
      <c r="G1177" s="51" t="n">
        <f aca="false">'Z5 Ikana-Nkangamo'!$B$8-E1177</f>
        <v>129.49</v>
      </c>
      <c r="H1177" s="52" t="n">
        <f aca="false">F1177-E1177</f>
        <v>74.5165665959205</v>
      </c>
      <c r="I1177" s="52" t="n">
        <f aca="false">MAX(H1177,G1177)</f>
        <v>129.49</v>
      </c>
      <c r="J1177" s="4" t="str">
        <f aca="false">IFERROR("PN"&amp;SMALL(PN_list,COUNTIF(PN_list,"&lt;"&amp;I1177*bar_per_m)+1),"&gt; max PN")</f>
        <v>PN16</v>
      </c>
      <c r="K1177" s="4" t="str">
        <f aca="false">IF(L1177="no","end at tank",IF(H1177&lt;0,"NEGATIVE",IF(H1177&lt;p_min-0.005,"low","OK")))</f>
        <v>OK</v>
      </c>
      <c r="L1177" s="4" t="s">
        <v>414</v>
      </c>
    </row>
    <row r="1178" customFormat="false" ht="15" hidden="false" customHeight="false" outlineLevel="0" collapsed="false">
      <c r="A1178" s="4" t="s">
        <v>42</v>
      </c>
      <c r="B1178" s="4" t="s">
        <v>368</v>
      </c>
      <c r="C1178" s="47" t="n">
        <v>37968.39</v>
      </c>
      <c r="D1178" s="48" t="n">
        <v>1536.73</v>
      </c>
      <c r="E1178" s="49" t="n">
        <f aca="false">D1178-cover</f>
        <v>1535.53</v>
      </c>
      <c r="F1178" s="50" t="n">
        <f aca="false">'Z5 Ikana-Nkangamo'!S12-'Z5 Ikana-Nkangamo'!P12*C1178/'Z5 Ikana-Nkangamo'!G12</f>
        <v>1612.9601554889</v>
      </c>
      <c r="G1178" s="51" t="n">
        <f aca="false">'Z5 Ikana-Nkangamo'!$B$8-E1178</f>
        <v>132.47</v>
      </c>
      <c r="H1178" s="52" t="n">
        <f aca="false">F1178-E1178</f>
        <v>77.4301554889032</v>
      </c>
      <c r="I1178" s="52" t="n">
        <f aca="false">MAX(H1178,G1178)</f>
        <v>132.47</v>
      </c>
      <c r="J1178" s="4" t="str">
        <f aca="false">IFERROR("PN"&amp;SMALL(PN_list,COUNTIF(PN_list,"&lt;"&amp;I1178*bar_per_m)+1),"&gt; max PN")</f>
        <v>PN16</v>
      </c>
      <c r="K1178" s="4" t="str">
        <f aca="false">IF(L1178="no","end at tank",IF(H1178&lt;0,"NEGATIVE",IF(H1178&lt;p_min-0.005,"low","OK")))</f>
        <v>OK</v>
      </c>
      <c r="L1178" s="4" t="s">
        <v>414</v>
      </c>
    </row>
    <row r="1179" customFormat="false" ht="15" hidden="false" customHeight="false" outlineLevel="0" collapsed="false">
      <c r="A1179" s="4" t="s">
        <v>42</v>
      </c>
      <c r="B1179" s="4" t="s">
        <v>368</v>
      </c>
      <c r="C1179" s="47" t="n">
        <v>38018.43</v>
      </c>
      <c r="D1179" s="48" t="n">
        <v>1534.8</v>
      </c>
      <c r="E1179" s="49" t="n">
        <f aca="false">D1179-cover</f>
        <v>1533.6</v>
      </c>
      <c r="F1179" s="50" t="n">
        <f aca="false">'Z5 Ikana-Nkangamo'!S12-'Z5 Ikana-Nkangamo'!P12*C1179/'Z5 Ikana-Nkangamo'!G12</f>
        <v>1612.89381067367</v>
      </c>
      <c r="G1179" s="51" t="n">
        <f aca="false">'Z5 Ikana-Nkangamo'!$B$8-E1179</f>
        <v>134.4</v>
      </c>
      <c r="H1179" s="52" t="n">
        <f aca="false">F1179-E1179</f>
        <v>79.2938106736679</v>
      </c>
      <c r="I1179" s="52" t="n">
        <f aca="false">MAX(H1179,G1179)</f>
        <v>134.4</v>
      </c>
      <c r="J1179" s="4" t="str">
        <f aca="false">IFERROR("PN"&amp;SMALL(PN_list,COUNTIF(PN_list,"&lt;"&amp;I1179*bar_per_m)+1),"&gt; max PN")</f>
        <v>PN16</v>
      </c>
      <c r="K1179" s="4" t="str">
        <f aca="false">IF(L1179="no","end at tank",IF(H1179&lt;0,"NEGATIVE",IF(H1179&lt;p_min-0.005,"low","OK")))</f>
        <v>OK</v>
      </c>
      <c r="L1179" s="4" t="s">
        <v>414</v>
      </c>
    </row>
    <row r="1180" customFormat="false" ht="15" hidden="false" customHeight="false" outlineLevel="0" collapsed="false">
      <c r="A1180" s="4" t="s">
        <v>42</v>
      </c>
      <c r="B1180" s="4" t="s">
        <v>368</v>
      </c>
      <c r="C1180" s="47" t="n">
        <v>38068.43</v>
      </c>
      <c r="D1180" s="48" t="n">
        <v>1534.27</v>
      </c>
      <c r="E1180" s="49" t="n">
        <f aca="false">D1180-cover</f>
        <v>1533.07</v>
      </c>
      <c r="F1180" s="50" t="n">
        <f aca="false">'Z5 Ikana-Nkangamo'!S12-'Z5 Ikana-Nkangamo'!P12*C1180/'Z5 Ikana-Nkangamo'!G12</f>
        <v>1612.82751889186</v>
      </c>
      <c r="G1180" s="51" t="n">
        <f aca="false">'Z5 Ikana-Nkangamo'!$B$8-E1180</f>
        <v>134.93</v>
      </c>
      <c r="H1180" s="52" t="n">
        <f aca="false">F1180-E1180</f>
        <v>79.7575188918579</v>
      </c>
      <c r="I1180" s="52" t="n">
        <f aca="false">MAX(H1180,G1180)</f>
        <v>134.93</v>
      </c>
      <c r="J1180" s="4" t="str">
        <f aca="false">IFERROR("PN"&amp;SMALL(PN_list,COUNTIF(PN_list,"&lt;"&amp;I1180*bar_per_m)+1),"&gt; max PN")</f>
        <v>PN16</v>
      </c>
      <c r="K1180" s="4" t="str">
        <f aca="false">IF(L1180="no","end at tank",IF(H1180&lt;0,"NEGATIVE",IF(H1180&lt;p_min-0.005,"low","OK")))</f>
        <v>OK</v>
      </c>
      <c r="L1180" s="4" t="s">
        <v>414</v>
      </c>
    </row>
    <row r="1181" customFormat="false" ht="15" hidden="false" customHeight="false" outlineLevel="0" collapsed="false">
      <c r="A1181" s="4" t="s">
        <v>42</v>
      </c>
      <c r="B1181" s="4" t="s">
        <v>368</v>
      </c>
      <c r="C1181" s="47" t="n">
        <v>38118.44</v>
      </c>
      <c r="D1181" s="48" t="n">
        <v>1533.45</v>
      </c>
      <c r="E1181" s="49" t="n">
        <f aca="false">D1181-cover</f>
        <v>1532.25</v>
      </c>
      <c r="F1181" s="50" t="n">
        <f aca="false">'Z5 Ikana-Nkangamo'!S12-'Z5 Ikana-Nkangamo'!P12*C1181/'Z5 Ikana-Nkangamo'!G12</f>
        <v>1612.76121385169</v>
      </c>
      <c r="G1181" s="51" t="n">
        <f aca="false">'Z5 Ikana-Nkangamo'!$B$8-E1181</f>
        <v>135.75</v>
      </c>
      <c r="H1181" s="52" t="n">
        <f aca="false">F1181-E1181</f>
        <v>80.5112138516915</v>
      </c>
      <c r="I1181" s="52" t="n">
        <f aca="false">MAX(H1181,G1181)</f>
        <v>135.75</v>
      </c>
      <c r="J1181" s="4" t="str">
        <f aca="false">IFERROR("PN"&amp;SMALL(PN_list,COUNTIF(PN_list,"&lt;"&amp;I1181*bar_per_m)+1),"&gt; max PN")</f>
        <v>PN16</v>
      </c>
      <c r="K1181" s="4" t="str">
        <f aca="false">IF(L1181="no","end at tank",IF(H1181&lt;0,"NEGATIVE",IF(H1181&lt;p_min-0.005,"low","OK")))</f>
        <v>OK</v>
      </c>
      <c r="L1181" s="4" t="s">
        <v>414</v>
      </c>
    </row>
    <row r="1182" customFormat="false" ht="15" hidden="false" customHeight="false" outlineLevel="0" collapsed="false">
      <c r="A1182" s="4" t="s">
        <v>42</v>
      </c>
      <c r="B1182" s="4" t="s">
        <v>368</v>
      </c>
      <c r="C1182" s="47" t="n">
        <v>38168.44</v>
      </c>
      <c r="D1182" s="48" t="n">
        <v>1533.92</v>
      </c>
      <c r="E1182" s="49" t="n">
        <f aca="false">D1182-cover</f>
        <v>1532.72</v>
      </c>
      <c r="F1182" s="50" t="n">
        <f aca="false">'Z5 Ikana-Nkangamo'!S12-'Z5 Ikana-Nkangamo'!P12*C1182/'Z5 Ikana-Nkangamo'!G12</f>
        <v>1612.69492206988</v>
      </c>
      <c r="G1182" s="51" t="n">
        <f aca="false">'Z5 Ikana-Nkangamo'!$B$8-E1182</f>
        <v>135.28</v>
      </c>
      <c r="H1182" s="52" t="n">
        <f aca="false">F1182-E1182</f>
        <v>79.9749220698816</v>
      </c>
      <c r="I1182" s="52" t="n">
        <f aca="false">MAX(H1182,G1182)</f>
        <v>135.28</v>
      </c>
      <c r="J1182" s="4" t="str">
        <f aca="false">IFERROR("PN"&amp;SMALL(PN_list,COUNTIF(PN_list,"&lt;"&amp;I1182*bar_per_m)+1),"&gt; max PN")</f>
        <v>PN16</v>
      </c>
      <c r="K1182" s="4" t="str">
        <f aca="false">IF(L1182="no","end at tank",IF(H1182&lt;0,"NEGATIVE",IF(H1182&lt;p_min-0.005,"low","OK")))</f>
        <v>OK</v>
      </c>
      <c r="L1182" s="4" t="s">
        <v>414</v>
      </c>
    </row>
    <row r="1183" customFormat="false" ht="15" hidden="false" customHeight="false" outlineLevel="0" collapsed="false">
      <c r="A1183" s="4" t="s">
        <v>42</v>
      </c>
      <c r="B1183" s="4" t="s">
        <v>368</v>
      </c>
      <c r="C1183" s="47" t="n">
        <v>38218.45</v>
      </c>
      <c r="D1183" s="48" t="n">
        <v>1534.77</v>
      </c>
      <c r="E1183" s="49" t="n">
        <f aca="false">D1183-cover</f>
        <v>1533.57</v>
      </c>
      <c r="F1183" s="50" t="n">
        <f aca="false">'Z5 Ikana-Nkangamo'!S12-'Z5 Ikana-Nkangamo'!P12*C1183/'Z5 Ikana-Nkangamo'!G12</f>
        <v>1612.62861702972</v>
      </c>
      <c r="G1183" s="51" t="n">
        <f aca="false">'Z5 Ikana-Nkangamo'!$B$8-E1183</f>
        <v>134.43</v>
      </c>
      <c r="H1183" s="52" t="n">
        <f aca="false">F1183-E1183</f>
        <v>79.0586170297154</v>
      </c>
      <c r="I1183" s="52" t="n">
        <f aca="false">MAX(H1183,G1183)</f>
        <v>134.43</v>
      </c>
      <c r="J1183" s="4" t="str">
        <f aca="false">IFERROR("PN"&amp;SMALL(PN_list,COUNTIF(PN_list,"&lt;"&amp;I1183*bar_per_m)+1),"&gt; max PN")</f>
        <v>PN16</v>
      </c>
      <c r="K1183" s="4" t="str">
        <f aca="false">IF(L1183="no","end at tank",IF(H1183&lt;0,"NEGATIVE",IF(H1183&lt;p_min-0.005,"low","OK")))</f>
        <v>OK</v>
      </c>
      <c r="L1183" s="4" t="s">
        <v>414</v>
      </c>
    </row>
    <row r="1184" customFormat="false" ht="15" hidden="false" customHeight="false" outlineLevel="0" collapsed="false">
      <c r="A1184" s="4" t="s">
        <v>42</v>
      </c>
      <c r="B1184" s="4" t="s">
        <v>368</v>
      </c>
      <c r="C1184" s="47" t="n">
        <v>38268.48</v>
      </c>
      <c r="D1184" s="48" t="n">
        <v>1536.65</v>
      </c>
      <c r="E1184" s="49" t="n">
        <f aca="false">D1184-cover</f>
        <v>1535.45</v>
      </c>
      <c r="F1184" s="50" t="n">
        <f aca="false">'Z5 Ikana-Nkangamo'!S12-'Z5 Ikana-Nkangamo'!P12*C1184/'Z5 Ikana-Nkangamo'!G12</f>
        <v>1612.56228547284</v>
      </c>
      <c r="G1184" s="51" t="n">
        <f aca="false">'Z5 Ikana-Nkangamo'!$B$8-E1184</f>
        <v>132.55</v>
      </c>
      <c r="H1184" s="52" t="n">
        <f aca="false">F1184-E1184</f>
        <v>77.1122854728362</v>
      </c>
      <c r="I1184" s="52" t="n">
        <f aca="false">MAX(H1184,G1184)</f>
        <v>132.55</v>
      </c>
      <c r="J1184" s="4" t="str">
        <f aca="false">IFERROR("PN"&amp;SMALL(PN_list,COUNTIF(PN_list,"&lt;"&amp;I1184*bar_per_m)+1),"&gt; max PN")</f>
        <v>PN16</v>
      </c>
      <c r="K1184" s="4" t="str">
        <f aca="false">IF(L1184="no","end at tank",IF(H1184&lt;0,"NEGATIVE",IF(H1184&lt;p_min-0.005,"low","OK")))</f>
        <v>OK</v>
      </c>
      <c r="L1184" s="4" t="s">
        <v>414</v>
      </c>
    </row>
    <row r="1185" customFormat="false" ht="15" hidden="false" customHeight="false" outlineLevel="0" collapsed="false">
      <c r="A1185" s="4" t="s">
        <v>42</v>
      </c>
      <c r="B1185" s="4" t="s">
        <v>368</v>
      </c>
      <c r="C1185" s="47" t="n">
        <v>38318.49</v>
      </c>
      <c r="D1185" s="48" t="n">
        <v>1537.4</v>
      </c>
      <c r="E1185" s="49" t="n">
        <f aca="false">D1185-cover</f>
        <v>1536.2</v>
      </c>
      <c r="F1185" s="50" t="n">
        <f aca="false">'Z5 Ikana-Nkangamo'!S12-'Z5 Ikana-Nkangamo'!P12*C1185/'Z5 Ikana-Nkangamo'!G12</f>
        <v>1612.49598043267</v>
      </c>
      <c r="G1185" s="51" t="n">
        <f aca="false">'Z5 Ikana-Nkangamo'!$B$8-E1185</f>
        <v>131.8</v>
      </c>
      <c r="H1185" s="52" t="n">
        <f aca="false">F1185-E1185</f>
        <v>76.2959804326699</v>
      </c>
      <c r="I1185" s="52" t="n">
        <f aca="false">MAX(H1185,G1185)</f>
        <v>131.8</v>
      </c>
      <c r="J1185" s="4" t="str">
        <f aca="false">IFERROR("PN"&amp;SMALL(PN_list,COUNTIF(PN_list,"&lt;"&amp;I1185*bar_per_m)+1),"&gt; max PN")</f>
        <v>PN16</v>
      </c>
      <c r="K1185" s="4" t="str">
        <f aca="false">IF(L1185="no","end at tank",IF(H1185&lt;0,"NEGATIVE",IF(H1185&lt;p_min-0.005,"low","OK")))</f>
        <v>OK</v>
      </c>
      <c r="L1185" s="4" t="s">
        <v>414</v>
      </c>
    </row>
    <row r="1186" customFormat="false" ht="15" hidden="false" customHeight="false" outlineLevel="0" collapsed="false">
      <c r="A1186" s="4" t="s">
        <v>42</v>
      </c>
      <c r="B1186" s="4" t="s">
        <v>368</v>
      </c>
      <c r="C1186" s="47" t="n">
        <v>38368.5</v>
      </c>
      <c r="D1186" s="48" t="n">
        <v>1538.99</v>
      </c>
      <c r="E1186" s="49" t="n">
        <f aca="false">D1186-cover</f>
        <v>1537.79</v>
      </c>
      <c r="F1186" s="50" t="n">
        <f aca="false">'Z5 Ikana-Nkangamo'!S12-'Z5 Ikana-Nkangamo'!P12*C1186/'Z5 Ikana-Nkangamo'!G12</f>
        <v>1612.4296753925</v>
      </c>
      <c r="G1186" s="51" t="n">
        <f aca="false">'Z5 Ikana-Nkangamo'!$B$8-E1186</f>
        <v>130.21</v>
      </c>
      <c r="H1186" s="52" t="n">
        <f aca="false">F1186-E1186</f>
        <v>74.6396753925037</v>
      </c>
      <c r="I1186" s="52" t="n">
        <f aca="false">MAX(H1186,G1186)</f>
        <v>130.21</v>
      </c>
      <c r="J1186" s="4" t="str">
        <f aca="false">IFERROR("PN"&amp;SMALL(PN_list,COUNTIF(PN_list,"&lt;"&amp;I1186*bar_per_m)+1),"&gt; max PN")</f>
        <v>PN16</v>
      </c>
      <c r="K1186" s="4" t="str">
        <f aca="false">IF(L1186="no","end at tank",IF(H1186&lt;0,"NEGATIVE",IF(H1186&lt;p_min-0.005,"low","OK")))</f>
        <v>OK</v>
      </c>
      <c r="L1186" s="4" t="s">
        <v>414</v>
      </c>
    </row>
    <row r="1187" customFormat="false" ht="15" hidden="false" customHeight="false" outlineLevel="0" collapsed="false">
      <c r="A1187" s="4" t="s">
        <v>42</v>
      </c>
      <c r="B1187" s="4" t="s">
        <v>368</v>
      </c>
      <c r="C1187" s="47" t="n">
        <v>38418.52</v>
      </c>
      <c r="D1187" s="48" t="n">
        <v>1540.14</v>
      </c>
      <c r="E1187" s="49" t="n">
        <f aca="false">D1187-cover</f>
        <v>1538.94</v>
      </c>
      <c r="F1187" s="50" t="n">
        <f aca="false">'Z5 Ikana-Nkangamo'!S12-'Z5 Ikana-Nkangamo'!P12*C1187/'Z5 Ikana-Nkangamo'!G12</f>
        <v>1612.36335709398</v>
      </c>
      <c r="G1187" s="51" t="n">
        <f aca="false">'Z5 Ikana-Nkangamo'!$B$8-E1187</f>
        <v>129.06</v>
      </c>
      <c r="H1187" s="52" t="n">
        <f aca="false">F1187-E1187</f>
        <v>73.4233570939809</v>
      </c>
      <c r="I1187" s="52" t="n">
        <f aca="false">MAX(H1187,G1187)</f>
        <v>129.06</v>
      </c>
      <c r="J1187" s="4" t="str">
        <f aca="false">IFERROR("PN"&amp;SMALL(PN_list,COUNTIF(PN_list,"&lt;"&amp;I1187*bar_per_m)+1),"&gt; max PN")</f>
        <v>PN16</v>
      </c>
      <c r="K1187" s="4" t="str">
        <f aca="false">IF(L1187="no","end at tank",IF(H1187&lt;0,"NEGATIVE",IF(H1187&lt;p_min-0.005,"low","OK")))</f>
        <v>OK</v>
      </c>
      <c r="L1187" s="4" t="s">
        <v>414</v>
      </c>
    </row>
    <row r="1188" customFormat="false" ht="15" hidden="false" customHeight="false" outlineLevel="0" collapsed="false">
      <c r="A1188" s="4" t="s">
        <v>42</v>
      </c>
      <c r="B1188" s="4" t="s">
        <v>368</v>
      </c>
      <c r="C1188" s="47" t="n">
        <v>38468.53</v>
      </c>
      <c r="D1188" s="48" t="n">
        <v>1541.28</v>
      </c>
      <c r="E1188" s="49" t="n">
        <f aca="false">D1188-cover</f>
        <v>1540.08</v>
      </c>
      <c r="F1188" s="50" t="n">
        <f aca="false">'Z5 Ikana-Nkangamo'!S12-'Z5 Ikana-Nkangamo'!P12*C1188/'Z5 Ikana-Nkangamo'!G12</f>
        <v>1612.29705205381</v>
      </c>
      <c r="G1188" s="51" t="n">
        <f aca="false">'Z5 Ikana-Nkangamo'!$B$8-E1188</f>
        <v>127.92</v>
      </c>
      <c r="H1188" s="52" t="n">
        <f aca="false">F1188-E1188</f>
        <v>72.2170520538148</v>
      </c>
      <c r="I1188" s="52" t="n">
        <f aca="false">MAX(H1188,G1188)</f>
        <v>127.92</v>
      </c>
      <c r="J1188" s="4" t="str">
        <f aca="false">IFERROR("PN"&amp;SMALL(PN_list,COUNTIF(PN_list,"&lt;"&amp;I1188*bar_per_m)+1),"&gt; max PN")</f>
        <v>PN16</v>
      </c>
      <c r="K1188" s="4" t="str">
        <f aca="false">IF(L1188="no","end at tank",IF(H1188&lt;0,"NEGATIVE",IF(H1188&lt;p_min-0.005,"low","OK")))</f>
        <v>OK</v>
      </c>
      <c r="L1188" s="4" t="s">
        <v>414</v>
      </c>
    </row>
    <row r="1189" customFormat="false" ht="15" hidden="false" customHeight="false" outlineLevel="0" collapsed="false">
      <c r="A1189" s="4" t="s">
        <v>42</v>
      </c>
      <c r="B1189" s="4" t="s">
        <v>368</v>
      </c>
      <c r="C1189" s="47" t="n">
        <v>38518.54</v>
      </c>
      <c r="D1189" s="48" t="n">
        <v>1542.26</v>
      </c>
      <c r="E1189" s="49" t="n">
        <f aca="false">D1189-cover</f>
        <v>1541.06</v>
      </c>
      <c r="F1189" s="50" t="n">
        <f aca="false">'Z5 Ikana-Nkangamo'!S12-'Z5 Ikana-Nkangamo'!P12*C1189/'Z5 Ikana-Nkangamo'!G12</f>
        <v>1612.23074701365</v>
      </c>
      <c r="G1189" s="51" t="n">
        <f aca="false">'Z5 Ikana-Nkangamo'!$B$8-E1189</f>
        <v>126.94</v>
      </c>
      <c r="H1189" s="52" t="n">
        <f aca="false">F1189-E1189</f>
        <v>71.1707470136485</v>
      </c>
      <c r="I1189" s="52" t="n">
        <f aca="false">MAX(H1189,G1189)</f>
        <v>126.94</v>
      </c>
      <c r="J1189" s="4" t="str">
        <f aca="false">IFERROR("PN"&amp;SMALL(PN_list,COUNTIF(PN_list,"&lt;"&amp;I1189*bar_per_m)+1),"&gt; max PN")</f>
        <v>PN16</v>
      </c>
      <c r="K1189" s="4" t="str">
        <f aca="false">IF(L1189="no","end at tank",IF(H1189&lt;0,"NEGATIVE",IF(H1189&lt;p_min-0.005,"low","OK")))</f>
        <v>OK</v>
      </c>
      <c r="L1189" s="4" t="s">
        <v>414</v>
      </c>
    </row>
    <row r="1190" customFormat="false" ht="15" hidden="false" customHeight="false" outlineLevel="0" collapsed="false">
      <c r="A1190" s="4" t="s">
        <v>42</v>
      </c>
      <c r="B1190" s="4" t="s">
        <v>368</v>
      </c>
      <c r="C1190" s="47" t="n">
        <v>38568.59</v>
      </c>
      <c r="D1190" s="48" t="n">
        <v>1544.4</v>
      </c>
      <c r="E1190" s="49" t="n">
        <f aca="false">D1190-cover</f>
        <v>1543.2</v>
      </c>
      <c r="F1190" s="50" t="n">
        <f aca="false">'Z5 Ikana-Nkangamo'!S12-'Z5 Ikana-Nkangamo'!P12*C1190/'Z5 Ikana-Nkangamo'!G12</f>
        <v>1612.16438894006</v>
      </c>
      <c r="G1190" s="51" t="n">
        <f aca="false">'Z5 Ikana-Nkangamo'!$B$8-E1190</f>
        <v>124.8</v>
      </c>
      <c r="H1190" s="52" t="n">
        <f aca="false">F1190-E1190</f>
        <v>68.9643889400566</v>
      </c>
      <c r="I1190" s="52" t="n">
        <f aca="false">MAX(H1190,G1190)</f>
        <v>124.8</v>
      </c>
      <c r="J1190" s="4" t="str">
        <f aca="false">IFERROR("PN"&amp;SMALL(PN_list,COUNTIF(PN_list,"&lt;"&amp;I1190*bar_per_m)+1),"&gt; max PN")</f>
        <v>PN16</v>
      </c>
      <c r="K1190" s="4" t="str">
        <f aca="false">IF(L1190="no","end at tank",IF(H1190&lt;0,"NEGATIVE",IF(H1190&lt;p_min-0.005,"low","OK")))</f>
        <v>OK</v>
      </c>
      <c r="L1190" s="4" t="s">
        <v>414</v>
      </c>
    </row>
    <row r="1191" customFormat="false" ht="15" hidden="false" customHeight="false" outlineLevel="0" collapsed="false">
      <c r="A1191" s="4" t="s">
        <v>42</v>
      </c>
      <c r="B1191" s="4" t="s">
        <v>368</v>
      </c>
      <c r="C1191" s="47" t="n">
        <v>38618.6</v>
      </c>
      <c r="D1191" s="48" t="n">
        <v>1545.42</v>
      </c>
      <c r="E1191" s="49" t="n">
        <f aca="false">D1191-cover</f>
        <v>1544.22</v>
      </c>
      <c r="F1191" s="50" t="n">
        <f aca="false">'Z5 Ikana-Nkangamo'!S12-'Z5 Ikana-Nkangamo'!P12*C1191/'Z5 Ikana-Nkangamo'!G12</f>
        <v>1612.09808389989</v>
      </c>
      <c r="G1191" s="51" t="n">
        <f aca="false">'Z5 Ikana-Nkangamo'!$B$8-E1191</f>
        <v>123.78</v>
      </c>
      <c r="H1191" s="52" t="n">
        <f aca="false">F1191-E1191</f>
        <v>67.8780838998903</v>
      </c>
      <c r="I1191" s="52" t="n">
        <f aca="false">MAX(H1191,G1191)</f>
        <v>123.78</v>
      </c>
      <c r="J1191" s="4" t="str">
        <f aca="false">IFERROR("PN"&amp;SMALL(PN_list,COUNTIF(PN_list,"&lt;"&amp;I1191*bar_per_m)+1),"&gt; max PN")</f>
        <v>PN16</v>
      </c>
      <c r="K1191" s="4" t="str">
        <f aca="false">IF(L1191="no","end at tank",IF(H1191&lt;0,"NEGATIVE",IF(H1191&lt;p_min-0.005,"low","OK")))</f>
        <v>OK</v>
      </c>
      <c r="L1191" s="4" t="s">
        <v>414</v>
      </c>
    </row>
    <row r="1192" customFormat="false" ht="15" hidden="false" customHeight="false" outlineLevel="0" collapsed="false">
      <c r="A1192" s="4" t="s">
        <v>42</v>
      </c>
      <c r="B1192" s="4" t="s">
        <v>368</v>
      </c>
      <c r="C1192" s="47" t="n">
        <v>38668.65</v>
      </c>
      <c r="D1192" s="48" t="n">
        <v>1547.62</v>
      </c>
      <c r="E1192" s="49" t="n">
        <f aca="false">D1192-cover</f>
        <v>1546.42</v>
      </c>
      <c r="F1192" s="50" t="n">
        <f aca="false">'Z5 Ikana-Nkangamo'!S12-'Z5 Ikana-Nkangamo'!P12*C1192/'Z5 Ikana-Nkangamo'!G12</f>
        <v>1612.0317258263</v>
      </c>
      <c r="G1192" s="51" t="n">
        <f aca="false">'Z5 Ikana-Nkangamo'!$B$8-E1192</f>
        <v>121.58</v>
      </c>
      <c r="H1192" s="52" t="n">
        <f aca="false">F1192-E1192</f>
        <v>65.6117258262989</v>
      </c>
      <c r="I1192" s="52" t="n">
        <f aca="false">MAX(H1192,G1192)</f>
        <v>121.58</v>
      </c>
      <c r="J1192" s="4" t="str">
        <f aca="false">IFERROR("PN"&amp;SMALL(PN_list,COUNTIF(PN_list,"&lt;"&amp;I1192*bar_per_m)+1),"&gt; max PN")</f>
        <v>PN16</v>
      </c>
      <c r="K1192" s="4" t="str">
        <f aca="false">IF(L1192="no","end at tank",IF(H1192&lt;0,"NEGATIVE",IF(H1192&lt;p_min-0.005,"low","OK")))</f>
        <v>OK</v>
      </c>
      <c r="L1192" s="4" t="s">
        <v>414</v>
      </c>
    </row>
    <row r="1193" customFormat="false" ht="15" hidden="false" customHeight="false" outlineLevel="0" collapsed="false">
      <c r="A1193" s="4" t="s">
        <v>42</v>
      </c>
      <c r="B1193" s="4" t="s">
        <v>368</v>
      </c>
      <c r="C1193" s="47" t="n">
        <v>38718.65</v>
      </c>
      <c r="D1193" s="48" t="n">
        <v>1547.09</v>
      </c>
      <c r="E1193" s="49" t="n">
        <f aca="false">D1193-cover</f>
        <v>1545.89</v>
      </c>
      <c r="F1193" s="50" t="n">
        <f aca="false">'Z5 Ikana-Nkangamo'!S12-'Z5 Ikana-Nkangamo'!P12*C1193/'Z5 Ikana-Nkangamo'!G12</f>
        <v>1611.96543404449</v>
      </c>
      <c r="G1193" s="51" t="n">
        <f aca="false">'Z5 Ikana-Nkangamo'!$B$8-E1193</f>
        <v>122.11</v>
      </c>
      <c r="H1193" s="52" t="n">
        <f aca="false">F1193-E1193</f>
        <v>66.0754340444887</v>
      </c>
      <c r="I1193" s="52" t="n">
        <f aca="false">MAX(H1193,G1193)</f>
        <v>122.11</v>
      </c>
      <c r="J1193" s="4" t="str">
        <f aca="false">IFERROR("PN"&amp;SMALL(PN_list,COUNTIF(PN_list,"&lt;"&amp;I1193*bar_per_m)+1),"&gt; max PN")</f>
        <v>PN16</v>
      </c>
      <c r="K1193" s="4" t="str">
        <f aca="false">IF(L1193="no","end at tank",IF(H1193&lt;0,"NEGATIVE",IF(H1193&lt;p_min-0.005,"low","OK")))</f>
        <v>OK</v>
      </c>
      <c r="L1193" s="4" t="s">
        <v>414</v>
      </c>
    </row>
    <row r="1194" customFormat="false" ht="15" hidden="false" customHeight="false" outlineLevel="0" collapsed="false">
      <c r="A1194" s="4" t="s">
        <v>42</v>
      </c>
      <c r="B1194" s="4" t="s">
        <v>368</v>
      </c>
      <c r="C1194" s="47" t="n">
        <v>38930.17</v>
      </c>
      <c r="D1194" s="48" t="n">
        <v>1555.5</v>
      </c>
      <c r="E1194" s="49" t="n">
        <f aca="false">D1194-cover</f>
        <v>1554.3</v>
      </c>
      <c r="F1194" s="50" t="n">
        <f aca="false">'Z5 Ikana-Nkangamo'!S12-'Z5 Ikana-Nkangamo'!P12*C1194/'Z5 Ikana-Nkangamo'!G12</f>
        <v>1611.68499329072</v>
      </c>
      <c r="G1194" s="51" t="n">
        <f aca="false">'Z5 Ikana-Nkangamo'!$B$8-E1194</f>
        <v>113.7</v>
      </c>
      <c r="H1194" s="52" t="n">
        <f aca="false">F1194-E1194</f>
        <v>57.3849932907199</v>
      </c>
      <c r="I1194" s="52" t="n">
        <f aca="false">MAX(H1194,G1194)</f>
        <v>113.7</v>
      </c>
      <c r="J1194" s="4" t="str">
        <f aca="false">IFERROR("PN"&amp;SMALL(PN_list,COUNTIF(PN_list,"&lt;"&amp;I1194*bar_per_m)+1),"&gt; max PN")</f>
        <v>PN16</v>
      </c>
      <c r="K1194" s="4" t="str">
        <f aca="false">IF(L1194="no","end at tank",IF(H1194&lt;0,"NEGATIVE",IF(H1194&lt;p_min-0.005,"low","OK")))</f>
        <v>end at tank</v>
      </c>
      <c r="L1194" s="4" t="s">
        <v>413</v>
      </c>
    </row>
    <row r="1195" customFormat="false" ht="15" hidden="false" customHeight="false" outlineLevel="0" collapsed="false">
      <c r="A1195" s="4" t="s">
        <v>44</v>
      </c>
      <c r="B1195" s="4" t="s">
        <v>373</v>
      </c>
      <c r="C1195" s="47" t="n">
        <v>0</v>
      </c>
      <c r="D1195" s="48" t="n">
        <v>1555.5</v>
      </c>
      <c r="E1195" s="49" t="n">
        <f aca="false">D1195-cover</f>
        <v>1554.3</v>
      </c>
      <c r="F1195" s="50" t="n">
        <f aca="false">'Z6 Nkangamo-Uhuru'!S18-'Z6 Nkangamo-Uhuru'!P18*C1195/'Z6 Nkangamo-Uhuru'!G18</f>
        <v>1738.22838936202</v>
      </c>
      <c r="G1195" s="51" t="n">
        <f aca="false">'Z6 Nkangamo-Uhuru'!$B$8-E1195</f>
        <v>152.2</v>
      </c>
      <c r="H1195" s="52" t="n">
        <f aca="false">F1195-E1195</f>
        <v>183.928389362017</v>
      </c>
      <c r="I1195" s="52" t="n">
        <f aca="false">MAX(H1195,G1195)</f>
        <v>183.928389362017</v>
      </c>
      <c r="J1195" s="4" t="str">
        <f aca="false">IFERROR("PN"&amp;SMALL(PN_list,COUNTIF(PN_list,"&lt;"&amp;I1195*bar_per_m)+1),"&gt; max PN")</f>
        <v>PN25</v>
      </c>
      <c r="K1195" s="4" t="str">
        <f aca="false">IF(L1195="no","end at tank",IF(H1195&lt;0,"NEGATIVE",IF(H1195&lt;p_min-0.005,"low","OK")))</f>
        <v>end at tank</v>
      </c>
      <c r="L1195" s="4" t="s">
        <v>413</v>
      </c>
    </row>
    <row r="1196" customFormat="false" ht="15" hidden="false" customHeight="false" outlineLevel="0" collapsed="false">
      <c r="A1196" s="4" t="s">
        <v>44</v>
      </c>
      <c r="B1196" s="4" t="s">
        <v>373</v>
      </c>
      <c r="C1196" s="47" t="n">
        <v>153.17</v>
      </c>
      <c r="D1196" s="48" t="n">
        <v>1561.64</v>
      </c>
      <c r="E1196" s="49" t="n">
        <f aca="false">D1196-cover</f>
        <v>1560.44</v>
      </c>
      <c r="F1196" s="50" t="n">
        <f aca="false">'Z6 Nkangamo-Uhuru'!S18-'Z6 Nkangamo-Uhuru'!P18*C1196/'Z6 Nkangamo-Uhuru'!G18</f>
        <v>1737.9898017914</v>
      </c>
      <c r="G1196" s="51" t="n">
        <f aca="false">'Z6 Nkangamo-Uhuru'!$B$8-E1196</f>
        <v>146.06</v>
      </c>
      <c r="H1196" s="52" t="n">
        <f aca="false">F1196-E1196</f>
        <v>177.549801791398</v>
      </c>
      <c r="I1196" s="52" t="n">
        <f aca="false">MAX(H1196,G1196)</f>
        <v>177.549801791398</v>
      </c>
      <c r="J1196" s="4" t="str">
        <f aca="false">IFERROR("PN"&amp;SMALL(PN_list,COUNTIF(PN_list,"&lt;"&amp;I1196*bar_per_m)+1),"&gt; max PN")</f>
        <v>PN25</v>
      </c>
      <c r="K1196" s="4" t="str">
        <f aca="false">IF(L1196="no","end at tank",IF(H1196&lt;0,"NEGATIVE",IF(H1196&lt;p_min-0.005,"low","OK")))</f>
        <v>OK</v>
      </c>
      <c r="L1196" s="4" t="s">
        <v>414</v>
      </c>
    </row>
    <row r="1197" customFormat="false" ht="15" hidden="false" customHeight="false" outlineLevel="0" collapsed="false">
      <c r="A1197" s="4" t="s">
        <v>44</v>
      </c>
      <c r="B1197" s="4" t="s">
        <v>373</v>
      </c>
      <c r="C1197" s="47" t="n">
        <v>173.18</v>
      </c>
      <c r="D1197" s="48" t="n">
        <v>1562.08</v>
      </c>
      <c r="E1197" s="49" t="n">
        <f aca="false">D1197-cover</f>
        <v>1560.88</v>
      </c>
      <c r="F1197" s="50" t="n">
        <f aca="false">'Z6 Nkangamo-Uhuru'!S18-'Z6 Nkangamo-Uhuru'!P18*C1197/'Z6 Nkangamo-Uhuru'!G18</f>
        <v>1737.9586329118</v>
      </c>
      <c r="G1197" s="51" t="n">
        <f aca="false">'Z6 Nkangamo-Uhuru'!$B$8-E1197</f>
        <v>145.62</v>
      </c>
      <c r="H1197" s="52" t="n">
        <f aca="false">F1197-E1197</f>
        <v>177.0786329118</v>
      </c>
      <c r="I1197" s="52" t="n">
        <f aca="false">MAX(H1197,G1197)</f>
        <v>177.0786329118</v>
      </c>
      <c r="J1197" s="4" t="str">
        <f aca="false">IFERROR("PN"&amp;SMALL(PN_list,COUNTIF(PN_list,"&lt;"&amp;I1197*bar_per_m)+1),"&gt; max PN")</f>
        <v>PN25</v>
      </c>
      <c r="K1197" s="4" t="str">
        <f aca="false">IF(L1197="no","end at tank",IF(H1197&lt;0,"NEGATIVE",IF(H1197&lt;p_min-0.005,"low","OK")))</f>
        <v>OK</v>
      </c>
      <c r="L1197" s="4" t="s">
        <v>414</v>
      </c>
    </row>
    <row r="1198" customFormat="false" ht="15" hidden="false" customHeight="false" outlineLevel="0" collapsed="false">
      <c r="A1198" s="4" t="s">
        <v>44</v>
      </c>
      <c r="B1198" s="4" t="s">
        <v>373</v>
      </c>
      <c r="C1198" s="47" t="n">
        <v>193.2</v>
      </c>
      <c r="D1198" s="48" t="n">
        <v>1563.01</v>
      </c>
      <c r="E1198" s="49" t="n">
        <f aca="false">D1198-cover</f>
        <v>1561.81</v>
      </c>
      <c r="F1198" s="50" t="n">
        <f aca="false">'Z6 Nkangamo-Uhuru'!S18-'Z6 Nkangamo-Uhuru'!P18*C1198/'Z6 Nkangamo-Uhuru'!G18</f>
        <v>1737.92744845555</v>
      </c>
      <c r="G1198" s="51" t="n">
        <f aca="false">'Z6 Nkangamo-Uhuru'!$B$8-E1198</f>
        <v>144.69</v>
      </c>
      <c r="H1198" s="52" t="n">
        <f aca="false">F1198-E1198</f>
        <v>176.11744845555</v>
      </c>
      <c r="I1198" s="52" t="n">
        <f aca="false">MAX(H1198,G1198)</f>
        <v>176.11744845555</v>
      </c>
      <c r="J1198" s="4" t="str">
        <f aca="false">IFERROR("PN"&amp;SMALL(PN_list,COUNTIF(PN_list,"&lt;"&amp;I1198*bar_per_m)+1),"&gt; max PN")</f>
        <v>PN25</v>
      </c>
      <c r="K1198" s="4" t="str">
        <f aca="false">IF(L1198="no","end at tank",IF(H1198&lt;0,"NEGATIVE",IF(H1198&lt;p_min-0.005,"low","OK")))</f>
        <v>OK</v>
      </c>
      <c r="L1198" s="4" t="s">
        <v>414</v>
      </c>
    </row>
    <row r="1199" customFormat="false" ht="15" hidden="false" customHeight="false" outlineLevel="0" collapsed="false">
      <c r="A1199" s="4" t="s">
        <v>44</v>
      </c>
      <c r="B1199" s="4" t="s">
        <v>373</v>
      </c>
      <c r="C1199" s="47" t="n">
        <v>213.21</v>
      </c>
      <c r="D1199" s="48" t="n">
        <v>1563.68</v>
      </c>
      <c r="E1199" s="49" t="n">
        <f aca="false">D1199-cover</f>
        <v>1562.48</v>
      </c>
      <c r="F1199" s="50" t="n">
        <f aca="false">'Z6 Nkangamo-Uhuru'!S18-'Z6 Nkangamo-Uhuru'!P18*C1199/'Z6 Nkangamo-Uhuru'!G18</f>
        <v>1737.89627957595</v>
      </c>
      <c r="G1199" s="51" t="n">
        <f aca="false">'Z6 Nkangamo-Uhuru'!$B$8-E1199</f>
        <v>144.02</v>
      </c>
      <c r="H1199" s="52" t="n">
        <f aca="false">F1199-E1199</f>
        <v>175.416279575952</v>
      </c>
      <c r="I1199" s="52" t="n">
        <f aca="false">MAX(H1199,G1199)</f>
        <v>175.416279575952</v>
      </c>
      <c r="J1199" s="4" t="str">
        <f aca="false">IFERROR("PN"&amp;SMALL(PN_list,COUNTIF(PN_list,"&lt;"&amp;I1199*bar_per_m)+1),"&gt; max PN")</f>
        <v>PN25</v>
      </c>
      <c r="K1199" s="4" t="str">
        <f aca="false">IF(L1199="no","end at tank",IF(H1199&lt;0,"NEGATIVE",IF(H1199&lt;p_min-0.005,"low","OK")))</f>
        <v>OK</v>
      </c>
      <c r="L1199" s="4" t="s">
        <v>414</v>
      </c>
    </row>
    <row r="1200" customFormat="false" ht="15" hidden="false" customHeight="false" outlineLevel="0" collapsed="false">
      <c r="A1200" s="4" t="s">
        <v>44</v>
      </c>
      <c r="B1200" s="4" t="s">
        <v>373</v>
      </c>
      <c r="C1200" s="47" t="n">
        <v>233.23</v>
      </c>
      <c r="D1200" s="48" t="n">
        <v>1564.55</v>
      </c>
      <c r="E1200" s="49" t="n">
        <f aca="false">D1200-cover</f>
        <v>1563.35</v>
      </c>
      <c r="F1200" s="50" t="n">
        <f aca="false">'Z6 Nkangamo-Uhuru'!S18-'Z6 Nkangamo-Uhuru'!P18*C1200/'Z6 Nkangamo-Uhuru'!G18</f>
        <v>1737.8650951197</v>
      </c>
      <c r="G1200" s="51" t="n">
        <f aca="false">'Z6 Nkangamo-Uhuru'!$B$8-E1200</f>
        <v>143.15</v>
      </c>
      <c r="H1200" s="52" t="n">
        <f aca="false">F1200-E1200</f>
        <v>174.515095119702</v>
      </c>
      <c r="I1200" s="52" t="n">
        <f aca="false">MAX(H1200,G1200)</f>
        <v>174.515095119702</v>
      </c>
      <c r="J1200" s="4" t="str">
        <f aca="false">IFERROR("PN"&amp;SMALL(PN_list,COUNTIF(PN_list,"&lt;"&amp;I1200*bar_per_m)+1),"&gt; max PN")</f>
        <v>PN25</v>
      </c>
      <c r="K1200" s="4" t="str">
        <f aca="false">IF(L1200="no","end at tank",IF(H1200&lt;0,"NEGATIVE",IF(H1200&lt;p_min-0.005,"low","OK")))</f>
        <v>OK</v>
      </c>
      <c r="L1200" s="4" t="s">
        <v>414</v>
      </c>
    </row>
    <row r="1201" customFormat="false" ht="15" hidden="false" customHeight="false" outlineLevel="0" collapsed="false">
      <c r="A1201" s="4" t="s">
        <v>44</v>
      </c>
      <c r="B1201" s="4" t="s">
        <v>373</v>
      </c>
      <c r="C1201" s="47" t="n">
        <v>253.24</v>
      </c>
      <c r="D1201" s="48" t="n">
        <v>1565.37</v>
      </c>
      <c r="E1201" s="49" t="n">
        <f aca="false">D1201-cover</f>
        <v>1564.17</v>
      </c>
      <c r="F1201" s="50" t="n">
        <f aca="false">'Z6 Nkangamo-Uhuru'!S18-'Z6 Nkangamo-Uhuru'!P18*C1201/'Z6 Nkangamo-Uhuru'!G18</f>
        <v>1737.8339262401</v>
      </c>
      <c r="G1201" s="51" t="n">
        <f aca="false">'Z6 Nkangamo-Uhuru'!$B$8-E1201</f>
        <v>142.33</v>
      </c>
      <c r="H1201" s="52" t="n">
        <f aca="false">F1201-E1201</f>
        <v>173.663926240104</v>
      </c>
      <c r="I1201" s="52" t="n">
        <f aca="false">MAX(H1201,G1201)</f>
        <v>173.663926240104</v>
      </c>
      <c r="J1201" s="4" t="str">
        <f aca="false">IFERROR("PN"&amp;SMALL(PN_list,COUNTIF(PN_list,"&lt;"&amp;I1201*bar_per_m)+1),"&gt; max PN")</f>
        <v>PN25</v>
      </c>
      <c r="K1201" s="4" t="str">
        <f aca="false">IF(L1201="no","end at tank",IF(H1201&lt;0,"NEGATIVE",IF(H1201&lt;p_min-0.005,"low","OK")))</f>
        <v>OK</v>
      </c>
      <c r="L1201" s="4" t="s">
        <v>414</v>
      </c>
    </row>
    <row r="1202" customFormat="false" ht="15" hidden="false" customHeight="false" outlineLevel="0" collapsed="false">
      <c r="A1202" s="4" t="s">
        <v>44</v>
      </c>
      <c r="B1202" s="4" t="s">
        <v>373</v>
      </c>
      <c r="C1202" s="47" t="n">
        <v>273.25</v>
      </c>
      <c r="D1202" s="48" t="n">
        <v>1565.78</v>
      </c>
      <c r="E1202" s="49" t="n">
        <f aca="false">D1202-cover</f>
        <v>1564.58</v>
      </c>
      <c r="F1202" s="50" t="n">
        <f aca="false">'Z6 Nkangamo-Uhuru'!S18-'Z6 Nkangamo-Uhuru'!P18*C1202/'Z6 Nkangamo-Uhuru'!G18</f>
        <v>1737.80275736051</v>
      </c>
      <c r="G1202" s="51" t="n">
        <f aca="false">'Z6 Nkangamo-Uhuru'!$B$8-E1202</f>
        <v>141.92</v>
      </c>
      <c r="H1202" s="52" t="n">
        <f aca="false">F1202-E1202</f>
        <v>173.222757360506</v>
      </c>
      <c r="I1202" s="52" t="n">
        <f aca="false">MAX(H1202,G1202)</f>
        <v>173.222757360506</v>
      </c>
      <c r="J1202" s="4" t="str">
        <f aca="false">IFERROR("PN"&amp;SMALL(PN_list,COUNTIF(PN_list,"&lt;"&amp;I1202*bar_per_m)+1),"&gt; max PN")</f>
        <v>PN25</v>
      </c>
      <c r="K1202" s="4" t="str">
        <f aca="false">IF(L1202="no","end at tank",IF(H1202&lt;0,"NEGATIVE",IF(H1202&lt;p_min-0.005,"low","OK")))</f>
        <v>OK</v>
      </c>
      <c r="L1202" s="4" t="s">
        <v>414</v>
      </c>
    </row>
    <row r="1203" customFormat="false" ht="15" hidden="false" customHeight="false" outlineLevel="0" collapsed="false">
      <c r="A1203" s="4" t="s">
        <v>44</v>
      </c>
      <c r="B1203" s="4" t="s">
        <v>373</v>
      </c>
      <c r="C1203" s="47" t="n">
        <v>293.26</v>
      </c>
      <c r="D1203" s="48" t="n">
        <v>1566.39</v>
      </c>
      <c r="E1203" s="49" t="n">
        <f aca="false">D1203-cover</f>
        <v>1565.19</v>
      </c>
      <c r="F1203" s="50" t="n">
        <f aca="false">'Z6 Nkangamo-Uhuru'!S18-'Z6 Nkangamo-Uhuru'!P18*C1203/'Z6 Nkangamo-Uhuru'!G18</f>
        <v>1737.77158848091</v>
      </c>
      <c r="G1203" s="51" t="n">
        <f aca="false">'Z6 Nkangamo-Uhuru'!$B$8-E1203</f>
        <v>141.31</v>
      </c>
      <c r="H1203" s="52" t="n">
        <f aca="false">F1203-E1203</f>
        <v>172.581588480907</v>
      </c>
      <c r="I1203" s="52" t="n">
        <f aca="false">MAX(H1203,G1203)</f>
        <v>172.581588480907</v>
      </c>
      <c r="J1203" s="4" t="str">
        <f aca="false">IFERROR("PN"&amp;SMALL(PN_list,COUNTIF(PN_list,"&lt;"&amp;I1203*bar_per_m)+1),"&gt; max PN")</f>
        <v>PN25</v>
      </c>
      <c r="K1203" s="4" t="str">
        <f aca="false">IF(L1203="no","end at tank",IF(H1203&lt;0,"NEGATIVE",IF(H1203&lt;p_min-0.005,"low","OK")))</f>
        <v>OK</v>
      </c>
      <c r="L1203" s="4" t="s">
        <v>414</v>
      </c>
    </row>
    <row r="1204" customFormat="false" ht="15" hidden="false" customHeight="false" outlineLevel="0" collapsed="false">
      <c r="A1204" s="4" t="s">
        <v>44</v>
      </c>
      <c r="B1204" s="4" t="s">
        <v>373</v>
      </c>
      <c r="C1204" s="47" t="n">
        <v>313.26</v>
      </c>
      <c r="D1204" s="48" t="n">
        <v>1566.54</v>
      </c>
      <c r="E1204" s="49" t="n">
        <f aca="false">D1204-cover</f>
        <v>1565.34</v>
      </c>
      <c r="F1204" s="50" t="n">
        <f aca="false">'Z6 Nkangamo-Uhuru'!S18-'Z6 Nkangamo-Uhuru'!P18*C1204/'Z6 Nkangamo-Uhuru'!G18</f>
        <v>1737.74043517796</v>
      </c>
      <c r="G1204" s="51" t="n">
        <f aca="false">'Z6 Nkangamo-Uhuru'!$B$8-E1204</f>
        <v>141.16</v>
      </c>
      <c r="H1204" s="52" t="n">
        <f aca="false">F1204-E1204</f>
        <v>172.40043517796</v>
      </c>
      <c r="I1204" s="52" t="n">
        <f aca="false">MAX(H1204,G1204)</f>
        <v>172.40043517796</v>
      </c>
      <c r="J1204" s="4" t="str">
        <f aca="false">IFERROR("PN"&amp;SMALL(PN_list,COUNTIF(PN_list,"&lt;"&amp;I1204*bar_per_m)+1),"&gt; max PN")</f>
        <v>PN25</v>
      </c>
      <c r="K1204" s="4" t="str">
        <f aca="false">IF(L1204="no","end at tank",IF(H1204&lt;0,"NEGATIVE",IF(H1204&lt;p_min-0.005,"low","OK")))</f>
        <v>OK</v>
      </c>
      <c r="L1204" s="4" t="s">
        <v>414</v>
      </c>
    </row>
    <row r="1205" customFormat="false" ht="15" hidden="false" customHeight="false" outlineLevel="0" collapsed="false">
      <c r="A1205" s="4" t="s">
        <v>44</v>
      </c>
      <c r="B1205" s="4" t="s">
        <v>373</v>
      </c>
      <c r="C1205" s="47" t="n">
        <v>333.27</v>
      </c>
      <c r="D1205" s="48" t="n">
        <v>1567.2</v>
      </c>
      <c r="E1205" s="49" t="n">
        <f aca="false">D1205-cover</f>
        <v>1566</v>
      </c>
      <c r="F1205" s="50" t="n">
        <f aca="false">'Z6 Nkangamo-Uhuru'!S18-'Z6 Nkangamo-Uhuru'!P18*C1205/'Z6 Nkangamo-Uhuru'!G18</f>
        <v>1737.70926629836</v>
      </c>
      <c r="G1205" s="51" t="n">
        <f aca="false">'Z6 Nkangamo-Uhuru'!$B$8-E1205</f>
        <v>140.5</v>
      </c>
      <c r="H1205" s="52" t="n">
        <f aca="false">F1205-E1205</f>
        <v>171.709266298362</v>
      </c>
      <c r="I1205" s="52" t="n">
        <f aca="false">MAX(H1205,G1205)</f>
        <v>171.709266298362</v>
      </c>
      <c r="J1205" s="4" t="str">
        <f aca="false">IFERROR("PN"&amp;SMALL(PN_list,COUNTIF(PN_list,"&lt;"&amp;I1205*bar_per_m)+1),"&gt; max PN")</f>
        <v>PN25</v>
      </c>
      <c r="K1205" s="4" t="str">
        <f aca="false">IF(L1205="no","end at tank",IF(H1205&lt;0,"NEGATIVE",IF(H1205&lt;p_min-0.005,"low","OK")))</f>
        <v>OK</v>
      </c>
      <c r="L1205" s="4" t="s">
        <v>414</v>
      </c>
    </row>
    <row r="1206" customFormat="false" ht="15" hidden="false" customHeight="false" outlineLevel="0" collapsed="false">
      <c r="A1206" s="4" t="s">
        <v>44</v>
      </c>
      <c r="B1206" s="4" t="s">
        <v>373</v>
      </c>
      <c r="C1206" s="47" t="n">
        <v>353.28</v>
      </c>
      <c r="D1206" s="48" t="n">
        <v>1567.77</v>
      </c>
      <c r="E1206" s="49" t="n">
        <f aca="false">D1206-cover</f>
        <v>1566.57</v>
      </c>
      <c r="F1206" s="50" t="n">
        <f aca="false">'Z6 Nkangamo-Uhuru'!S18-'Z6 Nkangamo-Uhuru'!P18*C1206/'Z6 Nkangamo-Uhuru'!G18</f>
        <v>1737.67809741876</v>
      </c>
      <c r="G1206" s="51" t="n">
        <f aca="false">'Z6 Nkangamo-Uhuru'!$B$8-E1206</f>
        <v>139.93</v>
      </c>
      <c r="H1206" s="52" t="n">
        <f aca="false">F1206-E1206</f>
        <v>171.108097418764</v>
      </c>
      <c r="I1206" s="52" t="n">
        <f aca="false">MAX(H1206,G1206)</f>
        <v>171.108097418764</v>
      </c>
      <c r="J1206" s="4" t="str">
        <f aca="false">IFERROR("PN"&amp;SMALL(PN_list,COUNTIF(PN_list,"&lt;"&amp;I1206*bar_per_m)+1),"&gt; max PN")</f>
        <v>PN25</v>
      </c>
      <c r="K1206" s="4" t="str">
        <f aca="false">IF(L1206="no","end at tank",IF(H1206&lt;0,"NEGATIVE",IF(H1206&lt;p_min-0.005,"low","OK")))</f>
        <v>OK</v>
      </c>
      <c r="L1206" s="4" t="s">
        <v>414</v>
      </c>
    </row>
    <row r="1207" customFormat="false" ht="15" hidden="false" customHeight="false" outlineLevel="0" collapsed="false">
      <c r="A1207" s="4" t="s">
        <v>44</v>
      </c>
      <c r="B1207" s="4" t="s">
        <v>373</v>
      </c>
      <c r="C1207" s="47" t="n">
        <v>373.29</v>
      </c>
      <c r="D1207" s="48" t="n">
        <v>1568.46</v>
      </c>
      <c r="E1207" s="49" t="n">
        <f aca="false">D1207-cover</f>
        <v>1567.26</v>
      </c>
      <c r="F1207" s="50" t="n">
        <f aca="false">'Z6 Nkangamo-Uhuru'!S18-'Z6 Nkangamo-Uhuru'!P18*C1207/'Z6 Nkangamo-Uhuru'!G18</f>
        <v>1737.64692853917</v>
      </c>
      <c r="G1207" s="51" t="n">
        <f aca="false">'Z6 Nkangamo-Uhuru'!$B$8-E1207</f>
        <v>139.24</v>
      </c>
      <c r="H1207" s="52" t="n">
        <f aca="false">F1207-E1207</f>
        <v>170.386928539165</v>
      </c>
      <c r="I1207" s="52" t="n">
        <f aca="false">MAX(H1207,G1207)</f>
        <v>170.386928539165</v>
      </c>
      <c r="J1207" s="4" t="str">
        <f aca="false">IFERROR("PN"&amp;SMALL(PN_list,COUNTIF(PN_list,"&lt;"&amp;I1207*bar_per_m)+1),"&gt; max PN")</f>
        <v>PN25</v>
      </c>
      <c r="K1207" s="4" t="str">
        <f aca="false">IF(L1207="no","end at tank",IF(H1207&lt;0,"NEGATIVE",IF(H1207&lt;p_min-0.005,"low","OK")))</f>
        <v>OK</v>
      </c>
      <c r="L1207" s="4" t="s">
        <v>414</v>
      </c>
    </row>
    <row r="1208" customFormat="false" ht="15" hidden="false" customHeight="false" outlineLevel="0" collapsed="false">
      <c r="A1208" s="4" t="s">
        <v>44</v>
      </c>
      <c r="B1208" s="4" t="s">
        <v>373</v>
      </c>
      <c r="C1208" s="47" t="n">
        <v>393.32</v>
      </c>
      <c r="D1208" s="48" t="n">
        <v>1569.61</v>
      </c>
      <c r="E1208" s="49" t="n">
        <f aca="false">D1208-cover</f>
        <v>1568.41</v>
      </c>
      <c r="F1208" s="50" t="n">
        <f aca="false">'Z6 Nkangamo-Uhuru'!S18-'Z6 Nkangamo-Uhuru'!P18*C1208/'Z6 Nkangamo-Uhuru'!G18</f>
        <v>1737.61572850626</v>
      </c>
      <c r="G1208" s="51" t="n">
        <f aca="false">'Z6 Nkangamo-Uhuru'!$B$8-E1208</f>
        <v>138.09</v>
      </c>
      <c r="H1208" s="52" t="n">
        <f aca="false">F1208-E1208</f>
        <v>169.205728506264</v>
      </c>
      <c r="I1208" s="52" t="n">
        <f aca="false">MAX(H1208,G1208)</f>
        <v>169.205728506264</v>
      </c>
      <c r="J1208" s="4" t="str">
        <f aca="false">IFERROR("PN"&amp;SMALL(PN_list,COUNTIF(PN_list,"&lt;"&amp;I1208*bar_per_m)+1),"&gt; max PN")</f>
        <v>PN25</v>
      </c>
      <c r="K1208" s="4" t="str">
        <f aca="false">IF(L1208="no","end at tank",IF(H1208&lt;0,"NEGATIVE",IF(H1208&lt;p_min-0.005,"low","OK")))</f>
        <v>OK</v>
      </c>
      <c r="L1208" s="4" t="s">
        <v>414</v>
      </c>
    </row>
    <row r="1209" customFormat="false" ht="15" hidden="false" customHeight="false" outlineLevel="0" collapsed="false">
      <c r="A1209" s="4" t="s">
        <v>44</v>
      </c>
      <c r="B1209" s="4" t="s">
        <v>373</v>
      </c>
      <c r="C1209" s="47" t="n">
        <v>413.32</v>
      </c>
      <c r="D1209" s="48" t="n">
        <v>1569.44</v>
      </c>
      <c r="E1209" s="49" t="n">
        <f aca="false">D1209-cover</f>
        <v>1568.24</v>
      </c>
      <c r="F1209" s="50" t="n">
        <f aca="false">'Z6 Nkangamo-Uhuru'!S18-'Z6 Nkangamo-Uhuru'!P18*C1209/'Z6 Nkangamo-Uhuru'!G18</f>
        <v>1737.58457520332</v>
      </c>
      <c r="G1209" s="51" t="n">
        <f aca="false">'Z6 Nkangamo-Uhuru'!$B$8-E1209</f>
        <v>138.26</v>
      </c>
      <c r="H1209" s="52" t="n">
        <f aca="false">F1209-E1209</f>
        <v>169.344575203317</v>
      </c>
      <c r="I1209" s="52" t="n">
        <f aca="false">MAX(H1209,G1209)</f>
        <v>169.344575203317</v>
      </c>
      <c r="J1209" s="4" t="str">
        <f aca="false">IFERROR("PN"&amp;SMALL(PN_list,COUNTIF(PN_list,"&lt;"&amp;I1209*bar_per_m)+1),"&gt; max PN")</f>
        <v>PN25</v>
      </c>
      <c r="K1209" s="4" t="str">
        <f aca="false">IF(L1209="no","end at tank",IF(H1209&lt;0,"NEGATIVE",IF(H1209&lt;p_min-0.005,"low","OK")))</f>
        <v>OK</v>
      </c>
      <c r="L1209" s="4" t="s">
        <v>414</v>
      </c>
    </row>
    <row r="1210" customFormat="false" ht="15" hidden="false" customHeight="false" outlineLevel="0" collapsed="false">
      <c r="A1210" s="4" t="s">
        <v>44</v>
      </c>
      <c r="B1210" s="4" t="s">
        <v>373</v>
      </c>
      <c r="C1210" s="47" t="n">
        <v>433.34</v>
      </c>
      <c r="D1210" s="48" t="n">
        <v>1570.28</v>
      </c>
      <c r="E1210" s="49" t="n">
        <f aca="false">D1210-cover</f>
        <v>1569.08</v>
      </c>
      <c r="F1210" s="50" t="n">
        <f aca="false">'Z6 Nkangamo-Uhuru'!S18-'Z6 Nkangamo-Uhuru'!P18*C1210/'Z6 Nkangamo-Uhuru'!G18</f>
        <v>1737.55339074707</v>
      </c>
      <c r="G1210" s="51" t="n">
        <f aca="false">'Z6 Nkangamo-Uhuru'!$B$8-E1210</f>
        <v>137.42</v>
      </c>
      <c r="H1210" s="52" t="n">
        <f aca="false">F1210-E1210</f>
        <v>168.473390747068</v>
      </c>
      <c r="I1210" s="52" t="n">
        <f aca="false">MAX(H1210,G1210)</f>
        <v>168.473390747068</v>
      </c>
      <c r="J1210" s="4" t="str">
        <f aca="false">IFERROR("PN"&amp;SMALL(PN_list,COUNTIF(PN_list,"&lt;"&amp;I1210*bar_per_m)+1),"&gt; max PN")</f>
        <v>PN25</v>
      </c>
      <c r="K1210" s="4" t="str">
        <f aca="false">IF(L1210="no","end at tank",IF(H1210&lt;0,"NEGATIVE",IF(H1210&lt;p_min-0.005,"low","OK")))</f>
        <v>OK</v>
      </c>
      <c r="L1210" s="4" t="s">
        <v>414</v>
      </c>
    </row>
    <row r="1211" customFormat="false" ht="15" hidden="false" customHeight="false" outlineLevel="0" collapsed="false">
      <c r="A1211" s="4" t="s">
        <v>44</v>
      </c>
      <c r="B1211" s="4" t="s">
        <v>373</v>
      </c>
      <c r="C1211" s="47" t="n">
        <v>453.36</v>
      </c>
      <c r="D1211" s="48" t="n">
        <v>1571.11</v>
      </c>
      <c r="E1211" s="49" t="n">
        <f aca="false">D1211-cover</f>
        <v>1569.91</v>
      </c>
      <c r="F1211" s="50" t="n">
        <f aca="false">'Z6 Nkangamo-Uhuru'!S18-'Z6 Nkangamo-Uhuru'!P18*C1211/'Z6 Nkangamo-Uhuru'!G18</f>
        <v>1737.52220629082</v>
      </c>
      <c r="G1211" s="51" t="n">
        <f aca="false">'Z6 Nkangamo-Uhuru'!$B$8-E1211</f>
        <v>136.59</v>
      </c>
      <c r="H1211" s="52" t="n">
        <f aca="false">F1211-E1211</f>
        <v>167.612206290818</v>
      </c>
      <c r="I1211" s="52" t="n">
        <f aca="false">MAX(H1211,G1211)</f>
        <v>167.612206290818</v>
      </c>
      <c r="J1211" s="4" t="str">
        <f aca="false">IFERROR("PN"&amp;SMALL(PN_list,COUNTIF(PN_list,"&lt;"&amp;I1211*bar_per_m)+1),"&gt; max PN")</f>
        <v>PN25</v>
      </c>
      <c r="K1211" s="4" t="str">
        <f aca="false">IF(L1211="no","end at tank",IF(H1211&lt;0,"NEGATIVE",IF(H1211&lt;p_min-0.005,"low","OK")))</f>
        <v>OK</v>
      </c>
      <c r="L1211" s="4" t="s">
        <v>414</v>
      </c>
    </row>
    <row r="1212" customFormat="false" ht="15" hidden="false" customHeight="false" outlineLevel="0" collapsed="false">
      <c r="A1212" s="4" t="s">
        <v>44</v>
      </c>
      <c r="B1212" s="4" t="s">
        <v>373</v>
      </c>
      <c r="C1212" s="47" t="n">
        <v>473.36</v>
      </c>
      <c r="D1212" s="48" t="n">
        <v>1570.83</v>
      </c>
      <c r="E1212" s="49" t="n">
        <f aca="false">D1212-cover</f>
        <v>1569.63</v>
      </c>
      <c r="F1212" s="50" t="n">
        <f aca="false">'Z6 Nkangamo-Uhuru'!S18-'Z6 Nkangamo-Uhuru'!P18*C1212/'Z6 Nkangamo-Uhuru'!G18</f>
        <v>1737.49105298787</v>
      </c>
      <c r="G1212" s="51" t="n">
        <f aca="false">'Z6 Nkangamo-Uhuru'!$B$8-E1212</f>
        <v>136.87</v>
      </c>
      <c r="H1212" s="52" t="n">
        <f aca="false">F1212-E1212</f>
        <v>167.861052987871</v>
      </c>
      <c r="I1212" s="52" t="n">
        <f aca="false">MAX(H1212,G1212)</f>
        <v>167.861052987871</v>
      </c>
      <c r="J1212" s="4" t="str">
        <f aca="false">IFERROR("PN"&amp;SMALL(PN_list,COUNTIF(PN_list,"&lt;"&amp;I1212*bar_per_m)+1),"&gt; max PN")</f>
        <v>PN25</v>
      </c>
      <c r="K1212" s="4" t="str">
        <f aca="false">IF(L1212="no","end at tank",IF(H1212&lt;0,"NEGATIVE",IF(H1212&lt;p_min-0.005,"low","OK")))</f>
        <v>OK</v>
      </c>
      <c r="L1212" s="4" t="s">
        <v>414</v>
      </c>
    </row>
    <row r="1213" customFormat="false" ht="15" hidden="false" customHeight="false" outlineLevel="0" collapsed="false">
      <c r="A1213" s="4" t="s">
        <v>44</v>
      </c>
      <c r="B1213" s="4" t="s">
        <v>373</v>
      </c>
      <c r="C1213" s="47" t="n">
        <v>493.37</v>
      </c>
      <c r="D1213" s="48" t="n">
        <v>1571.59</v>
      </c>
      <c r="E1213" s="49" t="n">
        <f aca="false">D1213-cover</f>
        <v>1570.39</v>
      </c>
      <c r="F1213" s="50" t="n">
        <f aca="false">'Z6 Nkangamo-Uhuru'!S18-'Z6 Nkangamo-Uhuru'!P18*C1213/'Z6 Nkangamo-Uhuru'!G18</f>
        <v>1737.45988410827</v>
      </c>
      <c r="G1213" s="51" t="n">
        <f aca="false">'Z6 Nkangamo-Uhuru'!$B$8-E1213</f>
        <v>136.11</v>
      </c>
      <c r="H1213" s="52" t="n">
        <f aca="false">F1213-E1213</f>
        <v>167.069884108273</v>
      </c>
      <c r="I1213" s="52" t="n">
        <f aca="false">MAX(H1213,G1213)</f>
        <v>167.069884108273</v>
      </c>
      <c r="J1213" s="4" t="str">
        <f aca="false">IFERROR("PN"&amp;SMALL(PN_list,COUNTIF(PN_list,"&lt;"&amp;I1213*bar_per_m)+1),"&gt; max PN")</f>
        <v>PN25</v>
      </c>
      <c r="K1213" s="4" t="str">
        <f aca="false">IF(L1213="no","end at tank",IF(H1213&lt;0,"NEGATIVE",IF(H1213&lt;p_min-0.005,"low","OK")))</f>
        <v>OK</v>
      </c>
      <c r="L1213" s="4" t="s">
        <v>414</v>
      </c>
    </row>
    <row r="1214" customFormat="false" ht="15" hidden="false" customHeight="false" outlineLevel="0" collapsed="false">
      <c r="A1214" s="4" t="s">
        <v>44</v>
      </c>
      <c r="B1214" s="4" t="s">
        <v>373</v>
      </c>
      <c r="C1214" s="47" t="n">
        <v>513.39</v>
      </c>
      <c r="D1214" s="48" t="n">
        <v>1572.34</v>
      </c>
      <c r="E1214" s="49" t="n">
        <f aca="false">D1214-cover</f>
        <v>1571.14</v>
      </c>
      <c r="F1214" s="50" t="n">
        <f aca="false">'Z6 Nkangamo-Uhuru'!S18-'Z6 Nkangamo-Uhuru'!P18*C1214/'Z6 Nkangamo-Uhuru'!G18</f>
        <v>1737.42869965202</v>
      </c>
      <c r="G1214" s="51" t="n">
        <f aca="false">'Z6 Nkangamo-Uhuru'!$B$8-E1214</f>
        <v>135.36</v>
      </c>
      <c r="H1214" s="52" t="n">
        <f aca="false">F1214-E1214</f>
        <v>166.288699652023</v>
      </c>
      <c r="I1214" s="52" t="n">
        <f aca="false">MAX(H1214,G1214)</f>
        <v>166.288699652023</v>
      </c>
      <c r="J1214" s="4" t="str">
        <f aca="false">IFERROR("PN"&amp;SMALL(PN_list,COUNTIF(PN_list,"&lt;"&amp;I1214*bar_per_m)+1),"&gt; max PN")</f>
        <v>PN25</v>
      </c>
      <c r="K1214" s="4" t="str">
        <f aca="false">IF(L1214="no","end at tank",IF(H1214&lt;0,"NEGATIVE",IF(H1214&lt;p_min-0.005,"low","OK")))</f>
        <v>OK</v>
      </c>
      <c r="L1214" s="4" t="s">
        <v>414</v>
      </c>
    </row>
    <row r="1215" customFormat="false" ht="15" hidden="false" customHeight="false" outlineLevel="0" collapsed="false">
      <c r="A1215" s="4" t="s">
        <v>44</v>
      </c>
      <c r="B1215" s="4" t="s">
        <v>373</v>
      </c>
      <c r="C1215" s="47" t="n">
        <v>533.41</v>
      </c>
      <c r="D1215" s="48" t="n">
        <v>1573.25</v>
      </c>
      <c r="E1215" s="49" t="n">
        <f aca="false">D1215-cover</f>
        <v>1572.05</v>
      </c>
      <c r="F1215" s="50" t="n">
        <f aca="false">'Z6 Nkangamo-Uhuru'!S18-'Z6 Nkangamo-Uhuru'!P18*C1215/'Z6 Nkangamo-Uhuru'!G18</f>
        <v>1737.39751519577</v>
      </c>
      <c r="G1215" s="51" t="n">
        <f aca="false">'Z6 Nkangamo-Uhuru'!$B$8-E1215</f>
        <v>134.45</v>
      </c>
      <c r="H1215" s="52" t="n">
        <f aca="false">F1215-E1215</f>
        <v>165.347515195773</v>
      </c>
      <c r="I1215" s="52" t="n">
        <f aca="false">MAX(H1215,G1215)</f>
        <v>165.347515195773</v>
      </c>
      <c r="J1215" s="4" t="str">
        <f aca="false">IFERROR("PN"&amp;SMALL(PN_list,COUNTIF(PN_list,"&lt;"&amp;I1215*bar_per_m)+1),"&gt; max PN")</f>
        <v>PN25</v>
      </c>
      <c r="K1215" s="4" t="str">
        <f aca="false">IF(L1215="no","end at tank",IF(H1215&lt;0,"NEGATIVE",IF(H1215&lt;p_min-0.005,"low","OK")))</f>
        <v>OK</v>
      </c>
      <c r="L1215" s="4" t="s">
        <v>414</v>
      </c>
    </row>
    <row r="1216" customFormat="false" ht="15" hidden="false" customHeight="false" outlineLevel="0" collapsed="false">
      <c r="A1216" s="4" t="s">
        <v>44</v>
      </c>
      <c r="B1216" s="4" t="s">
        <v>373</v>
      </c>
      <c r="C1216" s="47" t="n">
        <v>553.41</v>
      </c>
      <c r="D1216" s="48" t="n">
        <v>1573.25</v>
      </c>
      <c r="E1216" s="49" t="n">
        <f aca="false">D1216-cover</f>
        <v>1572.05</v>
      </c>
      <c r="F1216" s="50" t="n">
        <f aca="false">'Z6 Nkangamo-Uhuru'!S18-'Z6 Nkangamo-Uhuru'!P18*C1216/'Z6 Nkangamo-Uhuru'!G18</f>
        <v>1737.36636189283</v>
      </c>
      <c r="G1216" s="51" t="n">
        <f aca="false">'Z6 Nkangamo-Uhuru'!$B$8-E1216</f>
        <v>134.45</v>
      </c>
      <c r="H1216" s="52" t="n">
        <f aca="false">F1216-E1216</f>
        <v>165.316361892826</v>
      </c>
      <c r="I1216" s="52" t="n">
        <f aca="false">MAX(H1216,G1216)</f>
        <v>165.316361892826</v>
      </c>
      <c r="J1216" s="4" t="str">
        <f aca="false">IFERROR("PN"&amp;SMALL(PN_list,COUNTIF(PN_list,"&lt;"&amp;I1216*bar_per_m)+1),"&gt; max PN")</f>
        <v>PN25</v>
      </c>
      <c r="K1216" s="4" t="str">
        <f aca="false">IF(L1216="no","end at tank",IF(H1216&lt;0,"NEGATIVE",IF(H1216&lt;p_min-0.005,"low","OK")))</f>
        <v>OK</v>
      </c>
      <c r="L1216" s="4" t="s">
        <v>414</v>
      </c>
    </row>
    <row r="1217" customFormat="false" ht="15" hidden="false" customHeight="false" outlineLevel="0" collapsed="false">
      <c r="A1217" s="4" t="s">
        <v>44</v>
      </c>
      <c r="B1217" s="4" t="s">
        <v>373</v>
      </c>
      <c r="C1217" s="47" t="n">
        <v>573.44</v>
      </c>
      <c r="D1217" s="48" t="n">
        <v>1574.38</v>
      </c>
      <c r="E1217" s="49" t="n">
        <f aca="false">D1217-cover</f>
        <v>1573.18</v>
      </c>
      <c r="F1217" s="50" t="n">
        <f aca="false">'Z6 Nkangamo-Uhuru'!S18-'Z6 Nkangamo-Uhuru'!P18*C1217/'Z6 Nkangamo-Uhuru'!G18</f>
        <v>1737.33516185993</v>
      </c>
      <c r="G1217" s="51" t="n">
        <f aca="false">'Z6 Nkangamo-Uhuru'!$B$8-E1217</f>
        <v>133.32</v>
      </c>
      <c r="H1217" s="52" t="n">
        <f aca="false">F1217-E1217</f>
        <v>164.155161859925</v>
      </c>
      <c r="I1217" s="52" t="n">
        <f aca="false">MAX(H1217,G1217)</f>
        <v>164.155161859925</v>
      </c>
      <c r="J1217" s="4" t="str">
        <f aca="false">IFERROR("PN"&amp;SMALL(PN_list,COUNTIF(PN_list,"&lt;"&amp;I1217*bar_per_m)+1),"&gt; max PN")</f>
        <v>PN25</v>
      </c>
      <c r="K1217" s="4" t="str">
        <f aca="false">IF(L1217="no","end at tank",IF(H1217&lt;0,"NEGATIVE",IF(H1217&lt;p_min-0.005,"low","OK")))</f>
        <v>OK</v>
      </c>
      <c r="L1217" s="4" t="s">
        <v>414</v>
      </c>
    </row>
    <row r="1218" customFormat="false" ht="15" hidden="false" customHeight="false" outlineLevel="0" collapsed="false">
      <c r="A1218" s="4" t="s">
        <v>44</v>
      </c>
      <c r="B1218" s="4" t="s">
        <v>373</v>
      </c>
      <c r="C1218" s="47" t="n">
        <v>593.45</v>
      </c>
      <c r="D1218" s="48" t="n">
        <v>1575.01</v>
      </c>
      <c r="E1218" s="49" t="n">
        <f aca="false">D1218-cover</f>
        <v>1573.81</v>
      </c>
      <c r="F1218" s="50" t="n">
        <f aca="false">'Z6 Nkangamo-Uhuru'!S18-'Z6 Nkangamo-Uhuru'!P18*C1218/'Z6 Nkangamo-Uhuru'!G18</f>
        <v>1737.30399298033</v>
      </c>
      <c r="G1218" s="51" t="n">
        <f aca="false">'Z6 Nkangamo-Uhuru'!$B$8-E1218</f>
        <v>132.69</v>
      </c>
      <c r="H1218" s="52" t="n">
        <f aca="false">F1218-E1218</f>
        <v>163.493992980327</v>
      </c>
      <c r="I1218" s="52" t="n">
        <f aca="false">MAX(H1218,G1218)</f>
        <v>163.493992980327</v>
      </c>
      <c r="J1218" s="4" t="str">
        <f aca="false">IFERROR("PN"&amp;SMALL(PN_list,COUNTIF(PN_list,"&lt;"&amp;I1218*bar_per_m)+1),"&gt; max PN")</f>
        <v>PN25</v>
      </c>
      <c r="K1218" s="4" t="str">
        <f aca="false">IF(L1218="no","end at tank",IF(H1218&lt;0,"NEGATIVE",IF(H1218&lt;p_min-0.005,"low","OK")))</f>
        <v>OK</v>
      </c>
      <c r="L1218" s="4" t="s">
        <v>414</v>
      </c>
    </row>
    <row r="1219" customFormat="false" ht="15" hidden="false" customHeight="false" outlineLevel="0" collapsed="false">
      <c r="A1219" s="4" t="s">
        <v>44</v>
      </c>
      <c r="B1219" s="4" t="s">
        <v>373</v>
      </c>
      <c r="C1219" s="47" t="n">
        <v>613.48</v>
      </c>
      <c r="D1219" s="48" t="n">
        <v>1576.08</v>
      </c>
      <c r="E1219" s="49" t="n">
        <f aca="false">D1219-cover</f>
        <v>1574.88</v>
      </c>
      <c r="F1219" s="50" t="n">
        <f aca="false">'Z6 Nkangamo-Uhuru'!S18-'Z6 Nkangamo-Uhuru'!P18*C1219/'Z6 Nkangamo-Uhuru'!G18</f>
        <v>1737.27279294743</v>
      </c>
      <c r="G1219" s="51" t="n">
        <f aca="false">'Z6 Nkangamo-Uhuru'!$B$8-E1219</f>
        <v>131.62</v>
      </c>
      <c r="H1219" s="52" t="n">
        <f aca="false">F1219-E1219</f>
        <v>162.392792947426</v>
      </c>
      <c r="I1219" s="52" t="n">
        <f aca="false">MAX(H1219,G1219)</f>
        <v>162.392792947426</v>
      </c>
      <c r="J1219" s="4" t="str">
        <f aca="false">IFERROR("PN"&amp;SMALL(PN_list,COUNTIF(PN_list,"&lt;"&amp;I1219*bar_per_m)+1),"&gt; max PN")</f>
        <v>PN16</v>
      </c>
      <c r="K1219" s="4" t="str">
        <f aca="false">IF(L1219="no","end at tank",IF(H1219&lt;0,"NEGATIVE",IF(H1219&lt;p_min-0.005,"low","OK")))</f>
        <v>OK</v>
      </c>
      <c r="L1219" s="4" t="s">
        <v>414</v>
      </c>
    </row>
    <row r="1220" customFormat="false" ht="15" hidden="false" customHeight="false" outlineLevel="0" collapsed="false">
      <c r="A1220" s="4" t="s">
        <v>44</v>
      </c>
      <c r="B1220" s="4" t="s">
        <v>373</v>
      </c>
      <c r="C1220" s="47" t="n">
        <v>633.48</v>
      </c>
      <c r="D1220" s="48" t="n">
        <v>1576.08</v>
      </c>
      <c r="E1220" s="49" t="n">
        <f aca="false">D1220-cover</f>
        <v>1574.88</v>
      </c>
      <c r="F1220" s="50" t="n">
        <f aca="false">'Z6 Nkangamo-Uhuru'!S18-'Z6 Nkangamo-Uhuru'!P18*C1220/'Z6 Nkangamo-Uhuru'!G18</f>
        <v>1737.24163964448</v>
      </c>
      <c r="G1220" s="51" t="n">
        <f aca="false">'Z6 Nkangamo-Uhuru'!$B$8-E1220</f>
        <v>131.62</v>
      </c>
      <c r="H1220" s="52" t="n">
        <f aca="false">F1220-E1220</f>
        <v>162.361639644479</v>
      </c>
      <c r="I1220" s="52" t="n">
        <f aca="false">MAX(H1220,G1220)</f>
        <v>162.361639644479</v>
      </c>
      <c r="J1220" s="4" t="str">
        <f aca="false">IFERROR("PN"&amp;SMALL(PN_list,COUNTIF(PN_list,"&lt;"&amp;I1220*bar_per_m)+1),"&gt; max PN")</f>
        <v>PN16</v>
      </c>
      <c r="K1220" s="4" t="str">
        <f aca="false">IF(L1220="no","end at tank",IF(H1220&lt;0,"NEGATIVE",IF(H1220&lt;p_min-0.005,"low","OK")))</f>
        <v>OK</v>
      </c>
      <c r="L1220" s="4" t="s">
        <v>414</v>
      </c>
    </row>
    <row r="1221" customFormat="false" ht="15" hidden="false" customHeight="false" outlineLevel="0" collapsed="false">
      <c r="A1221" s="4" t="s">
        <v>44</v>
      </c>
      <c r="B1221" s="4" t="s">
        <v>373</v>
      </c>
      <c r="C1221" s="47" t="n">
        <v>653.52</v>
      </c>
      <c r="D1221" s="48" t="n">
        <v>1577.32</v>
      </c>
      <c r="E1221" s="49" t="n">
        <f aca="false">D1221-cover</f>
        <v>1576.12</v>
      </c>
      <c r="F1221" s="50" t="n">
        <f aca="false">'Z6 Nkangamo-Uhuru'!S18-'Z6 Nkangamo-Uhuru'!P18*C1221/'Z6 Nkangamo-Uhuru'!G18</f>
        <v>1737.21042403493</v>
      </c>
      <c r="G1221" s="51" t="n">
        <f aca="false">'Z6 Nkangamo-Uhuru'!$B$8-E1221</f>
        <v>130.38</v>
      </c>
      <c r="H1221" s="52" t="n">
        <f aca="false">F1221-E1221</f>
        <v>161.090424034926</v>
      </c>
      <c r="I1221" s="52" t="n">
        <f aca="false">MAX(H1221,G1221)</f>
        <v>161.090424034926</v>
      </c>
      <c r="J1221" s="4" t="str">
        <f aca="false">IFERROR("PN"&amp;SMALL(PN_list,COUNTIF(PN_list,"&lt;"&amp;I1221*bar_per_m)+1),"&gt; max PN")</f>
        <v>PN16</v>
      </c>
      <c r="K1221" s="4" t="str">
        <f aca="false">IF(L1221="no","end at tank",IF(H1221&lt;0,"NEGATIVE",IF(H1221&lt;p_min-0.005,"low","OK")))</f>
        <v>OK</v>
      </c>
      <c r="L1221" s="4" t="s">
        <v>414</v>
      </c>
    </row>
    <row r="1222" customFormat="false" ht="15" hidden="false" customHeight="false" outlineLevel="0" collapsed="false">
      <c r="A1222" s="4" t="s">
        <v>44</v>
      </c>
      <c r="B1222" s="4" t="s">
        <v>373</v>
      </c>
      <c r="C1222" s="47" t="n">
        <v>673.52</v>
      </c>
      <c r="D1222" s="48" t="n">
        <v>1577.78</v>
      </c>
      <c r="E1222" s="49" t="n">
        <f aca="false">D1222-cover</f>
        <v>1576.58</v>
      </c>
      <c r="F1222" s="50" t="n">
        <f aca="false">'Z6 Nkangamo-Uhuru'!S18-'Z6 Nkangamo-Uhuru'!P18*C1222/'Z6 Nkangamo-Uhuru'!G18</f>
        <v>1737.17927073198</v>
      </c>
      <c r="G1222" s="51" t="n">
        <f aca="false">'Z6 Nkangamo-Uhuru'!$B$8-E1222</f>
        <v>129.92</v>
      </c>
      <c r="H1222" s="52" t="n">
        <f aca="false">F1222-E1222</f>
        <v>160.599270731979</v>
      </c>
      <c r="I1222" s="52" t="n">
        <f aca="false">MAX(H1222,G1222)</f>
        <v>160.599270731979</v>
      </c>
      <c r="J1222" s="4" t="str">
        <f aca="false">IFERROR("PN"&amp;SMALL(PN_list,COUNTIF(PN_list,"&lt;"&amp;I1222*bar_per_m)+1),"&gt; max PN")</f>
        <v>PN16</v>
      </c>
      <c r="K1222" s="4" t="str">
        <f aca="false">IF(L1222="no","end at tank",IF(H1222&lt;0,"NEGATIVE",IF(H1222&lt;p_min-0.005,"low","OK")))</f>
        <v>OK</v>
      </c>
      <c r="L1222" s="4" t="s">
        <v>414</v>
      </c>
    </row>
    <row r="1223" customFormat="false" ht="15" hidden="false" customHeight="false" outlineLevel="0" collapsed="false">
      <c r="A1223" s="4" t="s">
        <v>44</v>
      </c>
      <c r="B1223" s="4" t="s">
        <v>373</v>
      </c>
      <c r="C1223" s="47" t="n">
        <v>693.54</v>
      </c>
      <c r="D1223" s="48" t="n">
        <v>1578.51</v>
      </c>
      <c r="E1223" s="49" t="n">
        <f aca="false">D1223-cover</f>
        <v>1577.31</v>
      </c>
      <c r="F1223" s="50" t="n">
        <f aca="false">'Z6 Nkangamo-Uhuru'!S18-'Z6 Nkangamo-Uhuru'!P18*C1223/'Z6 Nkangamo-Uhuru'!G18</f>
        <v>1737.14808627573</v>
      </c>
      <c r="G1223" s="51" t="n">
        <f aca="false">'Z6 Nkangamo-Uhuru'!$B$8-E1223</f>
        <v>129.19</v>
      </c>
      <c r="H1223" s="52" t="n">
        <f aca="false">F1223-E1223</f>
        <v>159.838086275729</v>
      </c>
      <c r="I1223" s="52" t="n">
        <f aca="false">MAX(H1223,G1223)</f>
        <v>159.838086275729</v>
      </c>
      <c r="J1223" s="4" t="str">
        <f aca="false">IFERROR("PN"&amp;SMALL(PN_list,COUNTIF(PN_list,"&lt;"&amp;I1223*bar_per_m)+1),"&gt; max PN")</f>
        <v>PN16</v>
      </c>
      <c r="K1223" s="4" t="str">
        <f aca="false">IF(L1223="no","end at tank",IF(H1223&lt;0,"NEGATIVE",IF(H1223&lt;p_min-0.005,"low","OK")))</f>
        <v>OK</v>
      </c>
      <c r="L1223" s="4" t="s">
        <v>414</v>
      </c>
    </row>
    <row r="1224" customFormat="false" ht="15" hidden="false" customHeight="false" outlineLevel="0" collapsed="false">
      <c r="A1224" s="4" t="s">
        <v>44</v>
      </c>
      <c r="B1224" s="4" t="s">
        <v>373</v>
      </c>
      <c r="C1224" s="47" t="n">
        <v>713.54</v>
      </c>
      <c r="D1224" s="48" t="n">
        <v>1578.51</v>
      </c>
      <c r="E1224" s="49" t="n">
        <f aca="false">D1224-cover</f>
        <v>1577.31</v>
      </c>
      <c r="F1224" s="50" t="n">
        <f aca="false">'Z6 Nkangamo-Uhuru'!S18-'Z6 Nkangamo-Uhuru'!P18*C1224/'Z6 Nkangamo-Uhuru'!G18</f>
        <v>1737.11693297278</v>
      </c>
      <c r="G1224" s="51" t="n">
        <f aca="false">'Z6 Nkangamo-Uhuru'!$B$8-E1224</f>
        <v>129.19</v>
      </c>
      <c r="H1224" s="52" t="n">
        <f aca="false">F1224-E1224</f>
        <v>159.806932972783</v>
      </c>
      <c r="I1224" s="52" t="n">
        <f aca="false">MAX(H1224,G1224)</f>
        <v>159.806932972783</v>
      </c>
      <c r="J1224" s="4" t="str">
        <f aca="false">IFERROR("PN"&amp;SMALL(PN_list,COUNTIF(PN_list,"&lt;"&amp;I1224*bar_per_m)+1),"&gt; max PN")</f>
        <v>PN16</v>
      </c>
      <c r="K1224" s="4" t="str">
        <f aca="false">IF(L1224="no","end at tank",IF(H1224&lt;0,"NEGATIVE",IF(H1224&lt;p_min-0.005,"low","OK")))</f>
        <v>OK</v>
      </c>
      <c r="L1224" s="4" t="s">
        <v>414</v>
      </c>
    </row>
    <row r="1225" customFormat="false" ht="15" hidden="false" customHeight="false" outlineLevel="0" collapsed="false">
      <c r="A1225" s="4" t="s">
        <v>44</v>
      </c>
      <c r="B1225" s="4" t="s">
        <v>373</v>
      </c>
      <c r="C1225" s="47" t="n">
        <v>733.56</v>
      </c>
      <c r="D1225" s="48" t="n">
        <v>1579.49</v>
      </c>
      <c r="E1225" s="49" t="n">
        <f aca="false">D1225-cover</f>
        <v>1578.29</v>
      </c>
      <c r="F1225" s="50" t="n">
        <f aca="false">'Z6 Nkangamo-Uhuru'!S18-'Z6 Nkangamo-Uhuru'!P18*C1225/'Z6 Nkangamo-Uhuru'!G18</f>
        <v>1737.08574851653</v>
      </c>
      <c r="G1225" s="51" t="n">
        <f aca="false">'Z6 Nkangamo-Uhuru'!$B$8-E1225</f>
        <v>128.21</v>
      </c>
      <c r="H1225" s="52" t="n">
        <f aca="false">F1225-E1225</f>
        <v>158.795748516533</v>
      </c>
      <c r="I1225" s="52" t="n">
        <f aca="false">MAX(H1225,G1225)</f>
        <v>158.795748516533</v>
      </c>
      <c r="J1225" s="4" t="str">
        <f aca="false">IFERROR("PN"&amp;SMALL(PN_list,COUNTIF(PN_list,"&lt;"&amp;I1225*bar_per_m)+1),"&gt; max PN")</f>
        <v>PN16</v>
      </c>
      <c r="K1225" s="4" t="str">
        <f aca="false">IF(L1225="no","end at tank",IF(H1225&lt;0,"NEGATIVE",IF(H1225&lt;p_min-0.005,"low","OK")))</f>
        <v>OK</v>
      </c>
      <c r="L1225" s="4" t="s">
        <v>414</v>
      </c>
    </row>
    <row r="1226" customFormat="false" ht="15" hidden="false" customHeight="false" outlineLevel="0" collapsed="false">
      <c r="A1226" s="4" t="s">
        <v>44</v>
      </c>
      <c r="B1226" s="4" t="s">
        <v>373</v>
      </c>
      <c r="C1226" s="47" t="n">
        <v>753.56</v>
      </c>
      <c r="D1226" s="48" t="n">
        <v>1579.82</v>
      </c>
      <c r="E1226" s="49" t="n">
        <f aca="false">D1226-cover</f>
        <v>1578.62</v>
      </c>
      <c r="F1226" s="50" t="n">
        <f aca="false">'Z6 Nkangamo-Uhuru'!S18-'Z6 Nkangamo-Uhuru'!P18*C1226/'Z6 Nkangamo-Uhuru'!G18</f>
        <v>1737.05459521359</v>
      </c>
      <c r="G1226" s="51" t="n">
        <f aca="false">'Z6 Nkangamo-Uhuru'!$B$8-E1226</f>
        <v>127.88</v>
      </c>
      <c r="H1226" s="52" t="n">
        <f aca="false">F1226-E1226</f>
        <v>158.434595213586</v>
      </c>
      <c r="I1226" s="52" t="n">
        <f aca="false">MAX(H1226,G1226)</f>
        <v>158.434595213586</v>
      </c>
      <c r="J1226" s="4" t="str">
        <f aca="false">IFERROR("PN"&amp;SMALL(PN_list,COUNTIF(PN_list,"&lt;"&amp;I1226*bar_per_m)+1),"&gt; max PN")</f>
        <v>PN16</v>
      </c>
      <c r="K1226" s="4" t="str">
        <f aca="false">IF(L1226="no","end at tank",IF(H1226&lt;0,"NEGATIVE",IF(H1226&lt;p_min-0.005,"low","OK")))</f>
        <v>OK</v>
      </c>
      <c r="L1226" s="4" t="s">
        <v>414</v>
      </c>
    </row>
    <row r="1227" customFormat="false" ht="15" hidden="false" customHeight="false" outlineLevel="0" collapsed="false">
      <c r="A1227" s="4" t="s">
        <v>44</v>
      </c>
      <c r="B1227" s="4" t="s">
        <v>373</v>
      </c>
      <c r="C1227" s="47" t="n">
        <v>773.58</v>
      </c>
      <c r="D1227" s="48" t="n">
        <v>1580.7</v>
      </c>
      <c r="E1227" s="49" t="n">
        <f aca="false">D1227-cover</f>
        <v>1579.5</v>
      </c>
      <c r="F1227" s="50" t="n">
        <f aca="false">'Z6 Nkangamo-Uhuru'!S18-'Z6 Nkangamo-Uhuru'!P18*C1227/'Z6 Nkangamo-Uhuru'!G18</f>
        <v>1737.02341075734</v>
      </c>
      <c r="G1227" s="51" t="n">
        <f aca="false">'Z6 Nkangamo-Uhuru'!$B$8-E1227</f>
        <v>127</v>
      </c>
      <c r="H1227" s="52" t="n">
        <f aca="false">F1227-E1227</f>
        <v>157.523410757336</v>
      </c>
      <c r="I1227" s="52" t="n">
        <f aca="false">MAX(H1227,G1227)</f>
        <v>157.523410757336</v>
      </c>
      <c r="J1227" s="4" t="str">
        <f aca="false">IFERROR("PN"&amp;SMALL(PN_list,COUNTIF(PN_list,"&lt;"&amp;I1227*bar_per_m)+1),"&gt; max PN")</f>
        <v>PN16</v>
      </c>
      <c r="K1227" s="4" t="str">
        <f aca="false">IF(L1227="no","end at tank",IF(H1227&lt;0,"NEGATIVE",IF(H1227&lt;p_min-0.005,"low","OK")))</f>
        <v>OK</v>
      </c>
      <c r="L1227" s="4" t="s">
        <v>414</v>
      </c>
    </row>
    <row r="1228" customFormat="false" ht="15" hidden="false" customHeight="false" outlineLevel="0" collapsed="false">
      <c r="A1228" s="4" t="s">
        <v>44</v>
      </c>
      <c r="B1228" s="4" t="s">
        <v>373</v>
      </c>
      <c r="C1228" s="47" t="n">
        <v>793.59</v>
      </c>
      <c r="D1228" s="48" t="n">
        <v>1581.4</v>
      </c>
      <c r="E1228" s="49" t="n">
        <f aca="false">D1228-cover</f>
        <v>1580.2</v>
      </c>
      <c r="F1228" s="50" t="n">
        <f aca="false">'Z6 Nkangamo-Uhuru'!S18-'Z6 Nkangamo-Uhuru'!P18*C1228/'Z6 Nkangamo-Uhuru'!G18</f>
        <v>1736.99224187774</v>
      </c>
      <c r="G1228" s="51" t="n">
        <f aca="false">'Z6 Nkangamo-Uhuru'!$B$8-E1228</f>
        <v>126.3</v>
      </c>
      <c r="H1228" s="52" t="n">
        <f aca="false">F1228-E1228</f>
        <v>156.792241877738</v>
      </c>
      <c r="I1228" s="52" t="n">
        <f aca="false">MAX(H1228,G1228)</f>
        <v>156.792241877738</v>
      </c>
      <c r="J1228" s="4" t="str">
        <f aca="false">IFERROR("PN"&amp;SMALL(PN_list,COUNTIF(PN_list,"&lt;"&amp;I1228*bar_per_m)+1),"&gt; max PN")</f>
        <v>PN16</v>
      </c>
      <c r="K1228" s="4" t="str">
        <f aca="false">IF(L1228="no","end at tank",IF(H1228&lt;0,"NEGATIVE",IF(H1228&lt;p_min-0.005,"low","OK")))</f>
        <v>OK</v>
      </c>
      <c r="L1228" s="4" t="s">
        <v>414</v>
      </c>
    </row>
    <row r="1229" customFormat="false" ht="15" hidden="false" customHeight="false" outlineLevel="0" collapsed="false">
      <c r="A1229" s="4" t="s">
        <v>44</v>
      </c>
      <c r="B1229" s="4" t="s">
        <v>373</v>
      </c>
      <c r="C1229" s="47" t="n">
        <v>813.6</v>
      </c>
      <c r="D1229" s="48" t="n">
        <v>1581.53</v>
      </c>
      <c r="E1229" s="49" t="n">
        <f aca="false">D1229-cover</f>
        <v>1580.33</v>
      </c>
      <c r="F1229" s="50" t="n">
        <f aca="false">'Z6 Nkangamo-Uhuru'!S18-'Z6 Nkangamo-Uhuru'!P18*C1229/'Z6 Nkangamo-Uhuru'!G18</f>
        <v>1736.96107299814</v>
      </c>
      <c r="G1229" s="51" t="n">
        <f aca="false">'Z6 Nkangamo-Uhuru'!$B$8-E1229</f>
        <v>126.17</v>
      </c>
      <c r="H1229" s="52" t="n">
        <f aca="false">F1229-E1229</f>
        <v>156.63107299814</v>
      </c>
      <c r="I1229" s="52" t="n">
        <f aca="false">MAX(H1229,G1229)</f>
        <v>156.63107299814</v>
      </c>
      <c r="J1229" s="4" t="str">
        <f aca="false">IFERROR("PN"&amp;SMALL(PN_list,COUNTIF(PN_list,"&lt;"&amp;I1229*bar_per_m)+1),"&gt; max PN")</f>
        <v>PN16</v>
      </c>
      <c r="K1229" s="4" t="str">
        <f aca="false">IF(L1229="no","end at tank",IF(H1229&lt;0,"NEGATIVE",IF(H1229&lt;p_min-0.005,"low","OK")))</f>
        <v>OK</v>
      </c>
      <c r="L1229" s="4" t="s">
        <v>414</v>
      </c>
    </row>
    <row r="1230" customFormat="false" ht="15" hidden="false" customHeight="false" outlineLevel="0" collapsed="false">
      <c r="A1230" s="4" t="s">
        <v>44</v>
      </c>
      <c r="B1230" s="4" t="s">
        <v>373</v>
      </c>
      <c r="C1230" s="47" t="n">
        <v>833.6</v>
      </c>
      <c r="D1230" s="48" t="n">
        <v>1581.72</v>
      </c>
      <c r="E1230" s="49" t="n">
        <f aca="false">D1230-cover</f>
        <v>1580.52</v>
      </c>
      <c r="F1230" s="50" t="n">
        <f aca="false">'Z6 Nkangamo-Uhuru'!S18-'Z6 Nkangamo-Uhuru'!P18*C1230/'Z6 Nkangamo-Uhuru'!G18</f>
        <v>1736.92991969519</v>
      </c>
      <c r="G1230" s="51" t="n">
        <f aca="false">'Z6 Nkangamo-Uhuru'!$B$8-E1230</f>
        <v>125.98</v>
      </c>
      <c r="H1230" s="52" t="n">
        <f aca="false">F1230-E1230</f>
        <v>156.409919695193</v>
      </c>
      <c r="I1230" s="52" t="n">
        <f aca="false">MAX(H1230,G1230)</f>
        <v>156.409919695193</v>
      </c>
      <c r="J1230" s="4" t="str">
        <f aca="false">IFERROR("PN"&amp;SMALL(PN_list,COUNTIF(PN_list,"&lt;"&amp;I1230*bar_per_m)+1),"&gt; max PN")</f>
        <v>PN16</v>
      </c>
      <c r="K1230" s="4" t="str">
        <f aca="false">IF(L1230="no","end at tank",IF(H1230&lt;0,"NEGATIVE",IF(H1230&lt;p_min-0.005,"low","OK")))</f>
        <v>OK</v>
      </c>
      <c r="L1230" s="4" t="s">
        <v>414</v>
      </c>
    </row>
    <row r="1231" customFormat="false" ht="15" hidden="false" customHeight="false" outlineLevel="0" collapsed="false">
      <c r="A1231" s="4" t="s">
        <v>44</v>
      </c>
      <c r="B1231" s="4" t="s">
        <v>373</v>
      </c>
      <c r="C1231" s="47" t="n">
        <v>853.6</v>
      </c>
      <c r="D1231" s="48" t="n">
        <v>1581.76</v>
      </c>
      <c r="E1231" s="49" t="n">
        <f aca="false">D1231-cover</f>
        <v>1580.56</v>
      </c>
      <c r="F1231" s="50" t="n">
        <f aca="false">'Z6 Nkangamo-Uhuru'!S18-'Z6 Nkangamo-Uhuru'!P18*C1231/'Z6 Nkangamo-Uhuru'!G18</f>
        <v>1736.89876639225</v>
      </c>
      <c r="G1231" s="51" t="n">
        <f aca="false">'Z6 Nkangamo-Uhuru'!$B$8-E1231</f>
        <v>125.94</v>
      </c>
      <c r="H1231" s="52" t="n">
        <f aca="false">F1231-E1231</f>
        <v>156.338766392246</v>
      </c>
      <c r="I1231" s="52" t="n">
        <f aca="false">MAX(H1231,G1231)</f>
        <v>156.338766392246</v>
      </c>
      <c r="J1231" s="4" t="str">
        <f aca="false">IFERROR("PN"&amp;SMALL(PN_list,COUNTIF(PN_list,"&lt;"&amp;I1231*bar_per_m)+1),"&gt; max PN")</f>
        <v>PN16</v>
      </c>
      <c r="K1231" s="4" t="str">
        <f aca="false">IF(L1231="no","end at tank",IF(H1231&lt;0,"NEGATIVE",IF(H1231&lt;p_min-0.005,"low","OK")))</f>
        <v>OK</v>
      </c>
      <c r="L1231" s="4" t="s">
        <v>414</v>
      </c>
    </row>
    <row r="1232" customFormat="false" ht="15" hidden="false" customHeight="false" outlineLevel="0" collapsed="false">
      <c r="A1232" s="4" t="s">
        <v>44</v>
      </c>
      <c r="B1232" s="4" t="s">
        <v>373</v>
      </c>
      <c r="C1232" s="47" t="n">
        <v>873.6</v>
      </c>
      <c r="D1232" s="48" t="n">
        <v>1582.14</v>
      </c>
      <c r="E1232" s="49" t="n">
        <f aca="false">D1232-cover</f>
        <v>1580.94</v>
      </c>
      <c r="F1232" s="50" t="n">
        <f aca="false">'Z6 Nkangamo-Uhuru'!S18-'Z6 Nkangamo-Uhuru'!P18*C1232/'Z6 Nkangamo-Uhuru'!G18</f>
        <v>1736.8676130893</v>
      </c>
      <c r="G1232" s="51" t="n">
        <f aca="false">'Z6 Nkangamo-Uhuru'!$B$8-E1232</f>
        <v>125.56</v>
      </c>
      <c r="H1232" s="52" t="n">
        <f aca="false">F1232-E1232</f>
        <v>155.927613089299</v>
      </c>
      <c r="I1232" s="52" t="n">
        <f aca="false">MAX(H1232,G1232)</f>
        <v>155.927613089299</v>
      </c>
      <c r="J1232" s="4" t="str">
        <f aca="false">IFERROR("PN"&amp;SMALL(PN_list,COUNTIF(PN_list,"&lt;"&amp;I1232*bar_per_m)+1),"&gt; max PN")</f>
        <v>PN16</v>
      </c>
      <c r="K1232" s="4" t="str">
        <f aca="false">IF(L1232="no","end at tank",IF(H1232&lt;0,"NEGATIVE",IF(H1232&lt;p_min-0.005,"low","OK")))</f>
        <v>OK</v>
      </c>
      <c r="L1232" s="4" t="s">
        <v>414</v>
      </c>
    </row>
    <row r="1233" customFormat="false" ht="15" hidden="false" customHeight="false" outlineLevel="0" collapsed="false">
      <c r="A1233" s="4" t="s">
        <v>44</v>
      </c>
      <c r="B1233" s="4" t="s">
        <v>373</v>
      </c>
      <c r="C1233" s="47" t="n">
        <v>893.6</v>
      </c>
      <c r="D1233" s="48" t="n">
        <v>1582.03</v>
      </c>
      <c r="E1233" s="49" t="n">
        <f aca="false">D1233-cover</f>
        <v>1580.83</v>
      </c>
      <c r="F1233" s="50" t="n">
        <f aca="false">'Z6 Nkangamo-Uhuru'!S18-'Z6 Nkangamo-Uhuru'!P18*C1233/'Z6 Nkangamo-Uhuru'!G18</f>
        <v>1736.83645978635</v>
      </c>
      <c r="G1233" s="51" t="n">
        <f aca="false">'Z6 Nkangamo-Uhuru'!$B$8-E1233</f>
        <v>125.67</v>
      </c>
      <c r="H1233" s="52" t="n">
        <f aca="false">F1233-E1233</f>
        <v>156.006459786352</v>
      </c>
      <c r="I1233" s="52" t="n">
        <f aca="false">MAX(H1233,G1233)</f>
        <v>156.006459786352</v>
      </c>
      <c r="J1233" s="4" t="str">
        <f aca="false">IFERROR("PN"&amp;SMALL(PN_list,COUNTIF(PN_list,"&lt;"&amp;I1233*bar_per_m)+1),"&gt; max PN")</f>
        <v>PN16</v>
      </c>
      <c r="K1233" s="4" t="str">
        <f aca="false">IF(L1233="no","end at tank",IF(H1233&lt;0,"NEGATIVE",IF(H1233&lt;p_min-0.005,"low","OK")))</f>
        <v>OK</v>
      </c>
      <c r="L1233" s="4" t="s">
        <v>414</v>
      </c>
    </row>
    <row r="1234" customFormat="false" ht="15" hidden="false" customHeight="false" outlineLevel="0" collapsed="false">
      <c r="A1234" s="4" t="s">
        <v>44</v>
      </c>
      <c r="B1234" s="4" t="s">
        <v>373</v>
      </c>
      <c r="C1234" s="47" t="n">
        <v>913.6</v>
      </c>
      <c r="D1234" s="48" t="n">
        <v>1582.05</v>
      </c>
      <c r="E1234" s="49" t="n">
        <f aca="false">D1234-cover</f>
        <v>1580.85</v>
      </c>
      <c r="F1234" s="50" t="n">
        <f aca="false">'Z6 Nkangamo-Uhuru'!S18-'Z6 Nkangamo-Uhuru'!P18*C1234/'Z6 Nkangamo-Uhuru'!G18</f>
        <v>1736.80530648341</v>
      </c>
      <c r="G1234" s="51" t="n">
        <f aca="false">'Z6 Nkangamo-Uhuru'!$B$8-E1234</f>
        <v>125.65</v>
      </c>
      <c r="H1234" s="52" t="n">
        <f aca="false">F1234-E1234</f>
        <v>155.955306483406</v>
      </c>
      <c r="I1234" s="52" t="n">
        <f aca="false">MAX(H1234,G1234)</f>
        <v>155.955306483406</v>
      </c>
      <c r="J1234" s="4" t="str">
        <f aca="false">IFERROR("PN"&amp;SMALL(PN_list,COUNTIF(PN_list,"&lt;"&amp;I1234*bar_per_m)+1),"&gt; max PN")</f>
        <v>PN16</v>
      </c>
      <c r="K1234" s="4" t="str">
        <f aca="false">IF(L1234="no","end at tank",IF(H1234&lt;0,"NEGATIVE",IF(H1234&lt;p_min-0.005,"low","OK")))</f>
        <v>OK</v>
      </c>
      <c r="L1234" s="4" t="s">
        <v>414</v>
      </c>
    </row>
    <row r="1235" customFormat="false" ht="15" hidden="false" customHeight="false" outlineLevel="0" collapsed="false">
      <c r="A1235" s="4" t="s">
        <v>44</v>
      </c>
      <c r="B1235" s="4" t="s">
        <v>373</v>
      </c>
      <c r="C1235" s="47" t="n">
        <v>933.6</v>
      </c>
      <c r="D1235" s="48" t="n">
        <v>1581.82</v>
      </c>
      <c r="E1235" s="49" t="n">
        <f aca="false">D1235-cover</f>
        <v>1580.62</v>
      </c>
      <c r="F1235" s="50" t="n">
        <f aca="false">'Z6 Nkangamo-Uhuru'!S18-'Z6 Nkangamo-Uhuru'!P18*C1235/'Z6 Nkangamo-Uhuru'!G18</f>
        <v>1736.77415318046</v>
      </c>
      <c r="G1235" s="51" t="n">
        <f aca="false">'Z6 Nkangamo-Uhuru'!$B$8-E1235</f>
        <v>125.88</v>
      </c>
      <c r="H1235" s="52" t="n">
        <f aca="false">F1235-E1235</f>
        <v>156.154153180459</v>
      </c>
      <c r="I1235" s="52" t="n">
        <f aca="false">MAX(H1235,G1235)</f>
        <v>156.154153180459</v>
      </c>
      <c r="J1235" s="4" t="str">
        <f aca="false">IFERROR("PN"&amp;SMALL(PN_list,COUNTIF(PN_list,"&lt;"&amp;I1235*bar_per_m)+1),"&gt; max PN")</f>
        <v>PN16</v>
      </c>
      <c r="K1235" s="4" t="str">
        <f aca="false">IF(L1235="no","end at tank",IF(H1235&lt;0,"NEGATIVE",IF(H1235&lt;p_min-0.005,"low","OK")))</f>
        <v>OK</v>
      </c>
      <c r="L1235" s="4" t="s">
        <v>414</v>
      </c>
    </row>
    <row r="1236" customFormat="false" ht="15" hidden="false" customHeight="false" outlineLevel="0" collapsed="false">
      <c r="A1236" s="4" t="s">
        <v>44</v>
      </c>
      <c r="B1236" s="4" t="s">
        <v>373</v>
      </c>
      <c r="C1236" s="47" t="n">
        <v>953.6</v>
      </c>
      <c r="D1236" s="48" t="n">
        <v>1581.68</v>
      </c>
      <c r="E1236" s="49" t="n">
        <f aca="false">D1236-cover</f>
        <v>1580.48</v>
      </c>
      <c r="F1236" s="50" t="n">
        <f aca="false">'Z6 Nkangamo-Uhuru'!S18-'Z6 Nkangamo-Uhuru'!P18*C1236/'Z6 Nkangamo-Uhuru'!G18</f>
        <v>1736.74299987751</v>
      </c>
      <c r="G1236" s="51" t="n">
        <f aca="false">'Z6 Nkangamo-Uhuru'!$B$8-E1236</f>
        <v>126.02</v>
      </c>
      <c r="H1236" s="52" t="n">
        <f aca="false">F1236-E1236</f>
        <v>156.262999877512</v>
      </c>
      <c r="I1236" s="52" t="n">
        <f aca="false">MAX(H1236,G1236)</f>
        <v>156.262999877512</v>
      </c>
      <c r="J1236" s="4" t="str">
        <f aca="false">IFERROR("PN"&amp;SMALL(PN_list,COUNTIF(PN_list,"&lt;"&amp;I1236*bar_per_m)+1),"&gt; max PN")</f>
        <v>PN16</v>
      </c>
      <c r="K1236" s="4" t="str">
        <f aca="false">IF(L1236="no","end at tank",IF(H1236&lt;0,"NEGATIVE",IF(H1236&lt;p_min-0.005,"low","OK")))</f>
        <v>OK</v>
      </c>
      <c r="L1236" s="4" t="s">
        <v>414</v>
      </c>
    </row>
    <row r="1237" customFormat="false" ht="15" hidden="false" customHeight="false" outlineLevel="0" collapsed="false">
      <c r="A1237" s="4" t="s">
        <v>44</v>
      </c>
      <c r="B1237" s="4" t="s">
        <v>373</v>
      </c>
      <c r="C1237" s="47" t="n">
        <v>973.6</v>
      </c>
      <c r="D1237" s="48" t="n">
        <v>1581.65</v>
      </c>
      <c r="E1237" s="49" t="n">
        <f aca="false">D1237-cover</f>
        <v>1580.45</v>
      </c>
      <c r="F1237" s="50" t="n">
        <f aca="false">'Z6 Nkangamo-Uhuru'!S18-'Z6 Nkangamo-Uhuru'!P18*C1237/'Z6 Nkangamo-Uhuru'!G18</f>
        <v>1736.71184657457</v>
      </c>
      <c r="G1237" s="51" t="n">
        <f aca="false">'Z6 Nkangamo-Uhuru'!$B$8-E1237</f>
        <v>126.05</v>
      </c>
      <c r="H1237" s="52" t="n">
        <f aca="false">F1237-E1237</f>
        <v>156.261846574565</v>
      </c>
      <c r="I1237" s="52" t="n">
        <f aca="false">MAX(H1237,G1237)</f>
        <v>156.261846574565</v>
      </c>
      <c r="J1237" s="4" t="str">
        <f aca="false">IFERROR("PN"&amp;SMALL(PN_list,COUNTIF(PN_list,"&lt;"&amp;I1237*bar_per_m)+1),"&gt; max PN")</f>
        <v>PN16</v>
      </c>
      <c r="K1237" s="4" t="str">
        <f aca="false">IF(L1237="no","end at tank",IF(H1237&lt;0,"NEGATIVE",IF(H1237&lt;p_min-0.005,"low","OK")))</f>
        <v>OK</v>
      </c>
      <c r="L1237" s="4" t="s">
        <v>414</v>
      </c>
    </row>
    <row r="1238" customFormat="false" ht="15" hidden="false" customHeight="false" outlineLevel="0" collapsed="false">
      <c r="A1238" s="4" t="s">
        <v>44</v>
      </c>
      <c r="B1238" s="4" t="s">
        <v>373</v>
      </c>
      <c r="C1238" s="47" t="n">
        <v>993.6</v>
      </c>
      <c r="D1238" s="48" t="n">
        <v>1581.56</v>
      </c>
      <c r="E1238" s="49" t="n">
        <f aca="false">D1238-cover</f>
        <v>1580.36</v>
      </c>
      <c r="F1238" s="50" t="n">
        <f aca="false">'Z6 Nkangamo-Uhuru'!S18-'Z6 Nkangamo-Uhuru'!P18*C1238/'Z6 Nkangamo-Uhuru'!G18</f>
        <v>1736.68069327162</v>
      </c>
      <c r="G1238" s="51" t="n">
        <f aca="false">'Z6 Nkangamo-Uhuru'!$B$8-E1238</f>
        <v>126.14</v>
      </c>
      <c r="H1238" s="52" t="n">
        <f aca="false">F1238-E1238</f>
        <v>156.320693271618</v>
      </c>
      <c r="I1238" s="52" t="n">
        <f aca="false">MAX(H1238,G1238)</f>
        <v>156.320693271618</v>
      </c>
      <c r="J1238" s="4" t="str">
        <f aca="false">IFERROR("PN"&amp;SMALL(PN_list,COUNTIF(PN_list,"&lt;"&amp;I1238*bar_per_m)+1),"&gt; max PN")</f>
        <v>PN16</v>
      </c>
      <c r="K1238" s="4" t="str">
        <f aca="false">IF(L1238="no","end at tank",IF(H1238&lt;0,"NEGATIVE",IF(H1238&lt;p_min-0.005,"low","OK")))</f>
        <v>OK</v>
      </c>
      <c r="L1238" s="4" t="s">
        <v>414</v>
      </c>
    </row>
    <row r="1239" customFormat="false" ht="15" hidden="false" customHeight="false" outlineLevel="0" collapsed="false">
      <c r="A1239" s="4" t="s">
        <v>44</v>
      </c>
      <c r="B1239" s="4" t="s">
        <v>373</v>
      </c>
      <c r="C1239" s="47" t="n">
        <v>1013.6</v>
      </c>
      <c r="D1239" s="48" t="n">
        <v>1581.36</v>
      </c>
      <c r="E1239" s="49" t="n">
        <f aca="false">D1239-cover</f>
        <v>1580.16</v>
      </c>
      <c r="F1239" s="50" t="n">
        <f aca="false">'Z6 Nkangamo-Uhuru'!S18-'Z6 Nkangamo-Uhuru'!P18*C1239/'Z6 Nkangamo-Uhuru'!G18</f>
        <v>1736.64953996867</v>
      </c>
      <c r="G1239" s="51" t="n">
        <f aca="false">'Z6 Nkangamo-Uhuru'!$B$8-E1239</f>
        <v>126.34</v>
      </c>
      <c r="H1239" s="52" t="n">
        <f aca="false">F1239-E1239</f>
        <v>156.489539968672</v>
      </c>
      <c r="I1239" s="52" t="n">
        <f aca="false">MAX(H1239,G1239)</f>
        <v>156.489539968672</v>
      </c>
      <c r="J1239" s="4" t="str">
        <f aca="false">IFERROR("PN"&amp;SMALL(PN_list,COUNTIF(PN_list,"&lt;"&amp;I1239*bar_per_m)+1),"&gt; max PN")</f>
        <v>PN16</v>
      </c>
      <c r="K1239" s="4" t="str">
        <f aca="false">IF(L1239="no","end at tank",IF(H1239&lt;0,"NEGATIVE",IF(H1239&lt;p_min-0.005,"low","OK")))</f>
        <v>OK</v>
      </c>
      <c r="L1239" s="4" t="s">
        <v>414</v>
      </c>
    </row>
    <row r="1240" customFormat="false" ht="15" hidden="false" customHeight="false" outlineLevel="0" collapsed="false">
      <c r="A1240" s="4" t="s">
        <v>44</v>
      </c>
      <c r="B1240" s="4" t="s">
        <v>373</v>
      </c>
      <c r="C1240" s="47" t="n">
        <v>1033.6</v>
      </c>
      <c r="D1240" s="48" t="n">
        <v>1581.11</v>
      </c>
      <c r="E1240" s="49" t="n">
        <f aca="false">D1240-cover</f>
        <v>1579.91</v>
      </c>
      <c r="F1240" s="50" t="n">
        <f aca="false">'Z6 Nkangamo-Uhuru'!S18-'Z6 Nkangamo-Uhuru'!P18*C1240/'Z6 Nkangamo-Uhuru'!G18</f>
        <v>1736.61838666572</v>
      </c>
      <c r="G1240" s="51" t="n">
        <f aca="false">'Z6 Nkangamo-Uhuru'!$B$8-E1240</f>
        <v>126.59</v>
      </c>
      <c r="H1240" s="52" t="n">
        <f aca="false">F1240-E1240</f>
        <v>156.708386665725</v>
      </c>
      <c r="I1240" s="52" t="n">
        <f aca="false">MAX(H1240,G1240)</f>
        <v>156.708386665725</v>
      </c>
      <c r="J1240" s="4" t="str">
        <f aca="false">IFERROR("PN"&amp;SMALL(PN_list,COUNTIF(PN_list,"&lt;"&amp;I1240*bar_per_m)+1),"&gt; max PN")</f>
        <v>PN16</v>
      </c>
      <c r="K1240" s="4" t="str">
        <f aca="false">IF(L1240="no","end at tank",IF(H1240&lt;0,"NEGATIVE",IF(H1240&lt;p_min-0.005,"low","OK")))</f>
        <v>OK</v>
      </c>
      <c r="L1240" s="4" t="s">
        <v>414</v>
      </c>
    </row>
    <row r="1241" customFormat="false" ht="15" hidden="false" customHeight="false" outlineLevel="0" collapsed="false">
      <c r="A1241" s="4" t="s">
        <v>44</v>
      </c>
      <c r="B1241" s="4" t="s">
        <v>373</v>
      </c>
      <c r="C1241" s="47" t="n">
        <v>1053.61</v>
      </c>
      <c r="D1241" s="48" t="n">
        <v>1580.96</v>
      </c>
      <c r="E1241" s="49" t="n">
        <f aca="false">D1241-cover</f>
        <v>1579.76</v>
      </c>
      <c r="F1241" s="50" t="n">
        <f aca="false">'Z6 Nkangamo-Uhuru'!S18-'Z6 Nkangamo-Uhuru'!P18*C1241/'Z6 Nkangamo-Uhuru'!G18</f>
        <v>1736.58721778613</v>
      </c>
      <c r="G1241" s="51" t="n">
        <f aca="false">'Z6 Nkangamo-Uhuru'!$B$8-E1241</f>
        <v>126.74</v>
      </c>
      <c r="H1241" s="52" t="n">
        <f aca="false">F1241-E1241</f>
        <v>156.827217786126</v>
      </c>
      <c r="I1241" s="52" t="n">
        <f aca="false">MAX(H1241,G1241)</f>
        <v>156.827217786126</v>
      </c>
      <c r="J1241" s="4" t="str">
        <f aca="false">IFERROR("PN"&amp;SMALL(PN_list,COUNTIF(PN_list,"&lt;"&amp;I1241*bar_per_m)+1),"&gt; max PN")</f>
        <v>PN16</v>
      </c>
      <c r="K1241" s="4" t="str">
        <f aca="false">IF(L1241="no","end at tank",IF(H1241&lt;0,"NEGATIVE",IF(H1241&lt;p_min-0.005,"low","OK")))</f>
        <v>OK</v>
      </c>
      <c r="L1241" s="4" t="s">
        <v>414</v>
      </c>
    </row>
    <row r="1242" customFormat="false" ht="15" hidden="false" customHeight="false" outlineLevel="0" collapsed="false">
      <c r="A1242" s="4" t="s">
        <v>44</v>
      </c>
      <c r="B1242" s="4" t="s">
        <v>373</v>
      </c>
      <c r="C1242" s="47" t="n">
        <v>1073.61</v>
      </c>
      <c r="D1242" s="48" t="n">
        <v>1580.84</v>
      </c>
      <c r="E1242" s="49" t="n">
        <f aca="false">D1242-cover</f>
        <v>1579.64</v>
      </c>
      <c r="F1242" s="50" t="n">
        <f aca="false">'Z6 Nkangamo-Uhuru'!S18-'Z6 Nkangamo-Uhuru'!P18*C1242/'Z6 Nkangamo-Uhuru'!G18</f>
        <v>1736.55606448318</v>
      </c>
      <c r="G1242" s="51" t="n">
        <f aca="false">'Z6 Nkangamo-Uhuru'!$B$8-E1242</f>
        <v>126.86</v>
      </c>
      <c r="H1242" s="52" t="n">
        <f aca="false">F1242-E1242</f>
        <v>156.91606448318</v>
      </c>
      <c r="I1242" s="52" t="n">
        <f aca="false">MAX(H1242,G1242)</f>
        <v>156.91606448318</v>
      </c>
      <c r="J1242" s="4" t="str">
        <f aca="false">IFERROR("PN"&amp;SMALL(PN_list,COUNTIF(PN_list,"&lt;"&amp;I1242*bar_per_m)+1),"&gt; max PN")</f>
        <v>PN16</v>
      </c>
      <c r="K1242" s="4" t="str">
        <f aca="false">IF(L1242="no","end at tank",IF(H1242&lt;0,"NEGATIVE",IF(H1242&lt;p_min-0.005,"low","OK")))</f>
        <v>OK</v>
      </c>
      <c r="L1242" s="4" t="s">
        <v>414</v>
      </c>
    </row>
    <row r="1243" customFormat="false" ht="15" hidden="false" customHeight="false" outlineLevel="0" collapsed="false">
      <c r="A1243" s="4" t="s">
        <v>44</v>
      </c>
      <c r="B1243" s="4" t="s">
        <v>373</v>
      </c>
      <c r="C1243" s="47" t="n">
        <v>1093.61</v>
      </c>
      <c r="D1243" s="48" t="n">
        <v>1581.03</v>
      </c>
      <c r="E1243" s="49" t="n">
        <f aca="false">D1243-cover</f>
        <v>1579.83</v>
      </c>
      <c r="F1243" s="50" t="n">
        <f aca="false">'Z6 Nkangamo-Uhuru'!S18-'Z6 Nkangamo-Uhuru'!P18*C1243/'Z6 Nkangamo-Uhuru'!G18</f>
        <v>1736.52491118023</v>
      </c>
      <c r="G1243" s="51" t="n">
        <f aca="false">'Z6 Nkangamo-Uhuru'!$B$8-E1243</f>
        <v>126.67</v>
      </c>
      <c r="H1243" s="52" t="n">
        <f aca="false">F1243-E1243</f>
        <v>156.694911180233</v>
      </c>
      <c r="I1243" s="52" t="n">
        <f aca="false">MAX(H1243,G1243)</f>
        <v>156.694911180233</v>
      </c>
      <c r="J1243" s="4" t="str">
        <f aca="false">IFERROR("PN"&amp;SMALL(PN_list,COUNTIF(PN_list,"&lt;"&amp;I1243*bar_per_m)+1),"&gt; max PN")</f>
        <v>PN16</v>
      </c>
      <c r="K1243" s="4" t="str">
        <f aca="false">IF(L1243="no","end at tank",IF(H1243&lt;0,"NEGATIVE",IF(H1243&lt;p_min-0.005,"low","OK")))</f>
        <v>OK</v>
      </c>
      <c r="L1243" s="4" t="s">
        <v>414</v>
      </c>
    </row>
    <row r="1244" customFormat="false" ht="15" hidden="false" customHeight="false" outlineLevel="0" collapsed="false">
      <c r="A1244" s="4" t="s">
        <v>44</v>
      </c>
      <c r="B1244" s="4" t="s">
        <v>373</v>
      </c>
      <c r="C1244" s="47" t="n">
        <v>1112.79</v>
      </c>
      <c r="D1244" s="48" t="n">
        <v>1581.11</v>
      </c>
      <c r="E1244" s="49" t="n">
        <f aca="false">D1244-cover</f>
        <v>1579.91</v>
      </c>
      <c r="F1244" s="50" t="n">
        <f aca="false">'Z6 Nkangamo-Uhuru'!S18-'Z6 Nkangamo-Uhuru'!P18*C1244/'Z6 Nkangamo-Uhuru'!G18</f>
        <v>1736.49503516271</v>
      </c>
      <c r="G1244" s="51" t="n">
        <f aca="false">'Z6 Nkangamo-Uhuru'!$B$8-E1244</f>
        <v>126.59</v>
      </c>
      <c r="H1244" s="52" t="n">
        <f aca="false">F1244-E1244</f>
        <v>156.585035162707</v>
      </c>
      <c r="I1244" s="52" t="n">
        <f aca="false">MAX(H1244,G1244)</f>
        <v>156.585035162707</v>
      </c>
      <c r="J1244" s="4" t="str">
        <f aca="false">IFERROR("PN"&amp;SMALL(PN_list,COUNTIF(PN_list,"&lt;"&amp;I1244*bar_per_m)+1),"&gt; max PN")</f>
        <v>PN16</v>
      </c>
      <c r="K1244" s="4" t="str">
        <f aca="false">IF(L1244="no","end at tank",IF(H1244&lt;0,"NEGATIVE",IF(H1244&lt;p_min-0.005,"low","OK")))</f>
        <v>OK</v>
      </c>
      <c r="L1244" s="4" t="s">
        <v>414</v>
      </c>
    </row>
    <row r="1245" customFormat="false" ht="15" hidden="false" customHeight="false" outlineLevel="0" collapsed="false">
      <c r="A1245" s="4" t="s">
        <v>44</v>
      </c>
      <c r="B1245" s="4" t="s">
        <v>373</v>
      </c>
      <c r="C1245" s="47" t="n">
        <v>1132.79</v>
      </c>
      <c r="D1245" s="48" t="n">
        <v>1580.73</v>
      </c>
      <c r="E1245" s="49" t="n">
        <f aca="false">D1245-cover</f>
        <v>1579.53</v>
      </c>
      <c r="F1245" s="50" t="n">
        <f aca="false">'Z6 Nkangamo-Uhuru'!S18-'Z6 Nkangamo-Uhuru'!P18*C1245/'Z6 Nkangamo-Uhuru'!G18</f>
        <v>1736.46388185976</v>
      </c>
      <c r="G1245" s="51" t="n">
        <f aca="false">'Z6 Nkangamo-Uhuru'!$B$8-E1245</f>
        <v>126.97</v>
      </c>
      <c r="H1245" s="52" t="n">
        <f aca="false">F1245-E1245</f>
        <v>156.93388185976</v>
      </c>
      <c r="I1245" s="52" t="n">
        <f aca="false">MAX(H1245,G1245)</f>
        <v>156.93388185976</v>
      </c>
      <c r="J1245" s="4" t="str">
        <f aca="false">IFERROR("PN"&amp;SMALL(PN_list,COUNTIF(PN_list,"&lt;"&amp;I1245*bar_per_m)+1),"&gt; max PN")</f>
        <v>PN16</v>
      </c>
      <c r="K1245" s="4" t="str">
        <f aca="false">IF(L1245="no","end at tank",IF(H1245&lt;0,"NEGATIVE",IF(H1245&lt;p_min-0.005,"low","OK")))</f>
        <v>OK</v>
      </c>
      <c r="L1245" s="4" t="s">
        <v>414</v>
      </c>
    </row>
    <row r="1246" customFormat="false" ht="15" hidden="false" customHeight="false" outlineLevel="0" collapsed="false">
      <c r="A1246" s="4" t="s">
        <v>44</v>
      </c>
      <c r="B1246" s="4" t="s">
        <v>373</v>
      </c>
      <c r="C1246" s="47" t="n">
        <v>1152.79</v>
      </c>
      <c r="D1246" s="48" t="n">
        <v>1580.41</v>
      </c>
      <c r="E1246" s="49" t="n">
        <f aca="false">D1246-cover</f>
        <v>1579.21</v>
      </c>
      <c r="F1246" s="50" t="n">
        <f aca="false">'Z6 Nkangamo-Uhuru'!S18-'Z6 Nkangamo-Uhuru'!P18*C1246/'Z6 Nkangamo-Uhuru'!G18</f>
        <v>1736.43272855681</v>
      </c>
      <c r="G1246" s="51" t="n">
        <f aca="false">'Z6 Nkangamo-Uhuru'!$B$8-E1246</f>
        <v>127.29</v>
      </c>
      <c r="H1246" s="52" t="n">
        <f aca="false">F1246-E1246</f>
        <v>157.222728556813</v>
      </c>
      <c r="I1246" s="52" t="n">
        <f aca="false">MAX(H1246,G1246)</f>
        <v>157.222728556813</v>
      </c>
      <c r="J1246" s="4" t="str">
        <f aca="false">IFERROR("PN"&amp;SMALL(PN_list,COUNTIF(PN_list,"&lt;"&amp;I1246*bar_per_m)+1),"&gt; max PN")</f>
        <v>PN16</v>
      </c>
      <c r="K1246" s="4" t="str">
        <f aca="false">IF(L1246="no","end at tank",IF(H1246&lt;0,"NEGATIVE",IF(H1246&lt;p_min-0.005,"low","OK")))</f>
        <v>OK</v>
      </c>
      <c r="L1246" s="4" t="s">
        <v>414</v>
      </c>
    </row>
    <row r="1247" customFormat="false" ht="15" hidden="false" customHeight="false" outlineLevel="0" collapsed="false">
      <c r="A1247" s="4" t="s">
        <v>44</v>
      </c>
      <c r="B1247" s="4" t="s">
        <v>373</v>
      </c>
      <c r="C1247" s="47" t="n">
        <v>1172.79</v>
      </c>
      <c r="D1247" s="48" t="n">
        <v>1580.14</v>
      </c>
      <c r="E1247" s="49" t="n">
        <f aca="false">D1247-cover</f>
        <v>1578.94</v>
      </c>
      <c r="F1247" s="50" t="n">
        <f aca="false">'Z6 Nkangamo-Uhuru'!S18-'Z6 Nkangamo-Uhuru'!P18*C1247/'Z6 Nkangamo-Uhuru'!G18</f>
        <v>1736.40157525387</v>
      </c>
      <c r="G1247" s="51" t="n">
        <f aca="false">'Z6 Nkangamo-Uhuru'!$B$8-E1247</f>
        <v>127.56</v>
      </c>
      <c r="H1247" s="52" t="n">
        <f aca="false">F1247-E1247</f>
        <v>157.461575253866</v>
      </c>
      <c r="I1247" s="52" t="n">
        <f aca="false">MAX(H1247,G1247)</f>
        <v>157.461575253866</v>
      </c>
      <c r="J1247" s="4" t="str">
        <f aca="false">IFERROR("PN"&amp;SMALL(PN_list,COUNTIF(PN_list,"&lt;"&amp;I1247*bar_per_m)+1),"&gt; max PN")</f>
        <v>PN16</v>
      </c>
      <c r="K1247" s="4" t="str">
        <f aca="false">IF(L1247="no","end at tank",IF(H1247&lt;0,"NEGATIVE",IF(H1247&lt;p_min-0.005,"low","OK")))</f>
        <v>OK</v>
      </c>
      <c r="L1247" s="4" t="s">
        <v>414</v>
      </c>
    </row>
    <row r="1248" customFormat="false" ht="15" hidden="false" customHeight="false" outlineLevel="0" collapsed="false">
      <c r="A1248" s="4" t="s">
        <v>44</v>
      </c>
      <c r="B1248" s="4" t="s">
        <v>373</v>
      </c>
      <c r="C1248" s="47" t="n">
        <v>1192.8</v>
      </c>
      <c r="D1248" s="48" t="n">
        <v>1579.96</v>
      </c>
      <c r="E1248" s="49" t="n">
        <f aca="false">D1248-cover</f>
        <v>1578.76</v>
      </c>
      <c r="F1248" s="50" t="n">
        <f aca="false">'Z6 Nkangamo-Uhuru'!S18-'Z6 Nkangamo-Uhuru'!P18*C1248/'Z6 Nkangamo-Uhuru'!G18</f>
        <v>1736.37040637427</v>
      </c>
      <c r="G1248" s="51" t="n">
        <f aca="false">'Z6 Nkangamo-Uhuru'!$B$8-E1248</f>
        <v>127.74</v>
      </c>
      <c r="H1248" s="52" t="n">
        <f aca="false">F1248-E1248</f>
        <v>157.610406374268</v>
      </c>
      <c r="I1248" s="52" t="n">
        <f aca="false">MAX(H1248,G1248)</f>
        <v>157.610406374268</v>
      </c>
      <c r="J1248" s="4" t="str">
        <f aca="false">IFERROR("PN"&amp;SMALL(PN_list,COUNTIF(PN_list,"&lt;"&amp;I1248*bar_per_m)+1),"&gt; max PN")</f>
        <v>PN16</v>
      </c>
      <c r="K1248" s="4" t="str">
        <f aca="false">IF(L1248="no","end at tank",IF(H1248&lt;0,"NEGATIVE",IF(H1248&lt;p_min-0.005,"low","OK")))</f>
        <v>OK</v>
      </c>
      <c r="L1248" s="4" t="s">
        <v>414</v>
      </c>
    </row>
    <row r="1249" customFormat="false" ht="15" hidden="false" customHeight="false" outlineLevel="0" collapsed="false">
      <c r="A1249" s="4" t="s">
        <v>44</v>
      </c>
      <c r="B1249" s="4" t="s">
        <v>373</v>
      </c>
      <c r="C1249" s="47" t="n">
        <v>1212.8</v>
      </c>
      <c r="D1249" s="48" t="n">
        <v>1579.7</v>
      </c>
      <c r="E1249" s="49" t="n">
        <f aca="false">D1249-cover</f>
        <v>1578.5</v>
      </c>
      <c r="F1249" s="50" t="n">
        <f aca="false">'Z6 Nkangamo-Uhuru'!S18-'Z6 Nkangamo-Uhuru'!P18*C1249/'Z6 Nkangamo-Uhuru'!G18</f>
        <v>1736.33925307132</v>
      </c>
      <c r="G1249" s="51" t="n">
        <f aca="false">'Z6 Nkangamo-Uhuru'!$B$8-E1249</f>
        <v>128</v>
      </c>
      <c r="H1249" s="52" t="n">
        <f aca="false">F1249-E1249</f>
        <v>157.839253071321</v>
      </c>
      <c r="I1249" s="52" t="n">
        <f aca="false">MAX(H1249,G1249)</f>
        <v>157.839253071321</v>
      </c>
      <c r="J1249" s="4" t="str">
        <f aca="false">IFERROR("PN"&amp;SMALL(PN_list,COUNTIF(PN_list,"&lt;"&amp;I1249*bar_per_m)+1),"&gt; max PN")</f>
        <v>PN16</v>
      </c>
      <c r="K1249" s="4" t="str">
        <f aca="false">IF(L1249="no","end at tank",IF(H1249&lt;0,"NEGATIVE",IF(H1249&lt;p_min-0.005,"low","OK")))</f>
        <v>OK</v>
      </c>
      <c r="L1249" s="4" t="s">
        <v>414</v>
      </c>
    </row>
    <row r="1250" customFormat="false" ht="15" hidden="false" customHeight="false" outlineLevel="0" collapsed="false">
      <c r="A1250" s="4" t="s">
        <v>44</v>
      </c>
      <c r="B1250" s="4" t="s">
        <v>373</v>
      </c>
      <c r="C1250" s="47" t="n">
        <v>1232.81</v>
      </c>
      <c r="D1250" s="48" t="n">
        <v>1579.01</v>
      </c>
      <c r="E1250" s="49" t="n">
        <f aca="false">D1250-cover</f>
        <v>1577.81</v>
      </c>
      <c r="F1250" s="50" t="n">
        <f aca="false">'Z6 Nkangamo-Uhuru'!S18-'Z6 Nkangamo-Uhuru'!P18*C1250/'Z6 Nkangamo-Uhuru'!G18</f>
        <v>1736.30808419172</v>
      </c>
      <c r="G1250" s="51" t="n">
        <f aca="false">'Z6 Nkangamo-Uhuru'!$B$8-E1250</f>
        <v>128.69</v>
      </c>
      <c r="H1250" s="52" t="n">
        <f aca="false">F1250-E1250</f>
        <v>158.498084191723</v>
      </c>
      <c r="I1250" s="52" t="n">
        <f aca="false">MAX(H1250,G1250)</f>
        <v>158.498084191723</v>
      </c>
      <c r="J1250" s="4" t="str">
        <f aca="false">IFERROR("PN"&amp;SMALL(PN_list,COUNTIF(PN_list,"&lt;"&amp;I1250*bar_per_m)+1),"&gt; max PN")</f>
        <v>PN16</v>
      </c>
      <c r="K1250" s="4" t="str">
        <f aca="false">IF(L1250="no","end at tank",IF(H1250&lt;0,"NEGATIVE",IF(H1250&lt;p_min-0.005,"low","OK")))</f>
        <v>OK</v>
      </c>
      <c r="L1250" s="4" t="s">
        <v>414</v>
      </c>
    </row>
    <row r="1251" customFormat="false" ht="15" hidden="false" customHeight="false" outlineLevel="0" collapsed="false">
      <c r="A1251" s="4" t="s">
        <v>44</v>
      </c>
      <c r="B1251" s="4" t="s">
        <v>373</v>
      </c>
      <c r="C1251" s="47" t="n">
        <v>1252.81</v>
      </c>
      <c r="D1251" s="48" t="n">
        <v>1578.87</v>
      </c>
      <c r="E1251" s="49" t="n">
        <f aca="false">D1251-cover</f>
        <v>1577.67</v>
      </c>
      <c r="F1251" s="50" t="n">
        <f aca="false">'Z6 Nkangamo-Uhuru'!S18-'Z6 Nkangamo-Uhuru'!P18*C1251/'Z6 Nkangamo-Uhuru'!G18</f>
        <v>1736.27693088878</v>
      </c>
      <c r="G1251" s="51" t="n">
        <f aca="false">'Z6 Nkangamo-Uhuru'!$B$8-E1251</f>
        <v>128.83</v>
      </c>
      <c r="H1251" s="52" t="n">
        <f aca="false">F1251-E1251</f>
        <v>158.606930888776</v>
      </c>
      <c r="I1251" s="52" t="n">
        <f aca="false">MAX(H1251,G1251)</f>
        <v>158.606930888776</v>
      </c>
      <c r="J1251" s="4" t="str">
        <f aca="false">IFERROR("PN"&amp;SMALL(PN_list,COUNTIF(PN_list,"&lt;"&amp;I1251*bar_per_m)+1),"&gt; max PN")</f>
        <v>PN16</v>
      </c>
      <c r="K1251" s="4" t="str">
        <f aca="false">IF(L1251="no","end at tank",IF(H1251&lt;0,"NEGATIVE",IF(H1251&lt;p_min-0.005,"low","OK")))</f>
        <v>OK</v>
      </c>
      <c r="L1251" s="4" t="s">
        <v>414</v>
      </c>
    </row>
    <row r="1252" customFormat="false" ht="15" hidden="false" customHeight="false" outlineLevel="0" collapsed="false">
      <c r="A1252" s="4" t="s">
        <v>44</v>
      </c>
      <c r="B1252" s="4" t="s">
        <v>373</v>
      </c>
      <c r="C1252" s="47" t="n">
        <v>1272.81</v>
      </c>
      <c r="D1252" s="48" t="n">
        <v>1578.68</v>
      </c>
      <c r="E1252" s="49" t="n">
        <f aca="false">D1252-cover</f>
        <v>1577.48</v>
      </c>
      <c r="F1252" s="50" t="n">
        <f aca="false">'Z6 Nkangamo-Uhuru'!S18-'Z6 Nkangamo-Uhuru'!P18*C1252/'Z6 Nkangamo-Uhuru'!G18</f>
        <v>1736.24577758583</v>
      </c>
      <c r="G1252" s="51" t="n">
        <f aca="false">'Z6 Nkangamo-Uhuru'!$B$8-E1252</f>
        <v>129.02</v>
      </c>
      <c r="H1252" s="52" t="n">
        <f aca="false">F1252-E1252</f>
        <v>158.765777585829</v>
      </c>
      <c r="I1252" s="52" t="n">
        <f aca="false">MAX(H1252,G1252)</f>
        <v>158.765777585829</v>
      </c>
      <c r="J1252" s="4" t="str">
        <f aca="false">IFERROR("PN"&amp;SMALL(PN_list,COUNTIF(PN_list,"&lt;"&amp;I1252*bar_per_m)+1),"&gt; max PN")</f>
        <v>PN16</v>
      </c>
      <c r="K1252" s="4" t="str">
        <f aca="false">IF(L1252="no","end at tank",IF(H1252&lt;0,"NEGATIVE",IF(H1252&lt;p_min-0.005,"low","OK")))</f>
        <v>OK</v>
      </c>
      <c r="L1252" s="4" t="s">
        <v>414</v>
      </c>
    </row>
    <row r="1253" customFormat="false" ht="15" hidden="false" customHeight="false" outlineLevel="0" collapsed="false">
      <c r="A1253" s="4" t="s">
        <v>44</v>
      </c>
      <c r="B1253" s="4" t="s">
        <v>373</v>
      </c>
      <c r="C1253" s="47" t="n">
        <v>1292.82</v>
      </c>
      <c r="D1253" s="48" t="n">
        <v>1578.1</v>
      </c>
      <c r="E1253" s="49" t="n">
        <f aca="false">D1253-cover</f>
        <v>1576.9</v>
      </c>
      <c r="F1253" s="50" t="n">
        <f aca="false">'Z6 Nkangamo-Uhuru'!S18-'Z6 Nkangamo-Uhuru'!P18*C1253/'Z6 Nkangamo-Uhuru'!G18</f>
        <v>1736.21460870623</v>
      </c>
      <c r="G1253" s="51" t="n">
        <f aca="false">'Z6 Nkangamo-Uhuru'!$B$8-E1253</f>
        <v>129.6</v>
      </c>
      <c r="H1253" s="52" t="n">
        <f aca="false">F1253-E1253</f>
        <v>159.314608706231</v>
      </c>
      <c r="I1253" s="52" t="n">
        <f aca="false">MAX(H1253,G1253)</f>
        <v>159.314608706231</v>
      </c>
      <c r="J1253" s="4" t="str">
        <f aca="false">IFERROR("PN"&amp;SMALL(PN_list,COUNTIF(PN_list,"&lt;"&amp;I1253*bar_per_m)+1),"&gt; max PN")</f>
        <v>PN16</v>
      </c>
      <c r="K1253" s="4" t="str">
        <f aca="false">IF(L1253="no","end at tank",IF(H1253&lt;0,"NEGATIVE",IF(H1253&lt;p_min-0.005,"low","OK")))</f>
        <v>OK</v>
      </c>
      <c r="L1253" s="4" t="s">
        <v>414</v>
      </c>
    </row>
    <row r="1254" customFormat="false" ht="15" hidden="false" customHeight="false" outlineLevel="0" collapsed="false">
      <c r="A1254" s="4" t="s">
        <v>44</v>
      </c>
      <c r="B1254" s="4" t="s">
        <v>373</v>
      </c>
      <c r="C1254" s="47" t="n">
        <v>1312.82</v>
      </c>
      <c r="D1254" s="48" t="n">
        <v>1577.86</v>
      </c>
      <c r="E1254" s="49" t="n">
        <f aca="false">D1254-cover</f>
        <v>1576.66</v>
      </c>
      <c r="F1254" s="50" t="n">
        <f aca="false">'Z6 Nkangamo-Uhuru'!S18-'Z6 Nkangamo-Uhuru'!P18*C1254/'Z6 Nkangamo-Uhuru'!G18</f>
        <v>1736.18345540328</v>
      </c>
      <c r="G1254" s="51" t="n">
        <f aca="false">'Z6 Nkangamo-Uhuru'!$B$8-E1254</f>
        <v>129.84</v>
      </c>
      <c r="H1254" s="52" t="n">
        <f aca="false">F1254-E1254</f>
        <v>159.523455403284</v>
      </c>
      <c r="I1254" s="52" t="n">
        <f aca="false">MAX(H1254,G1254)</f>
        <v>159.523455403284</v>
      </c>
      <c r="J1254" s="4" t="str">
        <f aca="false">IFERROR("PN"&amp;SMALL(PN_list,COUNTIF(PN_list,"&lt;"&amp;I1254*bar_per_m)+1),"&gt; max PN")</f>
        <v>PN16</v>
      </c>
      <c r="K1254" s="4" t="str">
        <f aca="false">IF(L1254="no","end at tank",IF(H1254&lt;0,"NEGATIVE",IF(H1254&lt;p_min-0.005,"low","OK")))</f>
        <v>OK</v>
      </c>
      <c r="L1254" s="4" t="s">
        <v>414</v>
      </c>
    </row>
    <row r="1255" customFormat="false" ht="15" hidden="false" customHeight="false" outlineLevel="0" collapsed="false">
      <c r="A1255" s="4" t="s">
        <v>44</v>
      </c>
      <c r="B1255" s="4" t="s">
        <v>373</v>
      </c>
      <c r="C1255" s="47" t="n">
        <v>1332.83</v>
      </c>
      <c r="D1255" s="48" t="n">
        <v>1577.31</v>
      </c>
      <c r="E1255" s="49" t="n">
        <f aca="false">D1255-cover</f>
        <v>1576.11</v>
      </c>
      <c r="F1255" s="50" t="n">
        <f aca="false">'Z6 Nkangamo-Uhuru'!S18-'Z6 Nkangamo-Uhuru'!P18*C1255/'Z6 Nkangamo-Uhuru'!G18</f>
        <v>1736.15228652369</v>
      </c>
      <c r="G1255" s="51" t="n">
        <f aca="false">'Z6 Nkangamo-Uhuru'!$B$8-E1255</f>
        <v>130.39</v>
      </c>
      <c r="H1255" s="52" t="n">
        <f aca="false">F1255-E1255</f>
        <v>160.042286523686</v>
      </c>
      <c r="I1255" s="52" t="n">
        <f aca="false">MAX(H1255,G1255)</f>
        <v>160.042286523686</v>
      </c>
      <c r="J1255" s="4" t="str">
        <f aca="false">IFERROR("PN"&amp;SMALL(PN_list,COUNTIF(PN_list,"&lt;"&amp;I1255*bar_per_m)+1),"&gt; max PN")</f>
        <v>PN16</v>
      </c>
      <c r="K1255" s="4" t="str">
        <f aca="false">IF(L1255="no","end at tank",IF(H1255&lt;0,"NEGATIVE",IF(H1255&lt;p_min-0.005,"low","OK")))</f>
        <v>OK</v>
      </c>
      <c r="L1255" s="4" t="s">
        <v>414</v>
      </c>
    </row>
    <row r="1256" customFormat="false" ht="15" hidden="false" customHeight="false" outlineLevel="0" collapsed="false">
      <c r="A1256" s="4" t="s">
        <v>44</v>
      </c>
      <c r="B1256" s="4" t="s">
        <v>373</v>
      </c>
      <c r="C1256" s="47" t="n">
        <v>1352.83</v>
      </c>
      <c r="D1256" s="48" t="n">
        <v>1577.01</v>
      </c>
      <c r="E1256" s="49" t="n">
        <f aca="false">D1256-cover</f>
        <v>1575.81</v>
      </c>
      <c r="F1256" s="50" t="n">
        <f aca="false">'Z6 Nkangamo-Uhuru'!S18-'Z6 Nkangamo-Uhuru'!P18*C1256/'Z6 Nkangamo-Uhuru'!G18</f>
        <v>1736.12113322074</v>
      </c>
      <c r="G1256" s="51" t="n">
        <f aca="false">'Z6 Nkangamo-Uhuru'!$B$8-E1256</f>
        <v>130.69</v>
      </c>
      <c r="H1256" s="52" t="n">
        <f aca="false">F1256-E1256</f>
        <v>160.311133220739</v>
      </c>
      <c r="I1256" s="52" t="n">
        <f aca="false">MAX(H1256,G1256)</f>
        <v>160.311133220739</v>
      </c>
      <c r="J1256" s="4" t="str">
        <f aca="false">IFERROR("PN"&amp;SMALL(PN_list,COUNTIF(PN_list,"&lt;"&amp;I1256*bar_per_m)+1),"&gt; max PN")</f>
        <v>PN16</v>
      </c>
      <c r="K1256" s="4" t="str">
        <f aca="false">IF(L1256="no","end at tank",IF(H1256&lt;0,"NEGATIVE",IF(H1256&lt;p_min-0.005,"low","OK")))</f>
        <v>OK</v>
      </c>
      <c r="L1256" s="4" t="s">
        <v>414</v>
      </c>
    </row>
    <row r="1257" customFormat="false" ht="15" hidden="false" customHeight="false" outlineLevel="0" collapsed="false">
      <c r="A1257" s="4" t="s">
        <v>44</v>
      </c>
      <c r="B1257" s="4" t="s">
        <v>373</v>
      </c>
      <c r="C1257" s="47" t="n">
        <v>1372.83</v>
      </c>
      <c r="D1257" s="48" t="n">
        <v>1576.71</v>
      </c>
      <c r="E1257" s="49" t="n">
        <f aca="false">D1257-cover</f>
        <v>1575.51</v>
      </c>
      <c r="F1257" s="50" t="n">
        <f aca="false">'Z6 Nkangamo-Uhuru'!S18-'Z6 Nkangamo-Uhuru'!P18*C1257/'Z6 Nkangamo-Uhuru'!G18</f>
        <v>1736.08997991779</v>
      </c>
      <c r="G1257" s="51" t="n">
        <f aca="false">'Z6 Nkangamo-Uhuru'!$B$8-E1257</f>
        <v>130.99</v>
      </c>
      <c r="H1257" s="52" t="n">
        <f aca="false">F1257-E1257</f>
        <v>160.579979917792</v>
      </c>
      <c r="I1257" s="52" t="n">
        <f aca="false">MAX(H1257,G1257)</f>
        <v>160.579979917792</v>
      </c>
      <c r="J1257" s="4" t="str">
        <f aca="false">IFERROR("PN"&amp;SMALL(PN_list,COUNTIF(PN_list,"&lt;"&amp;I1257*bar_per_m)+1),"&gt; max PN")</f>
        <v>PN16</v>
      </c>
      <c r="K1257" s="4" t="str">
        <f aca="false">IF(L1257="no","end at tank",IF(H1257&lt;0,"NEGATIVE",IF(H1257&lt;p_min-0.005,"low","OK")))</f>
        <v>OK</v>
      </c>
      <c r="L1257" s="4" t="s">
        <v>414</v>
      </c>
    </row>
    <row r="1258" customFormat="false" ht="15" hidden="false" customHeight="false" outlineLevel="0" collapsed="false">
      <c r="A1258" s="4" t="s">
        <v>44</v>
      </c>
      <c r="B1258" s="4" t="s">
        <v>373</v>
      </c>
      <c r="C1258" s="47" t="n">
        <v>1392.84</v>
      </c>
      <c r="D1258" s="48" t="n">
        <v>1576.39</v>
      </c>
      <c r="E1258" s="49" t="n">
        <f aca="false">D1258-cover</f>
        <v>1575.19</v>
      </c>
      <c r="F1258" s="50" t="n">
        <f aca="false">'Z6 Nkangamo-Uhuru'!S18-'Z6 Nkangamo-Uhuru'!P18*C1258/'Z6 Nkangamo-Uhuru'!G18</f>
        <v>1736.05881103819</v>
      </c>
      <c r="G1258" s="51" t="n">
        <f aca="false">'Z6 Nkangamo-Uhuru'!$B$8-E1258</f>
        <v>131.31</v>
      </c>
      <c r="H1258" s="52" t="n">
        <f aca="false">F1258-E1258</f>
        <v>160.868811038194</v>
      </c>
      <c r="I1258" s="52" t="n">
        <f aca="false">MAX(H1258,G1258)</f>
        <v>160.868811038194</v>
      </c>
      <c r="J1258" s="4" t="str">
        <f aca="false">IFERROR("PN"&amp;SMALL(PN_list,COUNTIF(PN_list,"&lt;"&amp;I1258*bar_per_m)+1),"&gt; max PN")</f>
        <v>PN16</v>
      </c>
      <c r="K1258" s="4" t="str">
        <f aca="false">IF(L1258="no","end at tank",IF(H1258&lt;0,"NEGATIVE",IF(H1258&lt;p_min-0.005,"low","OK")))</f>
        <v>OK</v>
      </c>
      <c r="L1258" s="4" t="s">
        <v>414</v>
      </c>
    </row>
    <row r="1259" customFormat="false" ht="15" hidden="false" customHeight="false" outlineLevel="0" collapsed="false">
      <c r="A1259" s="4" t="s">
        <v>44</v>
      </c>
      <c r="B1259" s="4" t="s">
        <v>373</v>
      </c>
      <c r="C1259" s="47" t="n">
        <v>1412.84</v>
      </c>
      <c r="D1259" s="48" t="n">
        <v>1576.02</v>
      </c>
      <c r="E1259" s="49" t="n">
        <f aca="false">D1259-cover</f>
        <v>1574.82</v>
      </c>
      <c r="F1259" s="50" t="n">
        <f aca="false">'Z6 Nkangamo-Uhuru'!S18-'Z6 Nkangamo-Uhuru'!P18*C1259/'Z6 Nkangamo-Uhuru'!G18</f>
        <v>1736.02765773525</v>
      </c>
      <c r="G1259" s="51" t="n">
        <f aca="false">'Z6 Nkangamo-Uhuru'!$B$8-E1259</f>
        <v>131.68</v>
      </c>
      <c r="H1259" s="52" t="n">
        <f aca="false">F1259-E1259</f>
        <v>161.207657735247</v>
      </c>
      <c r="I1259" s="52" t="n">
        <f aca="false">MAX(H1259,G1259)</f>
        <v>161.207657735247</v>
      </c>
      <c r="J1259" s="4" t="str">
        <f aca="false">IFERROR("PN"&amp;SMALL(PN_list,COUNTIF(PN_list,"&lt;"&amp;I1259*bar_per_m)+1),"&gt; max PN")</f>
        <v>PN16</v>
      </c>
      <c r="K1259" s="4" t="str">
        <f aca="false">IF(L1259="no","end at tank",IF(H1259&lt;0,"NEGATIVE",IF(H1259&lt;p_min-0.005,"low","OK")))</f>
        <v>OK</v>
      </c>
      <c r="L1259" s="4" t="s">
        <v>414</v>
      </c>
    </row>
    <row r="1260" customFormat="false" ht="15" hidden="false" customHeight="false" outlineLevel="0" collapsed="false">
      <c r="A1260" s="4" t="s">
        <v>44</v>
      </c>
      <c r="B1260" s="4" t="s">
        <v>373</v>
      </c>
      <c r="C1260" s="47" t="n">
        <v>1432.85</v>
      </c>
      <c r="D1260" s="48" t="n">
        <v>1575.46</v>
      </c>
      <c r="E1260" s="49" t="n">
        <f aca="false">D1260-cover</f>
        <v>1574.26</v>
      </c>
      <c r="F1260" s="50" t="n">
        <f aca="false">'Z6 Nkangamo-Uhuru'!S18-'Z6 Nkangamo-Uhuru'!P18*C1260/'Z6 Nkangamo-Uhuru'!G18</f>
        <v>1735.99648885565</v>
      </c>
      <c r="G1260" s="51" t="n">
        <f aca="false">'Z6 Nkangamo-Uhuru'!$B$8-E1260</f>
        <v>132.24</v>
      </c>
      <c r="H1260" s="52" t="n">
        <f aca="false">F1260-E1260</f>
        <v>161.736488855649</v>
      </c>
      <c r="I1260" s="52" t="n">
        <f aca="false">MAX(H1260,G1260)</f>
        <v>161.736488855649</v>
      </c>
      <c r="J1260" s="4" t="str">
        <f aca="false">IFERROR("PN"&amp;SMALL(PN_list,COUNTIF(PN_list,"&lt;"&amp;I1260*bar_per_m)+1),"&gt; max PN")</f>
        <v>PN16</v>
      </c>
      <c r="K1260" s="4" t="str">
        <f aca="false">IF(L1260="no","end at tank",IF(H1260&lt;0,"NEGATIVE",IF(H1260&lt;p_min-0.005,"low","OK")))</f>
        <v>OK</v>
      </c>
      <c r="L1260" s="4" t="s">
        <v>414</v>
      </c>
    </row>
    <row r="1261" customFormat="false" ht="15" hidden="false" customHeight="false" outlineLevel="0" collapsed="false">
      <c r="A1261" s="4" t="s">
        <v>44</v>
      </c>
      <c r="B1261" s="4" t="s">
        <v>373</v>
      </c>
      <c r="C1261" s="47" t="n">
        <v>1452.85</v>
      </c>
      <c r="D1261" s="48" t="n">
        <v>1575.19</v>
      </c>
      <c r="E1261" s="49" t="n">
        <f aca="false">D1261-cover</f>
        <v>1573.99</v>
      </c>
      <c r="F1261" s="50" t="n">
        <f aca="false">'Z6 Nkangamo-Uhuru'!S18-'Z6 Nkangamo-Uhuru'!P18*C1261/'Z6 Nkangamo-Uhuru'!G18</f>
        <v>1735.9653355527</v>
      </c>
      <c r="G1261" s="51" t="n">
        <f aca="false">'Z6 Nkangamo-Uhuru'!$B$8-E1261</f>
        <v>132.51</v>
      </c>
      <c r="H1261" s="52" t="n">
        <f aca="false">F1261-E1261</f>
        <v>161.975335552702</v>
      </c>
      <c r="I1261" s="52" t="n">
        <f aca="false">MAX(H1261,G1261)</f>
        <v>161.975335552702</v>
      </c>
      <c r="J1261" s="4" t="str">
        <f aca="false">IFERROR("PN"&amp;SMALL(PN_list,COUNTIF(PN_list,"&lt;"&amp;I1261*bar_per_m)+1),"&gt; max PN")</f>
        <v>PN16</v>
      </c>
      <c r="K1261" s="4" t="str">
        <f aca="false">IF(L1261="no","end at tank",IF(H1261&lt;0,"NEGATIVE",IF(H1261&lt;p_min-0.005,"low","OK")))</f>
        <v>OK</v>
      </c>
      <c r="L1261" s="4" t="s">
        <v>414</v>
      </c>
    </row>
    <row r="1262" customFormat="false" ht="15" hidden="false" customHeight="false" outlineLevel="0" collapsed="false">
      <c r="A1262" s="4" t="s">
        <v>44</v>
      </c>
      <c r="B1262" s="4" t="s">
        <v>373</v>
      </c>
      <c r="C1262" s="47" t="n">
        <v>1472.85</v>
      </c>
      <c r="D1262" s="48" t="n">
        <v>1574.81</v>
      </c>
      <c r="E1262" s="49" t="n">
        <f aca="false">D1262-cover</f>
        <v>1573.61</v>
      </c>
      <c r="F1262" s="50" t="n">
        <f aca="false">'Z6 Nkangamo-Uhuru'!S18-'Z6 Nkangamo-Uhuru'!P18*C1262/'Z6 Nkangamo-Uhuru'!G18</f>
        <v>1735.93418224975</v>
      </c>
      <c r="G1262" s="51" t="n">
        <f aca="false">'Z6 Nkangamo-Uhuru'!$B$8-E1262</f>
        <v>132.89</v>
      </c>
      <c r="H1262" s="52" t="n">
        <f aca="false">F1262-E1262</f>
        <v>162.324182249755</v>
      </c>
      <c r="I1262" s="52" t="n">
        <f aca="false">MAX(H1262,G1262)</f>
        <v>162.324182249755</v>
      </c>
      <c r="J1262" s="4" t="str">
        <f aca="false">IFERROR("PN"&amp;SMALL(PN_list,COUNTIF(PN_list,"&lt;"&amp;I1262*bar_per_m)+1),"&gt; max PN")</f>
        <v>PN16</v>
      </c>
      <c r="K1262" s="4" t="str">
        <f aca="false">IF(L1262="no","end at tank",IF(H1262&lt;0,"NEGATIVE",IF(H1262&lt;p_min-0.005,"low","OK")))</f>
        <v>OK</v>
      </c>
      <c r="L1262" s="4" t="s">
        <v>414</v>
      </c>
    </row>
    <row r="1263" customFormat="false" ht="15" hidden="false" customHeight="false" outlineLevel="0" collapsed="false">
      <c r="A1263" s="4" t="s">
        <v>44</v>
      </c>
      <c r="B1263" s="4" t="s">
        <v>373</v>
      </c>
      <c r="C1263" s="47" t="n">
        <v>1492.86</v>
      </c>
      <c r="D1263" s="48" t="n">
        <v>1574.26</v>
      </c>
      <c r="E1263" s="49" t="n">
        <f aca="false">D1263-cover</f>
        <v>1573.06</v>
      </c>
      <c r="F1263" s="50" t="n">
        <f aca="false">'Z6 Nkangamo-Uhuru'!S18-'Z6 Nkangamo-Uhuru'!P18*C1263/'Z6 Nkangamo-Uhuru'!G18</f>
        <v>1735.90301337016</v>
      </c>
      <c r="G1263" s="51" t="n">
        <f aca="false">'Z6 Nkangamo-Uhuru'!$B$8-E1263</f>
        <v>133.44</v>
      </c>
      <c r="H1263" s="52" t="n">
        <f aca="false">F1263-E1263</f>
        <v>162.843013370157</v>
      </c>
      <c r="I1263" s="52" t="n">
        <f aca="false">MAX(H1263,G1263)</f>
        <v>162.843013370157</v>
      </c>
      <c r="J1263" s="4" t="str">
        <f aca="false">IFERROR("PN"&amp;SMALL(PN_list,COUNTIF(PN_list,"&lt;"&amp;I1263*bar_per_m)+1),"&gt; max PN")</f>
        <v>PN16</v>
      </c>
      <c r="K1263" s="4" t="str">
        <f aca="false">IF(L1263="no","end at tank",IF(H1263&lt;0,"NEGATIVE",IF(H1263&lt;p_min-0.005,"low","OK")))</f>
        <v>OK</v>
      </c>
      <c r="L1263" s="4" t="s">
        <v>414</v>
      </c>
    </row>
    <row r="1264" customFormat="false" ht="15" hidden="false" customHeight="false" outlineLevel="0" collapsed="false">
      <c r="A1264" s="4" t="s">
        <v>44</v>
      </c>
      <c r="B1264" s="4" t="s">
        <v>373</v>
      </c>
      <c r="C1264" s="47" t="n">
        <v>1512.86</v>
      </c>
      <c r="D1264" s="48" t="n">
        <v>1573.99</v>
      </c>
      <c r="E1264" s="49" t="n">
        <f aca="false">D1264-cover</f>
        <v>1572.79</v>
      </c>
      <c r="F1264" s="50" t="n">
        <f aca="false">'Z6 Nkangamo-Uhuru'!S18-'Z6 Nkangamo-Uhuru'!P18*C1264/'Z6 Nkangamo-Uhuru'!G18</f>
        <v>1735.87186006721</v>
      </c>
      <c r="G1264" s="51" t="n">
        <f aca="false">'Z6 Nkangamo-Uhuru'!$B$8-E1264</f>
        <v>133.71</v>
      </c>
      <c r="H1264" s="52" t="n">
        <f aca="false">F1264-E1264</f>
        <v>163.08186006721</v>
      </c>
      <c r="I1264" s="52" t="n">
        <f aca="false">MAX(H1264,G1264)</f>
        <v>163.08186006721</v>
      </c>
      <c r="J1264" s="4" t="str">
        <f aca="false">IFERROR("PN"&amp;SMALL(PN_list,COUNTIF(PN_list,"&lt;"&amp;I1264*bar_per_m)+1),"&gt; max PN")</f>
        <v>PN16</v>
      </c>
      <c r="K1264" s="4" t="str">
        <f aca="false">IF(L1264="no","end at tank",IF(H1264&lt;0,"NEGATIVE",IF(H1264&lt;p_min-0.005,"low","OK")))</f>
        <v>OK</v>
      </c>
      <c r="L1264" s="4" t="s">
        <v>414</v>
      </c>
    </row>
    <row r="1265" customFormat="false" ht="15" hidden="false" customHeight="false" outlineLevel="0" collapsed="false">
      <c r="A1265" s="4" t="s">
        <v>44</v>
      </c>
      <c r="B1265" s="4" t="s">
        <v>373</v>
      </c>
      <c r="C1265" s="47" t="n">
        <v>1532.87</v>
      </c>
      <c r="D1265" s="48" t="n">
        <v>1573.32</v>
      </c>
      <c r="E1265" s="49" t="n">
        <f aca="false">D1265-cover</f>
        <v>1572.12</v>
      </c>
      <c r="F1265" s="50" t="n">
        <f aca="false">'Z6 Nkangamo-Uhuru'!S18-'Z6 Nkangamo-Uhuru'!P18*C1265/'Z6 Nkangamo-Uhuru'!G18</f>
        <v>1735.84069118761</v>
      </c>
      <c r="G1265" s="51" t="n">
        <f aca="false">'Z6 Nkangamo-Uhuru'!$B$8-E1265</f>
        <v>134.38</v>
      </c>
      <c r="H1265" s="52" t="n">
        <f aca="false">F1265-E1265</f>
        <v>163.720691187611</v>
      </c>
      <c r="I1265" s="52" t="n">
        <f aca="false">MAX(H1265,G1265)</f>
        <v>163.720691187611</v>
      </c>
      <c r="J1265" s="4" t="str">
        <f aca="false">IFERROR("PN"&amp;SMALL(PN_list,COUNTIF(PN_list,"&lt;"&amp;I1265*bar_per_m)+1),"&gt; max PN")</f>
        <v>PN25</v>
      </c>
      <c r="K1265" s="4" t="str">
        <f aca="false">IF(L1265="no","end at tank",IF(H1265&lt;0,"NEGATIVE",IF(H1265&lt;p_min-0.005,"low","OK")))</f>
        <v>OK</v>
      </c>
      <c r="L1265" s="4" t="s">
        <v>414</v>
      </c>
    </row>
    <row r="1266" customFormat="false" ht="15" hidden="false" customHeight="false" outlineLevel="0" collapsed="false">
      <c r="A1266" s="4" t="s">
        <v>44</v>
      </c>
      <c r="B1266" s="4" t="s">
        <v>373</v>
      </c>
      <c r="C1266" s="47" t="n">
        <v>1552.87</v>
      </c>
      <c r="D1266" s="48" t="n">
        <v>1573.07</v>
      </c>
      <c r="E1266" s="49" t="n">
        <f aca="false">D1266-cover</f>
        <v>1571.87</v>
      </c>
      <c r="F1266" s="50" t="n">
        <f aca="false">'Z6 Nkangamo-Uhuru'!S18-'Z6 Nkangamo-Uhuru'!P18*C1266/'Z6 Nkangamo-Uhuru'!G18</f>
        <v>1735.80953788466</v>
      </c>
      <c r="G1266" s="51" t="n">
        <f aca="false">'Z6 Nkangamo-Uhuru'!$B$8-E1266</f>
        <v>134.63</v>
      </c>
      <c r="H1266" s="52" t="n">
        <f aca="false">F1266-E1266</f>
        <v>163.939537884665</v>
      </c>
      <c r="I1266" s="52" t="n">
        <f aca="false">MAX(H1266,G1266)</f>
        <v>163.939537884665</v>
      </c>
      <c r="J1266" s="4" t="str">
        <f aca="false">IFERROR("PN"&amp;SMALL(PN_list,COUNTIF(PN_list,"&lt;"&amp;I1266*bar_per_m)+1),"&gt; max PN")</f>
        <v>PN25</v>
      </c>
      <c r="K1266" s="4" t="str">
        <f aca="false">IF(L1266="no","end at tank",IF(H1266&lt;0,"NEGATIVE",IF(H1266&lt;p_min-0.005,"low","OK")))</f>
        <v>OK</v>
      </c>
      <c r="L1266" s="4" t="s">
        <v>414</v>
      </c>
    </row>
    <row r="1267" customFormat="false" ht="15" hidden="false" customHeight="false" outlineLevel="0" collapsed="false">
      <c r="A1267" s="4" t="s">
        <v>44</v>
      </c>
      <c r="B1267" s="4" t="s">
        <v>373</v>
      </c>
      <c r="C1267" s="47" t="n">
        <v>1572.89</v>
      </c>
      <c r="D1267" s="48" t="n">
        <v>1572.36</v>
      </c>
      <c r="E1267" s="49" t="n">
        <f aca="false">D1267-cover</f>
        <v>1571.16</v>
      </c>
      <c r="F1267" s="50" t="n">
        <f aca="false">'Z6 Nkangamo-Uhuru'!S18-'Z6 Nkangamo-Uhuru'!P18*C1267/'Z6 Nkangamo-Uhuru'!G18</f>
        <v>1735.77835342842</v>
      </c>
      <c r="G1267" s="51" t="n">
        <f aca="false">'Z6 Nkangamo-Uhuru'!$B$8-E1267</f>
        <v>135.34</v>
      </c>
      <c r="H1267" s="52" t="n">
        <f aca="false">F1267-E1267</f>
        <v>164.618353428415</v>
      </c>
      <c r="I1267" s="52" t="n">
        <f aca="false">MAX(H1267,G1267)</f>
        <v>164.618353428415</v>
      </c>
      <c r="J1267" s="4" t="str">
        <f aca="false">IFERROR("PN"&amp;SMALL(PN_list,COUNTIF(PN_list,"&lt;"&amp;I1267*bar_per_m)+1),"&gt; max PN")</f>
        <v>PN25</v>
      </c>
      <c r="K1267" s="4" t="str">
        <f aca="false">IF(L1267="no","end at tank",IF(H1267&lt;0,"NEGATIVE",IF(H1267&lt;p_min-0.005,"low","OK")))</f>
        <v>OK</v>
      </c>
      <c r="L1267" s="4" t="s">
        <v>414</v>
      </c>
    </row>
    <row r="1268" customFormat="false" ht="15" hidden="false" customHeight="false" outlineLevel="0" collapsed="false">
      <c r="A1268" s="4" t="s">
        <v>44</v>
      </c>
      <c r="B1268" s="4" t="s">
        <v>373</v>
      </c>
      <c r="C1268" s="47" t="n">
        <v>1592.9</v>
      </c>
      <c r="D1268" s="48" t="n">
        <v>1571.66</v>
      </c>
      <c r="E1268" s="49" t="n">
        <f aca="false">D1268-cover</f>
        <v>1570.46</v>
      </c>
      <c r="F1268" s="50" t="n">
        <f aca="false">'Z6 Nkangamo-Uhuru'!S18-'Z6 Nkangamo-Uhuru'!P18*C1268/'Z6 Nkangamo-Uhuru'!G18</f>
        <v>1735.74718454882</v>
      </c>
      <c r="G1268" s="51" t="n">
        <f aca="false">'Z6 Nkangamo-Uhuru'!$B$8-E1268</f>
        <v>136.04</v>
      </c>
      <c r="H1268" s="52" t="n">
        <f aca="false">F1268-E1268</f>
        <v>165.287184548816</v>
      </c>
      <c r="I1268" s="52" t="n">
        <f aca="false">MAX(H1268,G1268)</f>
        <v>165.287184548816</v>
      </c>
      <c r="J1268" s="4" t="str">
        <f aca="false">IFERROR("PN"&amp;SMALL(PN_list,COUNTIF(PN_list,"&lt;"&amp;I1268*bar_per_m)+1),"&gt; max PN")</f>
        <v>PN25</v>
      </c>
      <c r="K1268" s="4" t="str">
        <f aca="false">IF(L1268="no","end at tank",IF(H1268&lt;0,"NEGATIVE",IF(H1268&lt;p_min-0.005,"low","OK")))</f>
        <v>OK</v>
      </c>
      <c r="L1268" s="4" t="s">
        <v>414</v>
      </c>
    </row>
    <row r="1269" customFormat="false" ht="15" hidden="false" customHeight="false" outlineLevel="0" collapsed="false">
      <c r="A1269" s="4" t="s">
        <v>44</v>
      </c>
      <c r="B1269" s="4" t="s">
        <v>373</v>
      </c>
      <c r="C1269" s="47" t="n">
        <v>1612.91</v>
      </c>
      <c r="D1269" s="48" t="n">
        <v>1571.06</v>
      </c>
      <c r="E1269" s="49" t="n">
        <f aca="false">D1269-cover</f>
        <v>1569.86</v>
      </c>
      <c r="F1269" s="50" t="n">
        <f aca="false">'Z6 Nkangamo-Uhuru'!S18-'Z6 Nkangamo-Uhuru'!P18*C1269/'Z6 Nkangamo-Uhuru'!G18</f>
        <v>1735.71601566922</v>
      </c>
      <c r="G1269" s="51" t="n">
        <f aca="false">'Z6 Nkangamo-Uhuru'!$B$8-E1269</f>
        <v>136.64</v>
      </c>
      <c r="H1269" s="52" t="n">
        <f aca="false">F1269-E1269</f>
        <v>165.856015669218</v>
      </c>
      <c r="I1269" s="52" t="n">
        <f aca="false">MAX(H1269,G1269)</f>
        <v>165.856015669218</v>
      </c>
      <c r="J1269" s="4" t="str">
        <f aca="false">IFERROR("PN"&amp;SMALL(PN_list,COUNTIF(PN_list,"&lt;"&amp;I1269*bar_per_m)+1),"&gt; max PN")</f>
        <v>PN25</v>
      </c>
      <c r="K1269" s="4" t="str">
        <f aca="false">IF(L1269="no","end at tank",IF(H1269&lt;0,"NEGATIVE",IF(H1269&lt;p_min-0.005,"low","OK")))</f>
        <v>OK</v>
      </c>
      <c r="L1269" s="4" t="s">
        <v>414</v>
      </c>
    </row>
    <row r="1270" customFormat="false" ht="15" hidden="false" customHeight="false" outlineLevel="0" collapsed="false">
      <c r="A1270" s="4" t="s">
        <v>44</v>
      </c>
      <c r="B1270" s="4" t="s">
        <v>373</v>
      </c>
      <c r="C1270" s="47" t="n">
        <v>1632.92</v>
      </c>
      <c r="D1270" s="48" t="n">
        <v>1570.29</v>
      </c>
      <c r="E1270" s="49" t="n">
        <f aca="false">D1270-cover</f>
        <v>1569.09</v>
      </c>
      <c r="F1270" s="50" t="n">
        <f aca="false">'Z6 Nkangamo-Uhuru'!S18-'Z6 Nkangamo-Uhuru'!P18*C1270/'Z6 Nkangamo-Uhuru'!G18</f>
        <v>1735.68484678962</v>
      </c>
      <c r="G1270" s="51" t="n">
        <f aca="false">'Z6 Nkangamo-Uhuru'!$B$8-E1270</f>
        <v>137.41</v>
      </c>
      <c r="H1270" s="52" t="n">
        <f aca="false">F1270-E1270</f>
        <v>166.59484678962</v>
      </c>
      <c r="I1270" s="52" t="n">
        <f aca="false">MAX(H1270,G1270)</f>
        <v>166.59484678962</v>
      </c>
      <c r="J1270" s="4" t="str">
        <f aca="false">IFERROR("PN"&amp;SMALL(PN_list,COUNTIF(PN_list,"&lt;"&amp;I1270*bar_per_m)+1),"&gt; max PN")</f>
        <v>PN25</v>
      </c>
      <c r="K1270" s="4" t="str">
        <f aca="false">IF(L1270="no","end at tank",IF(H1270&lt;0,"NEGATIVE",IF(H1270&lt;p_min-0.005,"low","OK")))</f>
        <v>OK</v>
      </c>
      <c r="L1270" s="4" t="s">
        <v>414</v>
      </c>
    </row>
    <row r="1271" customFormat="false" ht="15" hidden="false" customHeight="false" outlineLevel="0" collapsed="false">
      <c r="A1271" s="4" t="s">
        <v>44</v>
      </c>
      <c r="B1271" s="4" t="s">
        <v>373</v>
      </c>
      <c r="C1271" s="47" t="n">
        <v>1652.93</v>
      </c>
      <c r="D1271" s="48" t="n">
        <v>1569.8</v>
      </c>
      <c r="E1271" s="49" t="n">
        <f aca="false">D1271-cover</f>
        <v>1568.6</v>
      </c>
      <c r="F1271" s="50" t="n">
        <f aca="false">'Z6 Nkangamo-Uhuru'!S18-'Z6 Nkangamo-Uhuru'!P18*C1271/'Z6 Nkangamo-Uhuru'!G18</f>
        <v>1735.65367791002</v>
      </c>
      <c r="G1271" s="51" t="n">
        <f aca="false">'Z6 Nkangamo-Uhuru'!$B$8-E1271</f>
        <v>137.9</v>
      </c>
      <c r="H1271" s="52" t="n">
        <f aca="false">F1271-E1271</f>
        <v>167.053677910022</v>
      </c>
      <c r="I1271" s="52" t="n">
        <f aca="false">MAX(H1271,G1271)</f>
        <v>167.053677910022</v>
      </c>
      <c r="J1271" s="4" t="str">
        <f aca="false">IFERROR("PN"&amp;SMALL(PN_list,COUNTIF(PN_list,"&lt;"&amp;I1271*bar_per_m)+1),"&gt; max PN")</f>
        <v>PN25</v>
      </c>
      <c r="K1271" s="4" t="str">
        <f aca="false">IF(L1271="no","end at tank",IF(H1271&lt;0,"NEGATIVE",IF(H1271&lt;p_min-0.005,"low","OK")))</f>
        <v>OK</v>
      </c>
      <c r="L1271" s="4" t="s">
        <v>414</v>
      </c>
    </row>
    <row r="1272" customFormat="false" ht="15" hidden="false" customHeight="false" outlineLevel="0" collapsed="false">
      <c r="A1272" s="4" t="s">
        <v>44</v>
      </c>
      <c r="B1272" s="4" t="s">
        <v>373</v>
      </c>
      <c r="C1272" s="47" t="n">
        <v>1672.96</v>
      </c>
      <c r="D1272" s="48" t="n">
        <v>1568.64</v>
      </c>
      <c r="E1272" s="49" t="n">
        <f aca="false">D1272-cover</f>
        <v>1567.44</v>
      </c>
      <c r="F1272" s="50" t="n">
        <f aca="false">'Z6 Nkangamo-Uhuru'!S18-'Z6 Nkangamo-Uhuru'!P18*C1272/'Z6 Nkangamo-Uhuru'!G18</f>
        <v>1735.62247787712</v>
      </c>
      <c r="G1272" s="51" t="n">
        <f aca="false">'Z6 Nkangamo-Uhuru'!$B$8-E1272</f>
        <v>139.06</v>
      </c>
      <c r="H1272" s="52" t="n">
        <f aca="false">F1272-E1272</f>
        <v>168.18247787712</v>
      </c>
      <c r="I1272" s="52" t="n">
        <f aca="false">MAX(H1272,G1272)</f>
        <v>168.18247787712</v>
      </c>
      <c r="J1272" s="4" t="str">
        <f aca="false">IFERROR("PN"&amp;SMALL(PN_list,COUNTIF(PN_list,"&lt;"&amp;I1272*bar_per_m)+1),"&gt; max PN")</f>
        <v>PN25</v>
      </c>
      <c r="K1272" s="4" t="str">
        <f aca="false">IF(L1272="no","end at tank",IF(H1272&lt;0,"NEGATIVE",IF(H1272&lt;p_min-0.005,"low","OK")))</f>
        <v>OK</v>
      </c>
      <c r="L1272" s="4" t="s">
        <v>414</v>
      </c>
    </row>
    <row r="1273" customFormat="false" ht="15" hidden="false" customHeight="false" outlineLevel="0" collapsed="false">
      <c r="A1273" s="4" t="s">
        <v>44</v>
      </c>
      <c r="B1273" s="4" t="s">
        <v>373</v>
      </c>
      <c r="C1273" s="47" t="n">
        <v>1692.96</v>
      </c>
      <c r="D1273" s="48" t="n">
        <v>1568.64</v>
      </c>
      <c r="E1273" s="49" t="n">
        <f aca="false">D1273-cover</f>
        <v>1567.44</v>
      </c>
      <c r="F1273" s="50" t="n">
        <f aca="false">'Z6 Nkangamo-Uhuru'!S18-'Z6 Nkangamo-Uhuru'!P18*C1273/'Z6 Nkangamo-Uhuru'!G18</f>
        <v>1735.59132457417</v>
      </c>
      <c r="G1273" s="51" t="n">
        <f aca="false">'Z6 Nkangamo-Uhuru'!$B$8-E1273</f>
        <v>139.06</v>
      </c>
      <c r="H1273" s="52" t="n">
        <f aca="false">F1273-E1273</f>
        <v>168.151324574174</v>
      </c>
      <c r="I1273" s="52" t="n">
        <f aca="false">MAX(H1273,G1273)</f>
        <v>168.151324574174</v>
      </c>
      <c r="J1273" s="4" t="str">
        <f aca="false">IFERROR("PN"&amp;SMALL(PN_list,COUNTIF(PN_list,"&lt;"&amp;I1273*bar_per_m)+1),"&gt; max PN")</f>
        <v>PN25</v>
      </c>
      <c r="K1273" s="4" t="str">
        <f aca="false">IF(L1273="no","end at tank",IF(H1273&lt;0,"NEGATIVE",IF(H1273&lt;p_min-0.005,"low","OK")))</f>
        <v>OK</v>
      </c>
      <c r="L1273" s="4" t="s">
        <v>414</v>
      </c>
    </row>
    <row r="1274" customFormat="false" ht="15" hidden="false" customHeight="false" outlineLevel="0" collapsed="false">
      <c r="A1274" s="4" t="s">
        <v>44</v>
      </c>
      <c r="B1274" s="4" t="s">
        <v>373</v>
      </c>
      <c r="C1274" s="47" t="n">
        <v>1712.99</v>
      </c>
      <c r="D1274" s="48" t="n">
        <v>1567.5</v>
      </c>
      <c r="E1274" s="49" t="n">
        <f aca="false">D1274-cover</f>
        <v>1566.3</v>
      </c>
      <c r="F1274" s="50" t="n">
        <f aca="false">'Z6 Nkangamo-Uhuru'!S18-'Z6 Nkangamo-Uhuru'!P18*C1274/'Z6 Nkangamo-Uhuru'!G18</f>
        <v>1735.56012454127</v>
      </c>
      <c r="G1274" s="51" t="n">
        <f aca="false">'Z6 Nkangamo-Uhuru'!$B$8-E1274</f>
        <v>140.2</v>
      </c>
      <c r="H1274" s="52" t="n">
        <f aca="false">F1274-E1274</f>
        <v>169.260124541272</v>
      </c>
      <c r="I1274" s="52" t="n">
        <f aca="false">MAX(H1274,G1274)</f>
        <v>169.260124541272</v>
      </c>
      <c r="J1274" s="4" t="str">
        <f aca="false">IFERROR("PN"&amp;SMALL(PN_list,COUNTIF(PN_list,"&lt;"&amp;I1274*bar_per_m)+1),"&gt; max PN")</f>
        <v>PN25</v>
      </c>
      <c r="K1274" s="4" t="str">
        <f aca="false">IF(L1274="no","end at tank",IF(H1274&lt;0,"NEGATIVE",IF(H1274&lt;p_min-0.005,"low","OK")))</f>
        <v>OK</v>
      </c>
      <c r="L1274" s="4" t="s">
        <v>414</v>
      </c>
    </row>
    <row r="1275" customFormat="false" ht="15" hidden="false" customHeight="false" outlineLevel="0" collapsed="false">
      <c r="A1275" s="4" t="s">
        <v>44</v>
      </c>
      <c r="B1275" s="4" t="s">
        <v>373</v>
      </c>
      <c r="C1275" s="47" t="n">
        <v>1733.03</v>
      </c>
      <c r="D1275" s="48" t="n">
        <v>1566.27</v>
      </c>
      <c r="E1275" s="49" t="n">
        <f aca="false">D1275-cover</f>
        <v>1565.07</v>
      </c>
      <c r="F1275" s="50" t="n">
        <f aca="false">'Z6 Nkangamo-Uhuru'!S18-'Z6 Nkangamo-Uhuru'!P18*C1275/'Z6 Nkangamo-Uhuru'!G18</f>
        <v>1735.52890893172</v>
      </c>
      <c r="G1275" s="51" t="n">
        <f aca="false">'Z6 Nkangamo-Uhuru'!$B$8-E1275</f>
        <v>141.43</v>
      </c>
      <c r="H1275" s="52" t="n">
        <f aca="false">F1275-E1275</f>
        <v>170.45890893172</v>
      </c>
      <c r="I1275" s="52" t="n">
        <f aca="false">MAX(H1275,G1275)</f>
        <v>170.45890893172</v>
      </c>
      <c r="J1275" s="4" t="str">
        <f aca="false">IFERROR("PN"&amp;SMALL(PN_list,COUNTIF(PN_list,"&lt;"&amp;I1275*bar_per_m)+1),"&gt; max PN")</f>
        <v>PN25</v>
      </c>
      <c r="K1275" s="4" t="str">
        <f aca="false">IF(L1275="no","end at tank",IF(H1275&lt;0,"NEGATIVE",IF(H1275&lt;p_min-0.005,"low","OK")))</f>
        <v>OK</v>
      </c>
      <c r="L1275" s="4" t="s">
        <v>414</v>
      </c>
    </row>
    <row r="1276" customFormat="false" ht="15" hidden="false" customHeight="false" outlineLevel="0" collapsed="false">
      <c r="A1276" s="4" t="s">
        <v>44</v>
      </c>
      <c r="B1276" s="4" t="s">
        <v>373</v>
      </c>
      <c r="C1276" s="47" t="n">
        <v>1753.05</v>
      </c>
      <c r="D1276" s="48" t="n">
        <v>1565.34</v>
      </c>
      <c r="E1276" s="49" t="n">
        <f aca="false">D1276-cover</f>
        <v>1564.14</v>
      </c>
      <c r="F1276" s="50" t="n">
        <f aca="false">'Z6 Nkangamo-Uhuru'!S18-'Z6 Nkangamo-Uhuru'!P18*C1276/'Z6 Nkangamo-Uhuru'!G18</f>
        <v>1735.49772447547</v>
      </c>
      <c r="G1276" s="51" t="n">
        <f aca="false">'Z6 Nkangamo-Uhuru'!$B$8-E1276</f>
        <v>142.36</v>
      </c>
      <c r="H1276" s="52" t="n">
        <f aca="false">F1276-E1276</f>
        <v>171.35772447547</v>
      </c>
      <c r="I1276" s="52" t="n">
        <f aca="false">MAX(H1276,G1276)</f>
        <v>171.35772447547</v>
      </c>
      <c r="J1276" s="4" t="str">
        <f aca="false">IFERROR("PN"&amp;SMALL(PN_list,COUNTIF(PN_list,"&lt;"&amp;I1276*bar_per_m)+1),"&gt; max PN")</f>
        <v>PN25</v>
      </c>
      <c r="K1276" s="4" t="str">
        <f aca="false">IF(L1276="no","end at tank",IF(H1276&lt;0,"NEGATIVE",IF(H1276&lt;p_min-0.005,"low","OK")))</f>
        <v>OK</v>
      </c>
      <c r="L1276" s="4" t="s">
        <v>414</v>
      </c>
    </row>
    <row r="1277" customFormat="false" ht="15" hidden="false" customHeight="false" outlineLevel="0" collapsed="false">
      <c r="A1277" s="4" t="s">
        <v>44</v>
      </c>
      <c r="B1277" s="4" t="s">
        <v>373</v>
      </c>
      <c r="C1277" s="47" t="n">
        <v>1773.05</v>
      </c>
      <c r="D1277" s="48" t="n">
        <v>1565.34</v>
      </c>
      <c r="E1277" s="49" t="n">
        <f aca="false">D1277-cover</f>
        <v>1564.14</v>
      </c>
      <c r="F1277" s="50" t="n">
        <f aca="false">'Z6 Nkangamo-Uhuru'!S18-'Z6 Nkangamo-Uhuru'!P18*C1277/'Z6 Nkangamo-Uhuru'!G18</f>
        <v>1735.46657117252</v>
      </c>
      <c r="G1277" s="51" t="n">
        <f aca="false">'Z6 Nkangamo-Uhuru'!$B$8-E1277</f>
        <v>142.36</v>
      </c>
      <c r="H1277" s="52" t="n">
        <f aca="false">F1277-E1277</f>
        <v>171.326571172523</v>
      </c>
      <c r="I1277" s="52" t="n">
        <f aca="false">MAX(H1277,G1277)</f>
        <v>171.326571172523</v>
      </c>
      <c r="J1277" s="4" t="str">
        <f aca="false">IFERROR("PN"&amp;SMALL(PN_list,COUNTIF(PN_list,"&lt;"&amp;I1277*bar_per_m)+1),"&gt; max PN")</f>
        <v>PN25</v>
      </c>
      <c r="K1277" s="4" t="str">
        <f aca="false">IF(L1277="no","end at tank",IF(H1277&lt;0,"NEGATIVE",IF(H1277&lt;p_min-0.005,"low","OK")))</f>
        <v>OK</v>
      </c>
      <c r="L1277" s="4" t="s">
        <v>414</v>
      </c>
    </row>
    <row r="1278" customFormat="false" ht="15" hidden="false" customHeight="false" outlineLevel="0" collapsed="false">
      <c r="A1278" s="4" t="s">
        <v>44</v>
      </c>
      <c r="B1278" s="4" t="s">
        <v>373</v>
      </c>
      <c r="C1278" s="47" t="n">
        <v>1793.08</v>
      </c>
      <c r="D1278" s="48" t="n">
        <v>1564.37</v>
      </c>
      <c r="E1278" s="49" t="n">
        <f aca="false">D1278-cover</f>
        <v>1563.17</v>
      </c>
      <c r="F1278" s="50" t="n">
        <f aca="false">'Z6 Nkangamo-Uhuru'!S18-'Z6 Nkangamo-Uhuru'!P18*C1278/'Z6 Nkangamo-Uhuru'!G18</f>
        <v>1735.43537113962</v>
      </c>
      <c r="G1278" s="51" t="n">
        <f aca="false">'Z6 Nkangamo-Uhuru'!$B$8-E1278</f>
        <v>143.33</v>
      </c>
      <c r="H1278" s="52" t="n">
        <f aca="false">F1278-E1278</f>
        <v>172.265371139622</v>
      </c>
      <c r="I1278" s="52" t="n">
        <f aca="false">MAX(H1278,G1278)</f>
        <v>172.265371139622</v>
      </c>
      <c r="J1278" s="4" t="str">
        <f aca="false">IFERROR("PN"&amp;SMALL(PN_list,COUNTIF(PN_list,"&lt;"&amp;I1278*bar_per_m)+1),"&gt; max PN")</f>
        <v>PN25</v>
      </c>
      <c r="K1278" s="4" t="str">
        <f aca="false">IF(L1278="no","end at tank",IF(H1278&lt;0,"NEGATIVE",IF(H1278&lt;p_min-0.005,"low","OK")))</f>
        <v>OK</v>
      </c>
      <c r="L1278" s="4" t="s">
        <v>414</v>
      </c>
    </row>
    <row r="1279" customFormat="false" ht="15" hidden="false" customHeight="false" outlineLevel="0" collapsed="false">
      <c r="A1279" s="4" t="s">
        <v>44</v>
      </c>
      <c r="B1279" s="4" t="s">
        <v>373</v>
      </c>
      <c r="C1279" s="47" t="n">
        <v>1813.13</v>
      </c>
      <c r="D1279" s="48" t="n">
        <v>1562.95</v>
      </c>
      <c r="E1279" s="49" t="n">
        <f aca="false">D1279-cover</f>
        <v>1561.75</v>
      </c>
      <c r="F1279" s="50" t="n">
        <f aca="false">'Z6 Nkangamo-Uhuru'!S18-'Z6 Nkangamo-Uhuru'!P18*C1279/'Z6 Nkangamo-Uhuru'!G18</f>
        <v>1735.40413995342</v>
      </c>
      <c r="G1279" s="51" t="n">
        <f aca="false">'Z6 Nkangamo-Uhuru'!$B$8-E1279</f>
        <v>144.75</v>
      </c>
      <c r="H1279" s="52" t="n">
        <f aca="false">F1279-E1279</f>
        <v>173.654139953418</v>
      </c>
      <c r="I1279" s="52" t="n">
        <f aca="false">MAX(H1279,G1279)</f>
        <v>173.654139953418</v>
      </c>
      <c r="J1279" s="4" t="str">
        <f aca="false">IFERROR("PN"&amp;SMALL(PN_list,COUNTIF(PN_list,"&lt;"&amp;I1279*bar_per_m)+1),"&gt; max PN")</f>
        <v>PN25</v>
      </c>
      <c r="K1279" s="4" t="str">
        <f aca="false">IF(L1279="no","end at tank",IF(H1279&lt;0,"NEGATIVE",IF(H1279&lt;p_min-0.005,"low","OK")))</f>
        <v>OK</v>
      </c>
      <c r="L1279" s="4" t="s">
        <v>414</v>
      </c>
    </row>
    <row r="1280" customFormat="false" ht="15" hidden="false" customHeight="false" outlineLevel="0" collapsed="false">
      <c r="A1280" s="4" t="s">
        <v>44</v>
      </c>
      <c r="B1280" s="4" t="s">
        <v>373</v>
      </c>
      <c r="C1280" s="47" t="n">
        <v>1833.13</v>
      </c>
      <c r="D1280" s="48" t="n">
        <v>1563.13</v>
      </c>
      <c r="E1280" s="49" t="n">
        <f aca="false">D1280-cover</f>
        <v>1561.93</v>
      </c>
      <c r="F1280" s="50" t="n">
        <f aca="false">'Z6 Nkangamo-Uhuru'!S18-'Z6 Nkangamo-Uhuru'!P18*C1280/'Z6 Nkangamo-Uhuru'!G18</f>
        <v>1735.37298665047</v>
      </c>
      <c r="G1280" s="51" t="n">
        <f aca="false">'Z6 Nkangamo-Uhuru'!$B$8-E1280</f>
        <v>144.57</v>
      </c>
      <c r="H1280" s="52" t="n">
        <f aca="false">F1280-E1280</f>
        <v>173.442986650471</v>
      </c>
      <c r="I1280" s="52" t="n">
        <f aca="false">MAX(H1280,G1280)</f>
        <v>173.442986650471</v>
      </c>
      <c r="J1280" s="4" t="str">
        <f aca="false">IFERROR("PN"&amp;SMALL(PN_list,COUNTIF(PN_list,"&lt;"&amp;I1280*bar_per_m)+1),"&gt; max PN")</f>
        <v>PN25</v>
      </c>
      <c r="K1280" s="4" t="str">
        <f aca="false">IF(L1280="no","end at tank",IF(H1280&lt;0,"NEGATIVE",IF(H1280&lt;p_min-0.005,"low","OK")))</f>
        <v>OK</v>
      </c>
      <c r="L1280" s="4" t="s">
        <v>414</v>
      </c>
    </row>
    <row r="1281" customFormat="false" ht="15" hidden="false" customHeight="false" outlineLevel="0" collapsed="false">
      <c r="A1281" s="4" t="s">
        <v>44</v>
      </c>
      <c r="B1281" s="4" t="s">
        <v>373</v>
      </c>
      <c r="C1281" s="47" t="n">
        <v>1853.13</v>
      </c>
      <c r="D1281" s="48" t="n">
        <v>1562.91</v>
      </c>
      <c r="E1281" s="49" t="n">
        <f aca="false">D1281-cover</f>
        <v>1561.71</v>
      </c>
      <c r="F1281" s="50" t="n">
        <f aca="false">'Z6 Nkangamo-Uhuru'!S18-'Z6 Nkangamo-Uhuru'!P18*C1281/'Z6 Nkangamo-Uhuru'!G18</f>
        <v>1735.34183334752</v>
      </c>
      <c r="G1281" s="51" t="n">
        <f aca="false">'Z6 Nkangamo-Uhuru'!$B$8-E1281</f>
        <v>144.79</v>
      </c>
      <c r="H1281" s="52" t="n">
        <f aca="false">F1281-E1281</f>
        <v>173.631833347524</v>
      </c>
      <c r="I1281" s="52" t="n">
        <f aca="false">MAX(H1281,G1281)</f>
        <v>173.631833347524</v>
      </c>
      <c r="J1281" s="4" t="str">
        <f aca="false">IFERROR("PN"&amp;SMALL(PN_list,COUNTIF(PN_list,"&lt;"&amp;I1281*bar_per_m)+1),"&gt; max PN")</f>
        <v>PN25</v>
      </c>
      <c r="K1281" s="4" t="str">
        <f aca="false">IF(L1281="no","end at tank",IF(H1281&lt;0,"NEGATIVE",IF(H1281&lt;p_min-0.005,"low","OK")))</f>
        <v>OK</v>
      </c>
      <c r="L1281" s="4" t="s">
        <v>414</v>
      </c>
    </row>
    <row r="1282" customFormat="false" ht="15" hidden="false" customHeight="false" outlineLevel="0" collapsed="false">
      <c r="A1282" s="4" t="s">
        <v>44</v>
      </c>
      <c r="B1282" s="4" t="s">
        <v>373</v>
      </c>
      <c r="C1282" s="47" t="n">
        <v>1873.13</v>
      </c>
      <c r="D1282" s="48" t="n">
        <v>1562.88</v>
      </c>
      <c r="E1282" s="49" t="n">
        <f aca="false">D1282-cover</f>
        <v>1561.68</v>
      </c>
      <c r="F1282" s="50" t="n">
        <f aca="false">'Z6 Nkangamo-Uhuru'!S18-'Z6 Nkangamo-Uhuru'!P18*C1282/'Z6 Nkangamo-Uhuru'!G18</f>
        <v>1735.31068004458</v>
      </c>
      <c r="G1282" s="51" t="n">
        <f aca="false">'Z6 Nkangamo-Uhuru'!$B$8-E1282</f>
        <v>144.82</v>
      </c>
      <c r="H1282" s="52" t="n">
        <f aca="false">F1282-E1282</f>
        <v>173.630680044577</v>
      </c>
      <c r="I1282" s="52" t="n">
        <f aca="false">MAX(H1282,G1282)</f>
        <v>173.630680044577</v>
      </c>
      <c r="J1282" s="4" t="str">
        <f aca="false">IFERROR("PN"&amp;SMALL(PN_list,COUNTIF(PN_list,"&lt;"&amp;I1282*bar_per_m)+1),"&gt; max PN")</f>
        <v>PN25</v>
      </c>
      <c r="K1282" s="4" t="str">
        <f aca="false">IF(L1282="no","end at tank",IF(H1282&lt;0,"NEGATIVE",IF(H1282&lt;p_min-0.005,"low","OK")))</f>
        <v>OK</v>
      </c>
      <c r="L1282" s="4" t="s">
        <v>414</v>
      </c>
    </row>
    <row r="1283" customFormat="false" ht="15" hidden="false" customHeight="false" outlineLevel="0" collapsed="false">
      <c r="A1283" s="4" t="s">
        <v>44</v>
      </c>
      <c r="B1283" s="4" t="s">
        <v>373</v>
      </c>
      <c r="C1283" s="47" t="n">
        <v>1893.13</v>
      </c>
      <c r="D1283" s="48" t="n">
        <v>1562.83</v>
      </c>
      <c r="E1283" s="49" t="n">
        <f aca="false">D1283-cover</f>
        <v>1561.63</v>
      </c>
      <c r="F1283" s="50" t="n">
        <f aca="false">'Z6 Nkangamo-Uhuru'!S18-'Z6 Nkangamo-Uhuru'!P18*C1283/'Z6 Nkangamo-Uhuru'!G18</f>
        <v>1735.27952674163</v>
      </c>
      <c r="G1283" s="51" t="n">
        <f aca="false">'Z6 Nkangamo-Uhuru'!$B$8-E1283</f>
        <v>144.87</v>
      </c>
      <c r="H1283" s="52" t="n">
        <f aca="false">F1283-E1283</f>
        <v>173.64952674163</v>
      </c>
      <c r="I1283" s="52" t="n">
        <f aca="false">MAX(H1283,G1283)</f>
        <v>173.64952674163</v>
      </c>
      <c r="J1283" s="4" t="str">
        <f aca="false">IFERROR("PN"&amp;SMALL(PN_list,COUNTIF(PN_list,"&lt;"&amp;I1283*bar_per_m)+1),"&gt; max PN")</f>
        <v>PN25</v>
      </c>
      <c r="K1283" s="4" t="str">
        <f aca="false">IF(L1283="no","end at tank",IF(H1283&lt;0,"NEGATIVE",IF(H1283&lt;p_min-0.005,"low","OK")))</f>
        <v>OK</v>
      </c>
      <c r="L1283" s="4" t="s">
        <v>414</v>
      </c>
    </row>
    <row r="1284" customFormat="false" ht="15" hidden="false" customHeight="false" outlineLevel="0" collapsed="false">
      <c r="A1284" s="4" t="s">
        <v>44</v>
      </c>
      <c r="B1284" s="4" t="s">
        <v>373</v>
      </c>
      <c r="C1284" s="47" t="n">
        <v>1913.14</v>
      </c>
      <c r="D1284" s="48" t="n">
        <v>1563.29</v>
      </c>
      <c r="E1284" s="49" t="n">
        <f aca="false">D1284-cover</f>
        <v>1562.09</v>
      </c>
      <c r="F1284" s="50" t="n">
        <f aca="false">'Z6 Nkangamo-Uhuru'!S18-'Z6 Nkangamo-Uhuru'!P18*C1284/'Z6 Nkangamo-Uhuru'!G18</f>
        <v>1735.24835786203</v>
      </c>
      <c r="G1284" s="51" t="n">
        <f aca="false">'Z6 Nkangamo-Uhuru'!$B$8-E1284</f>
        <v>144.41</v>
      </c>
      <c r="H1284" s="52" t="n">
        <f aca="false">F1284-E1284</f>
        <v>173.158357862032</v>
      </c>
      <c r="I1284" s="52" t="n">
        <f aca="false">MAX(H1284,G1284)</f>
        <v>173.158357862032</v>
      </c>
      <c r="J1284" s="4" t="str">
        <f aca="false">IFERROR("PN"&amp;SMALL(PN_list,COUNTIF(PN_list,"&lt;"&amp;I1284*bar_per_m)+1),"&gt; max PN")</f>
        <v>PN25</v>
      </c>
      <c r="K1284" s="4" t="str">
        <f aca="false">IF(L1284="no","end at tank",IF(H1284&lt;0,"NEGATIVE",IF(H1284&lt;p_min-0.005,"low","OK")))</f>
        <v>OK</v>
      </c>
      <c r="L1284" s="4" t="s">
        <v>414</v>
      </c>
    </row>
    <row r="1285" customFormat="false" ht="15" hidden="false" customHeight="false" outlineLevel="0" collapsed="false">
      <c r="A1285" s="4" t="s">
        <v>44</v>
      </c>
      <c r="B1285" s="4" t="s">
        <v>373</v>
      </c>
      <c r="C1285" s="47" t="n">
        <v>1933.14</v>
      </c>
      <c r="D1285" s="48" t="n">
        <v>1563.09</v>
      </c>
      <c r="E1285" s="49" t="n">
        <f aca="false">D1285-cover</f>
        <v>1561.89</v>
      </c>
      <c r="F1285" s="50" t="n">
        <f aca="false">'Z6 Nkangamo-Uhuru'!S18-'Z6 Nkangamo-Uhuru'!P18*C1285/'Z6 Nkangamo-Uhuru'!G18</f>
        <v>1735.21720455909</v>
      </c>
      <c r="G1285" s="51" t="n">
        <f aca="false">'Z6 Nkangamo-Uhuru'!$B$8-E1285</f>
        <v>144.61</v>
      </c>
      <c r="H1285" s="52" t="n">
        <f aca="false">F1285-E1285</f>
        <v>173.327204559085</v>
      </c>
      <c r="I1285" s="52" t="n">
        <f aca="false">MAX(H1285,G1285)</f>
        <v>173.327204559085</v>
      </c>
      <c r="J1285" s="4" t="str">
        <f aca="false">IFERROR("PN"&amp;SMALL(PN_list,COUNTIF(PN_list,"&lt;"&amp;I1285*bar_per_m)+1),"&gt; max PN")</f>
        <v>PN25</v>
      </c>
      <c r="K1285" s="4" t="str">
        <f aca="false">IF(L1285="no","end at tank",IF(H1285&lt;0,"NEGATIVE",IF(H1285&lt;p_min-0.005,"low","OK")))</f>
        <v>OK</v>
      </c>
      <c r="L1285" s="4" t="s">
        <v>414</v>
      </c>
    </row>
    <row r="1286" customFormat="false" ht="15" hidden="false" customHeight="false" outlineLevel="0" collapsed="false">
      <c r="A1286" s="4" t="s">
        <v>44</v>
      </c>
      <c r="B1286" s="4" t="s">
        <v>373</v>
      </c>
      <c r="C1286" s="47" t="n">
        <v>1953.14</v>
      </c>
      <c r="D1286" s="48" t="n">
        <v>1563.13</v>
      </c>
      <c r="E1286" s="49" t="n">
        <f aca="false">D1286-cover</f>
        <v>1561.93</v>
      </c>
      <c r="F1286" s="50" t="n">
        <f aca="false">'Z6 Nkangamo-Uhuru'!S18-'Z6 Nkangamo-Uhuru'!P18*C1286/'Z6 Nkangamo-Uhuru'!G18</f>
        <v>1735.18605125614</v>
      </c>
      <c r="G1286" s="51" t="n">
        <f aca="false">'Z6 Nkangamo-Uhuru'!$B$8-E1286</f>
        <v>144.57</v>
      </c>
      <c r="H1286" s="52" t="n">
        <f aca="false">F1286-E1286</f>
        <v>173.256051256138</v>
      </c>
      <c r="I1286" s="52" t="n">
        <f aca="false">MAX(H1286,G1286)</f>
        <v>173.256051256138</v>
      </c>
      <c r="J1286" s="4" t="str">
        <f aca="false">IFERROR("PN"&amp;SMALL(PN_list,COUNTIF(PN_list,"&lt;"&amp;I1286*bar_per_m)+1),"&gt; max PN")</f>
        <v>PN25</v>
      </c>
      <c r="K1286" s="4" t="str">
        <f aca="false">IF(L1286="no","end at tank",IF(H1286&lt;0,"NEGATIVE",IF(H1286&lt;p_min-0.005,"low","OK")))</f>
        <v>OK</v>
      </c>
      <c r="L1286" s="4" t="s">
        <v>414</v>
      </c>
    </row>
    <row r="1287" customFormat="false" ht="15" hidden="false" customHeight="false" outlineLevel="0" collapsed="false">
      <c r="A1287" s="4" t="s">
        <v>44</v>
      </c>
      <c r="B1287" s="4" t="s">
        <v>373</v>
      </c>
      <c r="C1287" s="47" t="n">
        <v>1973.15</v>
      </c>
      <c r="D1287" s="48" t="n">
        <v>1563.82</v>
      </c>
      <c r="E1287" s="49" t="n">
        <f aca="false">D1287-cover</f>
        <v>1562.62</v>
      </c>
      <c r="F1287" s="50" t="n">
        <f aca="false">'Z6 Nkangamo-Uhuru'!S18-'Z6 Nkangamo-Uhuru'!P18*C1287/'Z6 Nkangamo-Uhuru'!G18</f>
        <v>1735.15488237654</v>
      </c>
      <c r="G1287" s="51" t="n">
        <f aca="false">'Z6 Nkangamo-Uhuru'!$B$8-E1287</f>
        <v>143.88</v>
      </c>
      <c r="H1287" s="52" t="n">
        <f aca="false">F1287-E1287</f>
        <v>172.53488237654</v>
      </c>
      <c r="I1287" s="52" t="n">
        <f aca="false">MAX(H1287,G1287)</f>
        <v>172.53488237654</v>
      </c>
      <c r="J1287" s="4" t="str">
        <f aca="false">IFERROR("PN"&amp;SMALL(PN_list,COUNTIF(PN_list,"&lt;"&amp;I1287*bar_per_m)+1),"&gt; max PN")</f>
        <v>PN25</v>
      </c>
      <c r="K1287" s="4" t="str">
        <f aca="false">IF(L1287="no","end at tank",IF(H1287&lt;0,"NEGATIVE",IF(H1287&lt;p_min-0.005,"low","OK")))</f>
        <v>OK</v>
      </c>
      <c r="L1287" s="4" t="s">
        <v>414</v>
      </c>
    </row>
    <row r="1288" customFormat="false" ht="15" hidden="false" customHeight="false" outlineLevel="0" collapsed="false">
      <c r="A1288" s="4" t="s">
        <v>44</v>
      </c>
      <c r="B1288" s="4" t="s">
        <v>373</v>
      </c>
      <c r="C1288" s="47" t="n">
        <v>1993.15</v>
      </c>
      <c r="D1288" s="48" t="n">
        <v>1563.84</v>
      </c>
      <c r="E1288" s="49" t="n">
        <f aca="false">D1288-cover</f>
        <v>1562.64</v>
      </c>
      <c r="F1288" s="50" t="n">
        <f aca="false">'Z6 Nkangamo-Uhuru'!S18-'Z6 Nkangamo-Uhuru'!P18*C1288/'Z6 Nkangamo-Uhuru'!G18</f>
        <v>1735.12372907359</v>
      </c>
      <c r="G1288" s="51" t="n">
        <f aca="false">'Z6 Nkangamo-Uhuru'!$B$8-E1288</f>
        <v>143.86</v>
      </c>
      <c r="H1288" s="52" t="n">
        <f aca="false">F1288-E1288</f>
        <v>172.483729073593</v>
      </c>
      <c r="I1288" s="52" t="n">
        <f aca="false">MAX(H1288,G1288)</f>
        <v>172.483729073593</v>
      </c>
      <c r="J1288" s="4" t="str">
        <f aca="false">IFERROR("PN"&amp;SMALL(PN_list,COUNTIF(PN_list,"&lt;"&amp;I1288*bar_per_m)+1),"&gt; max PN")</f>
        <v>PN25</v>
      </c>
      <c r="K1288" s="4" t="str">
        <f aca="false">IF(L1288="no","end at tank",IF(H1288&lt;0,"NEGATIVE",IF(H1288&lt;p_min-0.005,"low","OK")))</f>
        <v>OK</v>
      </c>
      <c r="L1288" s="4" t="s">
        <v>414</v>
      </c>
    </row>
    <row r="1289" customFormat="false" ht="15" hidden="false" customHeight="false" outlineLevel="0" collapsed="false">
      <c r="A1289" s="4" t="s">
        <v>44</v>
      </c>
      <c r="B1289" s="4" t="s">
        <v>373</v>
      </c>
      <c r="C1289" s="47" t="n">
        <v>2013.18</v>
      </c>
      <c r="D1289" s="48" t="n">
        <v>1564.99</v>
      </c>
      <c r="E1289" s="49" t="n">
        <f aca="false">D1289-cover</f>
        <v>1563.79</v>
      </c>
      <c r="F1289" s="50" t="n">
        <f aca="false">'Z6 Nkangamo-Uhuru'!S18-'Z6 Nkangamo-Uhuru'!P18*C1289/'Z6 Nkangamo-Uhuru'!G18</f>
        <v>1735.09252904069</v>
      </c>
      <c r="G1289" s="51" t="n">
        <f aca="false">'Z6 Nkangamo-Uhuru'!$B$8-E1289</f>
        <v>142.71</v>
      </c>
      <c r="H1289" s="52" t="n">
        <f aca="false">F1289-E1289</f>
        <v>171.302529040692</v>
      </c>
      <c r="I1289" s="52" t="n">
        <f aca="false">MAX(H1289,G1289)</f>
        <v>171.302529040692</v>
      </c>
      <c r="J1289" s="4" t="str">
        <f aca="false">IFERROR("PN"&amp;SMALL(PN_list,COUNTIF(PN_list,"&lt;"&amp;I1289*bar_per_m)+1),"&gt; max PN")</f>
        <v>PN25</v>
      </c>
      <c r="K1289" s="4" t="str">
        <f aca="false">IF(L1289="no","end at tank",IF(H1289&lt;0,"NEGATIVE",IF(H1289&lt;p_min-0.005,"low","OK")))</f>
        <v>OK</v>
      </c>
      <c r="L1289" s="4" t="s">
        <v>414</v>
      </c>
    </row>
    <row r="1290" customFormat="false" ht="15" hidden="false" customHeight="false" outlineLevel="0" collapsed="false">
      <c r="A1290" s="4" t="s">
        <v>44</v>
      </c>
      <c r="B1290" s="4" t="s">
        <v>373</v>
      </c>
      <c r="C1290" s="47" t="n">
        <v>2033.23</v>
      </c>
      <c r="D1290" s="48" t="n">
        <v>1566.33</v>
      </c>
      <c r="E1290" s="49" t="n">
        <f aca="false">D1290-cover</f>
        <v>1565.13</v>
      </c>
      <c r="F1290" s="50" t="n">
        <f aca="false">'Z6 Nkangamo-Uhuru'!S18-'Z6 Nkangamo-Uhuru'!P18*C1290/'Z6 Nkangamo-Uhuru'!G18</f>
        <v>1735.06129785449</v>
      </c>
      <c r="G1290" s="51" t="n">
        <f aca="false">'Z6 Nkangamo-Uhuru'!$B$8-E1290</f>
        <v>141.37</v>
      </c>
      <c r="H1290" s="52" t="n">
        <f aca="false">F1290-E1290</f>
        <v>169.931297854488</v>
      </c>
      <c r="I1290" s="52" t="n">
        <f aca="false">MAX(H1290,G1290)</f>
        <v>169.931297854488</v>
      </c>
      <c r="J1290" s="4" t="str">
        <f aca="false">IFERROR("PN"&amp;SMALL(PN_list,COUNTIF(PN_list,"&lt;"&amp;I1290*bar_per_m)+1),"&gt; max PN")</f>
        <v>PN25</v>
      </c>
      <c r="K1290" s="4" t="str">
        <f aca="false">IF(L1290="no","end at tank",IF(H1290&lt;0,"NEGATIVE",IF(H1290&lt;p_min-0.005,"low","OK")))</f>
        <v>OK</v>
      </c>
      <c r="L1290" s="4" t="s">
        <v>414</v>
      </c>
    </row>
    <row r="1291" customFormat="false" ht="15" hidden="false" customHeight="false" outlineLevel="0" collapsed="false">
      <c r="A1291" s="4" t="s">
        <v>44</v>
      </c>
      <c r="B1291" s="4" t="s">
        <v>373</v>
      </c>
      <c r="C1291" s="47" t="n">
        <v>2053.23</v>
      </c>
      <c r="D1291" s="48" t="n">
        <v>1566.33</v>
      </c>
      <c r="E1291" s="49" t="n">
        <f aca="false">D1291-cover</f>
        <v>1565.13</v>
      </c>
      <c r="F1291" s="50" t="n">
        <f aca="false">'Z6 Nkangamo-Uhuru'!S18-'Z6 Nkangamo-Uhuru'!P18*C1291/'Z6 Nkangamo-Uhuru'!G18</f>
        <v>1735.03014455154</v>
      </c>
      <c r="G1291" s="51" t="n">
        <f aca="false">'Z6 Nkangamo-Uhuru'!$B$8-E1291</f>
        <v>141.37</v>
      </c>
      <c r="H1291" s="52" t="n">
        <f aca="false">F1291-E1291</f>
        <v>169.900144551541</v>
      </c>
      <c r="I1291" s="52" t="n">
        <f aca="false">MAX(H1291,G1291)</f>
        <v>169.900144551541</v>
      </c>
      <c r="J1291" s="4" t="str">
        <f aca="false">IFERROR("PN"&amp;SMALL(PN_list,COUNTIF(PN_list,"&lt;"&amp;I1291*bar_per_m)+1),"&gt; max PN")</f>
        <v>PN25</v>
      </c>
      <c r="K1291" s="4" t="str">
        <f aca="false">IF(L1291="no","end at tank",IF(H1291&lt;0,"NEGATIVE",IF(H1291&lt;p_min-0.005,"low","OK")))</f>
        <v>OK</v>
      </c>
      <c r="L1291" s="4" t="s">
        <v>414</v>
      </c>
    </row>
    <row r="1292" customFormat="false" ht="15" hidden="false" customHeight="false" outlineLevel="0" collapsed="false">
      <c r="A1292" s="4" t="s">
        <v>44</v>
      </c>
      <c r="B1292" s="4" t="s">
        <v>373</v>
      </c>
      <c r="C1292" s="47" t="n">
        <v>2073.29</v>
      </c>
      <c r="D1292" s="48" t="n">
        <v>1567.91</v>
      </c>
      <c r="E1292" s="49" t="n">
        <f aca="false">D1292-cover</f>
        <v>1566.71</v>
      </c>
      <c r="F1292" s="50" t="n">
        <f aca="false">'Z6 Nkangamo-Uhuru'!S18-'Z6 Nkangamo-Uhuru'!P18*C1292/'Z6 Nkangamo-Uhuru'!G18</f>
        <v>1734.99889778869</v>
      </c>
      <c r="G1292" s="51" t="n">
        <f aca="false">'Z6 Nkangamo-Uhuru'!$B$8-E1292</f>
        <v>139.79</v>
      </c>
      <c r="H1292" s="52" t="n">
        <f aca="false">F1292-E1292</f>
        <v>168.288897788685</v>
      </c>
      <c r="I1292" s="52" t="n">
        <f aca="false">MAX(H1292,G1292)</f>
        <v>168.288897788685</v>
      </c>
      <c r="J1292" s="4" t="str">
        <f aca="false">IFERROR("PN"&amp;SMALL(PN_list,COUNTIF(PN_list,"&lt;"&amp;I1292*bar_per_m)+1),"&gt; max PN")</f>
        <v>PN25</v>
      </c>
      <c r="K1292" s="4" t="str">
        <f aca="false">IF(L1292="no","end at tank",IF(H1292&lt;0,"NEGATIVE",IF(H1292&lt;p_min-0.005,"low","OK")))</f>
        <v>OK</v>
      </c>
      <c r="L1292" s="4" t="s">
        <v>414</v>
      </c>
    </row>
    <row r="1293" customFormat="false" ht="15" hidden="false" customHeight="false" outlineLevel="0" collapsed="false">
      <c r="A1293" s="4" t="s">
        <v>44</v>
      </c>
      <c r="B1293" s="4" t="s">
        <v>373</v>
      </c>
      <c r="C1293" s="47" t="n">
        <v>2093.3</v>
      </c>
      <c r="D1293" s="48" t="n">
        <v>1568.59</v>
      </c>
      <c r="E1293" s="49" t="n">
        <f aca="false">D1293-cover</f>
        <v>1567.39</v>
      </c>
      <c r="F1293" s="50" t="n">
        <f aca="false">'Z6 Nkangamo-Uhuru'!S18-'Z6 Nkangamo-Uhuru'!P18*C1293/'Z6 Nkangamo-Uhuru'!G18</f>
        <v>1734.96772890909</v>
      </c>
      <c r="G1293" s="51" t="n">
        <f aca="false">'Z6 Nkangamo-Uhuru'!$B$8-E1293</f>
        <v>139.11</v>
      </c>
      <c r="H1293" s="52" t="n">
        <f aca="false">F1293-E1293</f>
        <v>167.577728909087</v>
      </c>
      <c r="I1293" s="52" t="n">
        <f aca="false">MAX(H1293,G1293)</f>
        <v>167.577728909087</v>
      </c>
      <c r="J1293" s="4" t="str">
        <f aca="false">IFERROR("PN"&amp;SMALL(PN_list,COUNTIF(PN_list,"&lt;"&amp;I1293*bar_per_m)+1),"&gt; max PN")</f>
        <v>PN25</v>
      </c>
      <c r="K1293" s="4" t="str">
        <f aca="false">IF(L1293="no","end at tank",IF(H1293&lt;0,"NEGATIVE",IF(H1293&lt;p_min-0.005,"low","OK")))</f>
        <v>OK</v>
      </c>
      <c r="L1293" s="4" t="s">
        <v>414</v>
      </c>
    </row>
    <row r="1294" customFormat="false" ht="15" hidden="false" customHeight="false" outlineLevel="0" collapsed="false">
      <c r="A1294" s="4" t="s">
        <v>44</v>
      </c>
      <c r="B1294" s="4" t="s">
        <v>373</v>
      </c>
      <c r="C1294" s="47" t="n">
        <v>2113.3</v>
      </c>
      <c r="D1294" s="48" t="n">
        <v>1568.59</v>
      </c>
      <c r="E1294" s="49" t="n">
        <f aca="false">D1294-cover</f>
        <v>1567.39</v>
      </c>
      <c r="F1294" s="50" t="n">
        <f aca="false">'Z6 Nkangamo-Uhuru'!S18-'Z6 Nkangamo-Uhuru'!P18*C1294/'Z6 Nkangamo-Uhuru'!G18</f>
        <v>1734.93657560614</v>
      </c>
      <c r="G1294" s="51" t="n">
        <f aca="false">'Z6 Nkangamo-Uhuru'!$B$8-E1294</f>
        <v>139.11</v>
      </c>
      <c r="H1294" s="52" t="n">
        <f aca="false">F1294-E1294</f>
        <v>167.54657560614</v>
      </c>
      <c r="I1294" s="52" t="n">
        <f aca="false">MAX(H1294,G1294)</f>
        <v>167.54657560614</v>
      </c>
      <c r="J1294" s="4" t="str">
        <f aca="false">IFERROR("PN"&amp;SMALL(PN_list,COUNTIF(PN_list,"&lt;"&amp;I1294*bar_per_m)+1),"&gt; max PN")</f>
        <v>PN25</v>
      </c>
      <c r="K1294" s="4" t="str">
        <f aca="false">IF(L1294="no","end at tank",IF(H1294&lt;0,"NEGATIVE",IF(H1294&lt;p_min-0.005,"low","OK")))</f>
        <v>OK</v>
      </c>
      <c r="L1294" s="4" t="s">
        <v>414</v>
      </c>
    </row>
    <row r="1295" customFormat="false" ht="15" hidden="false" customHeight="false" outlineLevel="0" collapsed="false">
      <c r="A1295" s="4" t="s">
        <v>44</v>
      </c>
      <c r="B1295" s="4" t="s">
        <v>373</v>
      </c>
      <c r="C1295" s="47" t="n">
        <v>2133.32</v>
      </c>
      <c r="D1295" s="48" t="n">
        <v>1569.55</v>
      </c>
      <c r="E1295" s="49" t="n">
        <f aca="false">D1295-cover</f>
        <v>1568.35</v>
      </c>
      <c r="F1295" s="50" t="n">
        <f aca="false">'Z6 Nkangamo-Uhuru'!S18-'Z6 Nkangamo-Uhuru'!P18*C1295/'Z6 Nkangamo-Uhuru'!G18</f>
        <v>1734.90539114989</v>
      </c>
      <c r="G1295" s="51" t="n">
        <f aca="false">'Z6 Nkangamo-Uhuru'!$B$8-E1295</f>
        <v>138.15</v>
      </c>
      <c r="H1295" s="52" t="n">
        <f aca="false">F1295-E1295</f>
        <v>166.55539114989</v>
      </c>
      <c r="I1295" s="52" t="n">
        <f aca="false">MAX(H1295,G1295)</f>
        <v>166.55539114989</v>
      </c>
      <c r="J1295" s="4" t="str">
        <f aca="false">IFERROR("PN"&amp;SMALL(PN_list,COUNTIF(PN_list,"&lt;"&amp;I1295*bar_per_m)+1),"&gt; max PN")</f>
        <v>PN25</v>
      </c>
      <c r="K1295" s="4" t="str">
        <f aca="false">IF(L1295="no","end at tank",IF(H1295&lt;0,"NEGATIVE",IF(H1295&lt;p_min-0.005,"low","OK")))</f>
        <v>OK</v>
      </c>
      <c r="L1295" s="4" t="s">
        <v>414</v>
      </c>
    </row>
    <row r="1296" customFormat="false" ht="15" hidden="false" customHeight="false" outlineLevel="0" collapsed="false">
      <c r="A1296" s="4" t="s">
        <v>44</v>
      </c>
      <c r="B1296" s="4" t="s">
        <v>373</v>
      </c>
      <c r="C1296" s="47" t="n">
        <v>2153.34</v>
      </c>
      <c r="D1296" s="48" t="n">
        <v>1570.34</v>
      </c>
      <c r="E1296" s="49" t="n">
        <f aca="false">D1296-cover</f>
        <v>1569.14</v>
      </c>
      <c r="F1296" s="50" t="n">
        <f aca="false">'Z6 Nkangamo-Uhuru'!S18-'Z6 Nkangamo-Uhuru'!P18*C1296/'Z6 Nkangamo-Uhuru'!G18</f>
        <v>1734.87420669364</v>
      </c>
      <c r="G1296" s="51" t="n">
        <f aca="false">'Z6 Nkangamo-Uhuru'!$B$8-E1296</f>
        <v>137.36</v>
      </c>
      <c r="H1296" s="52" t="n">
        <f aca="false">F1296-E1296</f>
        <v>165.734206693641</v>
      </c>
      <c r="I1296" s="52" t="n">
        <f aca="false">MAX(H1296,G1296)</f>
        <v>165.734206693641</v>
      </c>
      <c r="J1296" s="4" t="str">
        <f aca="false">IFERROR("PN"&amp;SMALL(PN_list,COUNTIF(PN_list,"&lt;"&amp;I1296*bar_per_m)+1),"&gt; max PN")</f>
        <v>PN25</v>
      </c>
      <c r="K1296" s="4" t="str">
        <f aca="false">IF(L1296="no","end at tank",IF(H1296&lt;0,"NEGATIVE",IF(H1296&lt;p_min-0.005,"low","OK")))</f>
        <v>OK</v>
      </c>
      <c r="L1296" s="4" t="s">
        <v>414</v>
      </c>
    </row>
    <row r="1297" customFormat="false" ht="15" hidden="false" customHeight="false" outlineLevel="0" collapsed="false">
      <c r="A1297" s="4" t="s">
        <v>44</v>
      </c>
      <c r="B1297" s="4" t="s">
        <v>373</v>
      </c>
      <c r="C1297" s="47" t="n">
        <v>2173.34</v>
      </c>
      <c r="D1297" s="48" t="n">
        <v>1570.01</v>
      </c>
      <c r="E1297" s="49" t="n">
        <f aca="false">D1297-cover</f>
        <v>1568.81</v>
      </c>
      <c r="F1297" s="50" t="n">
        <f aca="false">'Z6 Nkangamo-Uhuru'!S18-'Z6 Nkangamo-Uhuru'!P18*C1297/'Z6 Nkangamo-Uhuru'!G18</f>
        <v>1734.84305339069</v>
      </c>
      <c r="G1297" s="51" t="n">
        <f aca="false">'Z6 Nkangamo-Uhuru'!$B$8-E1297</f>
        <v>137.69</v>
      </c>
      <c r="H1297" s="52" t="n">
        <f aca="false">F1297-E1297</f>
        <v>166.033053390694</v>
      </c>
      <c r="I1297" s="52" t="n">
        <f aca="false">MAX(H1297,G1297)</f>
        <v>166.033053390694</v>
      </c>
      <c r="J1297" s="4" t="str">
        <f aca="false">IFERROR("PN"&amp;SMALL(PN_list,COUNTIF(PN_list,"&lt;"&amp;I1297*bar_per_m)+1),"&gt; max PN")</f>
        <v>PN25</v>
      </c>
      <c r="K1297" s="4" t="str">
        <f aca="false">IF(L1297="no","end at tank",IF(H1297&lt;0,"NEGATIVE",IF(H1297&lt;p_min-0.005,"low","OK")))</f>
        <v>OK</v>
      </c>
      <c r="L1297" s="4" t="s">
        <v>414</v>
      </c>
    </row>
    <row r="1298" customFormat="false" ht="15" hidden="false" customHeight="false" outlineLevel="0" collapsed="false">
      <c r="A1298" s="4" t="s">
        <v>44</v>
      </c>
      <c r="B1298" s="4" t="s">
        <v>373</v>
      </c>
      <c r="C1298" s="47" t="n">
        <v>2193.36</v>
      </c>
      <c r="D1298" s="48" t="n">
        <v>1570.76</v>
      </c>
      <c r="E1298" s="49" t="n">
        <f aca="false">D1298-cover</f>
        <v>1569.56</v>
      </c>
      <c r="F1298" s="50" t="n">
        <f aca="false">'Z6 Nkangamo-Uhuru'!S18-'Z6 Nkangamo-Uhuru'!P18*C1298/'Z6 Nkangamo-Uhuru'!G18</f>
        <v>1734.81186893444</v>
      </c>
      <c r="G1298" s="51" t="n">
        <f aca="false">'Z6 Nkangamo-Uhuru'!$B$8-E1298</f>
        <v>136.94</v>
      </c>
      <c r="H1298" s="52" t="n">
        <f aca="false">F1298-E1298</f>
        <v>165.251868934444</v>
      </c>
      <c r="I1298" s="52" t="n">
        <f aca="false">MAX(H1298,G1298)</f>
        <v>165.251868934444</v>
      </c>
      <c r="J1298" s="4" t="str">
        <f aca="false">IFERROR("PN"&amp;SMALL(PN_list,COUNTIF(PN_list,"&lt;"&amp;I1298*bar_per_m)+1),"&gt; max PN")</f>
        <v>PN25</v>
      </c>
      <c r="K1298" s="4" t="str">
        <f aca="false">IF(L1298="no","end at tank",IF(H1298&lt;0,"NEGATIVE",IF(H1298&lt;p_min-0.005,"low","OK")))</f>
        <v>OK</v>
      </c>
      <c r="L1298" s="4" t="s">
        <v>414</v>
      </c>
    </row>
    <row r="1299" customFormat="false" ht="15" hidden="false" customHeight="false" outlineLevel="0" collapsed="false">
      <c r="A1299" s="4" t="s">
        <v>44</v>
      </c>
      <c r="B1299" s="4" t="s">
        <v>373</v>
      </c>
      <c r="C1299" s="47" t="n">
        <v>2213.38</v>
      </c>
      <c r="D1299" s="48" t="n">
        <v>1571.65</v>
      </c>
      <c r="E1299" s="49" t="n">
        <f aca="false">D1299-cover</f>
        <v>1570.45</v>
      </c>
      <c r="F1299" s="50" t="n">
        <f aca="false">'Z6 Nkangamo-Uhuru'!S18-'Z6 Nkangamo-Uhuru'!P18*C1299/'Z6 Nkangamo-Uhuru'!G18</f>
        <v>1734.78068447819</v>
      </c>
      <c r="G1299" s="51" t="n">
        <f aca="false">'Z6 Nkangamo-Uhuru'!$B$8-E1299</f>
        <v>136.05</v>
      </c>
      <c r="H1299" s="52" t="n">
        <f aca="false">F1299-E1299</f>
        <v>164.330684478194</v>
      </c>
      <c r="I1299" s="52" t="n">
        <f aca="false">MAX(H1299,G1299)</f>
        <v>164.330684478194</v>
      </c>
      <c r="J1299" s="4" t="str">
        <f aca="false">IFERROR("PN"&amp;SMALL(PN_list,COUNTIF(PN_list,"&lt;"&amp;I1299*bar_per_m)+1),"&gt; max PN")</f>
        <v>PN25</v>
      </c>
      <c r="K1299" s="4" t="str">
        <f aca="false">IF(L1299="no","end at tank",IF(H1299&lt;0,"NEGATIVE",IF(H1299&lt;p_min-0.005,"low","OK")))</f>
        <v>OK</v>
      </c>
      <c r="L1299" s="4" t="s">
        <v>414</v>
      </c>
    </row>
    <row r="1300" customFormat="false" ht="15" hidden="false" customHeight="false" outlineLevel="0" collapsed="false">
      <c r="A1300" s="4" t="s">
        <v>44</v>
      </c>
      <c r="B1300" s="4" t="s">
        <v>373</v>
      </c>
      <c r="C1300" s="47" t="n">
        <v>2233.38</v>
      </c>
      <c r="D1300" s="48" t="n">
        <v>1571.65</v>
      </c>
      <c r="E1300" s="49" t="n">
        <f aca="false">D1300-cover</f>
        <v>1570.45</v>
      </c>
      <c r="F1300" s="50" t="n">
        <f aca="false">'Z6 Nkangamo-Uhuru'!S18-'Z6 Nkangamo-Uhuru'!P18*C1300/'Z6 Nkangamo-Uhuru'!G18</f>
        <v>1734.74953117525</v>
      </c>
      <c r="G1300" s="51" t="n">
        <f aca="false">'Z6 Nkangamo-Uhuru'!$B$8-E1300</f>
        <v>136.05</v>
      </c>
      <c r="H1300" s="52" t="n">
        <f aca="false">F1300-E1300</f>
        <v>164.299531175247</v>
      </c>
      <c r="I1300" s="52" t="n">
        <f aca="false">MAX(H1300,G1300)</f>
        <v>164.299531175247</v>
      </c>
      <c r="J1300" s="4" t="str">
        <f aca="false">IFERROR("PN"&amp;SMALL(PN_list,COUNTIF(PN_list,"&lt;"&amp;I1300*bar_per_m)+1),"&gt; max PN")</f>
        <v>PN25</v>
      </c>
      <c r="K1300" s="4" t="str">
        <f aca="false">IF(L1300="no","end at tank",IF(H1300&lt;0,"NEGATIVE",IF(H1300&lt;p_min-0.005,"low","OK")))</f>
        <v>OK</v>
      </c>
      <c r="L1300" s="4" t="s">
        <v>414</v>
      </c>
    </row>
    <row r="1301" customFormat="false" ht="15" hidden="false" customHeight="false" outlineLevel="0" collapsed="false">
      <c r="A1301" s="4" t="s">
        <v>44</v>
      </c>
      <c r="B1301" s="4" t="s">
        <v>373</v>
      </c>
      <c r="C1301" s="47" t="n">
        <v>2253.38</v>
      </c>
      <c r="D1301" s="48" t="n">
        <v>1571.88</v>
      </c>
      <c r="E1301" s="49" t="n">
        <f aca="false">D1301-cover</f>
        <v>1570.68</v>
      </c>
      <c r="F1301" s="50" t="n">
        <f aca="false">'Z6 Nkangamo-Uhuru'!S18-'Z6 Nkangamo-Uhuru'!P18*C1301/'Z6 Nkangamo-Uhuru'!G18</f>
        <v>1734.7183778723</v>
      </c>
      <c r="G1301" s="51" t="n">
        <f aca="false">'Z6 Nkangamo-Uhuru'!$B$8-E1301</f>
        <v>135.82</v>
      </c>
      <c r="H1301" s="52" t="n">
        <f aca="false">F1301-E1301</f>
        <v>164.0383778723</v>
      </c>
      <c r="I1301" s="52" t="n">
        <f aca="false">MAX(H1301,G1301)</f>
        <v>164.0383778723</v>
      </c>
      <c r="J1301" s="4" t="str">
        <f aca="false">IFERROR("PN"&amp;SMALL(PN_list,COUNTIF(PN_list,"&lt;"&amp;I1301*bar_per_m)+1),"&gt; max PN")</f>
        <v>PN25</v>
      </c>
      <c r="K1301" s="4" t="str">
        <f aca="false">IF(L1301="no","end at tank",IF(H1301&lt;0,"NEGATIVE",IF(H1301&lt;p_min-0.005,"low","OK")))</f>
        <v>OK</v>
      </c>
      <c r="L1301" s="4" t="s">
        <v>414</v>
      </c>
    </row>
    <row r="1302" customFormat="false" ht="15" hidden="false" customHeight="false" outlineLevel="0" collapsed="false">
      <c r="A1302" s="4" t="s">
        <v>44</v>
      </c>
      <c r="B1302" s="4" t="s">
        <v>373</v>
      </c>
      <c r="C1302" s="47" t="n">
        <v>2273.38</v>
      </c>
      <c r="D1302" s="48" t="n">
        <v>1572.24</v>
      </c>
      <c r="E1302" s="49" t="n">
        <f aca="false">D1302-cover</f>
        <v>1571.04</v>
      </c>
      <c r="F1302" s="50" t="n">
        <f aca="false">'Z6 Nkangamo-Uhuru'!S18-'Z6 Nkangamo-Uhuru'!P18*C1302/'Z6 Nkangamo-Uhuru'!G18</f>
        <v>1734.68722456935</v>
      </c>
      <c r="G1302" s="51" t="n">
        <f aca="false">'Z6 Nkangamo-Uhuru'!$B$8-E1302</f>
        <v>135.46</v>
      </c>
      <c r="H1302" s="52" t="n">
        <f aca="false">F1302-E1302</f>
        <v>163.647224569354</v>
      </c>
      <c r="I1302" s="52" t="n">
        <f aca="false">MAX(H1302,G1302)</f>
        <v>163.647224569354</v>
      </c>
      <c r="J1302" s="4" t="str">
        <f aca="false">IFERROR("PN"&amp;SMALL(PN_list,COUNTIF(PN_list,"&lt;"&amp;I1302*bar_per_m)+1),"&gt; max PN")</f>
        <v>PN25</v>
      </c>
      <c r="K1302" s="4" t="str">
        <f aca="false">IF(L1302="no","end at tank",IF(H1302&lt;0,"NEGATIVE",IF(H1302&lt;p_min-0.005,"low","OK")))</f>
        <v>OK</v>
      </c>
      <c r="L1302" s="4" t="s">
        <v>414</v>
      </c>
    </row>
    <row r="1303" customFormat="false" ht="15" hidden="false" customHeight="false" outlineLevel="0" collapsed="false">
      <c r="A1303" s="4" t="s">
        <v>44</v>
      </c>
      <c r="B1303" s="4" t="s">
        <v>373</v>
      </c>
      <c r="C1303" s="47" t="n">
        <v>2293.38</v>
      </c>
      <c r="D1303" s="48" t="n">
        <v>1572.41</v>
      </c>
      <c r="E1303" s="49" t="n">
        <f aca="false">D1303-cover</f>
        <v>1571.21</v>
      </c>
      <c r="F1303" s="50" t="n">
        <f aca="false">'Z6 Nkangamo-Uhuru'!S18-'Z6 Nkangamo-Uhuru'!P18*C1303/'Z6 Nkangamo-Uhuru'!G18</f>
        <v>1734.65607126641</v>
      </c>
      <c r="G1303" s="51" t="n">
        <f aca="false">'Z6 Nkangamo-Uhuru'!$B$8-E1303</f>
        <v>135.29</v>
      </c>
      <c r="H1303" s="52" t="n">
        <f aca="false">F1303-E1303</f>
        <v>163.446071266407</v>
      </c>
      <c r="I1303" s="52" t="n">
        <f aca="false">MAX(H1303,G1303)</f>
        <v>163.446071266407</v>
      </c>
      <c r="J1303" s="4" t="str">
        <f aca="false">IFERROR("PN"&amp;SMALL(PN_list,COUNTIF(PN_list,"&lt;"&amp;I1303*bar_per_m)+1),"&gt; max PN")</f>
        <v>PN25</v>
      </c>
      <c r="K1303" s="4" t="str">
        <f aca="false">IF(L1303="no","end at tank",IF(H1303&lt;0,"NEGATIVE",IF(H1303&lt;p_min-0.005,"low","OK")))</f>
        <v>OK</v>
      </c>
      <c r="L1303" s="4" t="s">
        <v>414</v>
      </c>
    </row>
    <row r="1304" customFormat="false" ht="15" hidden="false" customHeight="false" outlineLevel="0" collapsed="false">
      <c r="A1304" s="4" t="s">
        <v>44</v>
      </c>
      <c r="B1304" s="4" t="s">
        <v>373</v>
      </c>
      <c r="C1304" s="47" t="n">
        <v>2313.38</v>
      </c>
      <c r="D1304" s="48" t="n">
        <v>1572.67</v>
      </c>
      <c r="E1304" s="49" t="n">
        <f aca="false">D1304-cover</f>
        <v>1571.47</v>
      </c>
      <c r="F1304" s="50" t="n">
        <f aca="false">'Z6 Nkangamo-Uhuru'!S18-'Z6 Nkangamo-Uhuru'!P18*C1304/'Z6 Nkangamo-Uhuru'!G18</f>
        <v>1734.62491796346</v>
      </c>
      <c r="G1304" s="51" t="n">
        <f aca="false">'Z6 Nkangamo-Uhuru'!$B$8-E1304</f>
        <v>135.03</v>
      </c>
      <c r="H1304" s="52" t="n">
        <f aca="false">F1304-E1304</f>
        <v>163.15491796346</v>
      </c>
      <c r="I1304" s="52" t="n">
        <f aca="false">MAX(H1304,G1304)</f>
        <v>163.15491796346</v>
      </c>
      <c r="J1304" s="4" t="str">
        <f aca="false">IFERROR("PN"&amp;SMALL(PN_list,COUNTIF(PN_list,"&lt;"&amp;I1304*bar_per_m)+1),"&gt; max PN")</f>
        <v>PN25</v>
      </c>
      <c r="K1304" s="4" t="str">
        <f aca="false">IF(L1304="no","end at tank",IF(H1304&lt;0,"NEGATIVE",IF(H1304&lt;p_min-0.005,"low","OK")))</f>
        <v>OK</v>
      </c>
      <c r="L1304" s="4" t="s">
        <v>414</v>
      </c>
    </row>
    <row r="1305" customFormat="false" ht="15" hidden="false" customHeight="false" outlineLevel="0" collapsed="false">
      <c r="A1305" s="4" t="s">
        <v>44</v>
      </c>
      <c r="B1305" s="4" t="s">
        <v>373</v>
      </c>
      <c r="C1305" s="47" t="n">
        <v>2333.38</v>
      </c>
      <c r="D1305" s="48" t="n">
        <v>1572.45</v>
      </c>
      <c r="E1305" s="49" t="n">
        <f aca="false">D1305-cover</f>
        <v>1571.25</v>
      </c>
      <c r="F1305" s="50" t="n">
        <f aca="false">'Z6 Nkangamo-Uhuru'!S18-'Z6 Nkangamo-Uhuru'!P18*C1305/'Z6 Nkangamo-Uhuru'!G18</f>
        <v>1734.59376466051</v>
      </c>
      <c r="G1305" s="51" t="n">
        <f aca="false">'Z6 Nkangamo-Uhuru'!$B$8-E1305</f>
        <v>135.25</v>
      </c>
      <c r="H1305" s="52" t="n">
        <f aca="false">F1305-E1305</f>
        <v>163.343764660513</v>
      </c>
      <c r="I1305" s="52" t="n">
        <f aca="false">MAX(H1305,G1305)</f>
        <v>163.343764660513</v>
      </c>
      <c r="J1305" s="4" t="str">
        <f aca="false">IFERROR("PN"&amp;SMALL(PN_list,COUNTIF(PN_list,"&lt;"&amp;I1305*bar_per_m)+1),"&gt; max PN")</f>
        <v>PN25</v>
      </c>
      <c r="K1305" s="4" t="str">
        <f aca="false">IF(L1305="no","end at tank",IF(H1305&lt;0,"NEGATIVE",IF(H1305&lt;p_min-0.005,"low","OK")))</f>
        <v>OK</v>
      </c>
      <c r="L1305" s="4" t="s">
        <v>414</v>
      </c>
    </row>
    <row r="1306" customFormat="false" ht="15" hidden="false" customHeight="false" outlineLevel="0" collapsed="false">
      <c r="A1306" s="4" t="s">
        <v>44</v>
      </c>
      <c r="B1306" s="4" t="s">
        <v>373</v>
      </c>
      <c r="C1306" s="47" t="n">
        <v>2353.38</v>
      </c>
      <c r="D1306" s="48" t="n">
        <v>1572.45</v>
      </c>
      <c r="E1306" s="49" t="n">
        <f aca="false">D1306-cover</f>
        <v>1571.25</v>
      </c>
      <c r="F1306" s="50" t="n">
        <f aca="false">'Z6 Nkangamo-Uhuru'!S18-'Z6 Nkangamo-Uhuru'!P18*C1306/'Z6 Nkangamo-Uhuru'!G18</f>
        <v>1734.56261135757</v>
      </c>
      <c r="G1306" s="51" t="n">
        <f aca="false">'Z6 Nkangamo-Uhuru'!$B$8-E1306</f>
        <v>135.25</v>
      </c>
      <c r="H1306" s="52" t="n">
        <f aca="false">F1306-E1306</f>
        <v>163.312611357566</v>
      </c>
      <c r="I1306" s="52" t="n">
        <f aca="false">MAX(H1306,G1306)</f>
        <v>163.312611357566</v>
      </c>
      <c r="J1306" s="4" t="str">
        <f aca="false">IFERROR("PN"&amp;SMALL(PN_list,COUNTIF(PN_list,"&lt;"&amp;I1306*bar_per_m)+1),"&gt; max PN")</f>
        <v>PN25</v>
      </c>
      <c r="K1306" s="4" t="str">
        <f aca="false">IF(L1306="no","end at tank",IF(H1306&lt;0,"NEGATIVE",IF(H1306&lt;p_min-0.005,"low","OK")))</f>
        <v>OK</v>
      </c>
      <c r="L1306" s="4" t="s">
        <v>414</v>
      </c>
    </row>
    <row r="1307" customFormat="false" ht="15" hidden="false" customHeight="false" outlineLevel="0" collapsed="false">
      <c r="A1307" s="4" t="s">
        <v>44</v>
      </c>
      <c r="B1307" s="4" t="s">
        <v>373</v>
      </c>
      <c r="C1307" s="47" t="n">
        <v>2373.38</v>
      </c>
      <c r="D1307" s="48" t="n">
        <v>1572.41</v>
      </c>
      <c r="E1307" s="49" t="n">
        <f aca="false">D1307-cover</f>
        <v>1571.21</v>
      </c>
      <c r="F1307" s="50" t="n">
        <f aca="false">'Z6 Nkangamo-Uhuru'!S18-'Z6 Nkangamo-Uhuru'!P18*C1307/'Z6 Nkangamo-Uhuru'!G18</f>
        <v>1734.53145805462</v>
      </c>
      <c r="G1307" s="51" t="n">
        <f aca="false">'Z6 Nkangamo-Uhuru'!$B$8-E1307</f>
        <v>135.29</v>
      </c>
      <c r="H1307" s="52" t="n">
        <f aca="false">F1307-E1307</f>
        <v>163.32145805462</v>
      </c>
      <c r="I1307" s="52" t="n">
        <f aca="false">MAX(H1307,G1307)</f>
        <v>163.32145805462</v>
      </c>
      <c r="J1307" s="4" t="str">
        <f aca="false">IFERROR("PN"&amp;SMALL(PN_list,COUNTIF(PN_list,"&lt;"&amp;I1307*bar_per_m)+1),"&gt; max PN")</f>
        <v>PN25</v>
      </c>
      <c r="K1307" s="4" t="str">
        <f aca="false">IF(L1307="no","end at tank",IF(H1307&lt;0,"NEGATIVE",IF(H1307&lt;p_min-0.005,"low","OK")))</f>
        <v>OK</v>
      </c>
      <c r="L1307" s="4" t="s">
        <v>414</v>
      </c>
    </row>
    <row r="1308" customFormat="false" ht="15" hidden="false" customHeight="false" outlineLevel="0" collapsed="false">
      <c r="A1308" s="4" t="s">
        <v>44</v>
      </c>
      <c r="B1308" s="4" t="s">
        <v>373</v>
      </c>
      <c r="C1308" s="47" t="n">
        <v>2393.38</v>
      </c>
      <c r="D1308" s="48" t="n">
        <v>1572.41</v>
      </c>
      <c r="E1308" s="49" t="n">
        <f aca="false">D1308-cover</f>
        <v>1571.21</v>
      </c>
      <c r="F1308" s="50" t="n">
        <f aca="false">'Z6 Nkangamo-Uhuru'!S18-'Z6 Nkangamo-Uhuru'!P18*C1308/'Z6 Nkangamo-Uhuru'!G18</f>
        <v>1734.50030475167</v>
      </c>
      <c r="G1308" s="51" t="n">
        <f aca="false">'Z6 Nkangamo-Uhuru'!$B$8-E1308</f>
        <v>135.29</v>
      </c>
      <c r="H1308" s="52" t="n">
        <f aca="false">F1308-E1308</f>
        <v>163.290304751673</v>
      </c>
      <c r="I1308" s="52" t="n">
        <f aca="false">MAX(H1308,G1308)</f>
        <v>163.290304751673</v>
      </c>
      <c r="J1308" s="4" t="str">
        <f aca="false">IFERROR("PN"&amp;SMALL(PN_list,COUNTIF(PN_list,"&lt;"&amp;I1308*bar_per_m)+1),"&gt; max PN")</f>
        <v>PN25</v>
      </c>
      <c r="K1308" s="4" t="str">
        <f aca="false">IF(L1308="no","end at tank",IF(H1308&lt;0,"NEGATIVE",IF(H1308&lt;p_min-0.005,"low","OK")))</f>
        <v>OK</v>
      </c>
      <c r="L1308" s="4" t="s">
        <v>414</v>
      </c>
    </row>
    <row r="1309" customFormat="false" ht="15" hidden="false" customHeight="false" outlineLevel="0" collapsed="false">
      <c r="A1309" s="4" t="s">
        <v>44</v>
      </c>
      <c r="B1309" s="4" t="s">
        <v>373</v>
      </c>
      <c r="C1309" s="47" t="n">
        <v>2413.38</v>
      </c>
      <c r="D1309" s="48" t="n">
        <v>1572.49</v>
      </c>
      <c r="E1309" s="49" t="n">
        <f aca="false">D1309-cover</f>
        <v>1571.29</v>
      </c>
      <c r="F1309" s="50" t="n">
        <f aca="false">'Z6 Nkangamo-Uhuru'!S18-'Z6 Nkangamo-Uhuru'!P18*C1309/'Z6 Nkangamo-Uhuru'!G18</f>
        <v>1734.46915144873</v>
      </c>
      <c r="G1309" s="51" t="n">
        <f aca="false">'Z6 Nkangamo-Uhuru'!$B$8-E1309</f>
        <v>135.21</v>
      </c>
      <c r="H1309" s="52" t="n">
        <f aca="false">F1309-E1309</f>
        <v>163.179151448726</v>
      </c>
      <c r="I1309" s="52" t="n">
        <f aca="false">MAX(H1309,G1309)</f>
        <v>163.179151448726</v>
      </c>
      <c r="J1309" s="4" t="str">
        <f aca="false">IFERROR("PN"&amp;SMALL(PN_list,COUNTIF(PN_list,"&lt;"&amp;I1309*bar_per_m)+1),"&gt; max PN")</f>
        <v>PN25</v>
      </c>
      <c r="K1309" s="4" t="str">
        <f aca="false">IF(L1309="no","end at tank",IF(H1309&lt;0,"NEGATIVE",IF(H1309&lt;p_min-0.005,"low","OK")))</f>
        <v>OK</v>
      </c>
      <c r="L1309" s="4" t="s">
        <v>414</v>
      </c>
    </row>
    <row r="1310" customFormat="false" ht="15" hidden="false" customHeight="false" outlineLevel="0" collapsed="false">
      <c r="A1310" s="4" t="s">
        <v>44</v>
      </c>
      <c r="B1310" s="4" t="s">
        <v>373</v>
      </c>
      <c r="C1310" s="47" t="n">
        <v>2433.38</v>
      </c>
      <c r="D1310" s="48" t="n">
        <v>1572.29</v>
      </c>
      <c r="E1310" s="49" t="n">
        <f aca="false">D1310-cover</f>
        <v>1571.09</v>
      </c>
      <c r="F1310" s="50" t="n">
        <f aca="false">'Z6 Nkangamo-Uhuru'!S18-'Z6 Nkangamo-Uhuru'!P18*C1310/'Z6 Nkangamo-Uhuru'!G18</f>
        <v>1734.43799814578</v>
      </c>
      <c r="G1310" s="51" t="n">
        <f aca="false">'Z6 Nkangamo-Uhuru'!$B$8-E1310</f>
        <v>135.41</v>
      </c>
      <c r="H1310" s="52" t="n">
        <f aca="false">F1310-E1310</f>
        <v>163.347998145779</v>
      </c>
      <c r="I1310" s="52" t="n">
        <f aca="false">MAX(H1310,G1310)</f>
        <v>163.347998145779</v>
      </c>
      <c r="J1310" s="4" t="str">
        <f aca="false">IFERROR("PN"&amp;SMALL(PN_list,COUNTIF(PN_list,"&lt;"&amp;I1310*bar_per_m)+1),"&gt; max PN")</f>
        <v>PN25</v>
      </c>
      <c r="K1310" s="4" t="str">
        <f aca="false">IF(L1310="no","end at tank",IF(H1310&lt;0,"NEGATIVE",IF(H1310&lt;p_min-0.005,"low","OK")))</f>
        <v>OK</v>
      </c>
      <c r="L1310" s="4" t="s">
        <v>414</v>
      </c>
    </row>
    <row r="1311" customFormat="false" ht="15" hidden="false" customHeight="false" outlineLevel="0" collapsed="false">
      <c r="A1311" s="4" t="s">
        <v>44</v>
      </c>
      <c r="B1311" s="4" t="s">
        <v>373</v>
      </c>
      <c r="C1311" s="47" t="n">
        <v>2453.38</v>
      </c>
      <c r="D1311" s="48" t="n">
        <v>1572.29</v>
      </c>
      <c r="E1311" s="49" t="n">
        <f aca="false">D1311-cover</f>
        <v>1571.09</v>
      </c>
      <c r="F1311" s="50" t="n">
        <f aca="false">'Z6 Nkangamo-Uhuru'!S18-'Z6 Nkangamo-Uhuru'!P18*C1311/'Z6 Nkangamo-Uhuru'!G18</f>
        <v>1734.40684484283</v>
      </c>
      <c r="G1311" s="51" t="n">
        <f aca="false">'Z6 Nkangamo-Uhuru'!$B$8-E1311</f>
        <v>135.41</v>
      </c>
      <c r="H1311" s="52" t="n">
        <f aca="false">F1311-E1311</f>
        <v>163.316844842832</v>
      </c>
      <c r="I1311" s="52" t="n">
        <f aca="false">MAX(H1311,G1311)</f>
        <v>163.316844842832</v>
      </c>
      <c r="J1311" s="4" t="str">
        <f aca="false">IFERROR("PN"&amp;SMALL(PN_list,COUNTIF(PN_list,"&lt;"&amp;I1311*bar_per_m)+1),"&gt; max PN")</f>
        <v>PN25</v>
      </c>
      <c r="K1311" s="4" t="str">
        <f aca="false">IF(L1311="no","end at tank",IF(H1311&lt;0,"NEGATIVE",IF(H1311&lt;p_min-0.005,"low","OK")))</f>
        <v>OK</v>
      </c>
      <c r="L1311" s="4" t="s">
        <v>414</v>
      </c>
    </row>
    <row r="1312" customFormat="false" ht="15" hidden="false" customHeight="false" outlineLevel="0" collapsed="false">
      <c r="A1312" s="4" t="s">
        <v>44</v>
      </c>
      <c r="B1312" s="4" t="s">
        <v>373</v>
      </c>
      <c r="C1312" s="47" t="n">
        <v>2473.39</v>
      </c>
      <c r="D1312" s="48" t="n">
        <v>1572.03</v>
      </c>
      <c r="E1312" s="49" t="n">
        <f aca="false">D1312-cover</f>
        <v>1570.83</v>
      </c>
      <c r="F1312" s="50" t="n">
        <f aca="false">'Z6 Nkangamo-Uhuru'!S18-'Z6 Nkangamo-Uhuru'!P18*C1312/'Z6 Nkangamo-Uhuru'!G18</f>
        <v>1734.37567596323</v>
      </c>
      <c r="G1312" s="51" t="n">
        <f aca="false">'Z6 Nkangamo-Uhuru'!$B$8-E1312</f>
        <v>135.67</v>
      </c>
      <c r="H1312" s="52" t="n">
        <f aca="false">F1312-E1312</f>
        <v>163.545675963234</v>
      </c>
      <c r="I1312" s="52" t="n">
        <f aca="false">MAX(H1312,G1312)</f>
        <v>163.545675963234</v>
      </c>
      <c r="J1312" s="4" t="str">
        <f aca="false">IFERROR("PN"&amp;SMALL(PN_list,COUNTIF(PN_list,"&lt;"&amp;I1312*bar_per_m)+1),"&gt; max PN")</f>
        <v>PN25</v>
      </c>
      <c r="K1312" s="4" t="str">
        <f aca="false">IF(L1312="no","end at tank",IF(H1312&lt;0,"NEGATIVE",IF(H1312&lt;p_min-0.005,"low","OK")))</f>
        <v>OK</v>
      </c>
      <c r="L1312" s="4" t="s">
        <v>414</v>
      </c>
    </row>
    <row r="1313" customFormat="false" ht="15" hidden="false" customHeight="false" outlineLevel="0" collapsed="false">
      <c r="A1313" s="4" t="s">
        <v>44</v>
      </c>
      <c r="B1313" s="4" t="s">
        <v>373</v>
      </c>
      <c r="C1313" s="47" t="n">
        <v>2493.39</v>
      </c>
      <c r="D1313" s="48" t="n">
        <v>1572.12</v>
      </c>
      <c r="E1313" s="49" t="n">
        <f aca="false">D1313-cover</f>
        <v>1570.92</v>
      </c>
      <c r="F1313" s="50" t="n">
        <f aca="false">'Z6 Nkangamo-Uhuru'!S18-'Z6 Nkangamo-Uhuru'!P18*C1313/'Z6 Nkangamo-Uhuru'!G18</f>
        <v>1734.34452266029</v>
      </c>
      <c r="G1313" s="51" t="n">
        <f aca="false">'Z6 Nkangamo-Uhuru'!$B$8-E1313</f>
        <v>135.58</v>
      </c>
      <c r="H1313" s="52" t="n">
        <f aca="false">F1313-E1313</f>
        <v>163.424522660287</v>
      </c>
      <c r="I1313" s="52" t="n">
        <f aca="false">MAX(H1313,G1313)</f>
        <v>163.424522660287</v>
      </c>
      <c r="J1313" s="4" t="str">
        <f aca="false">IFERROR("PN"&amp;SMALL(PN_list,COUNTIF(PN_list,"&lt;"&amp;I1313*bar_per_m)+1),"&gt; max PN")</f>
        <v>PN25</v>
      </c>
      <c r="K1313" s="4" t="str">
        <f aca="false">IF(L1313="no","end at tank",IF(H1313&lt;0,"NEGATIVE",IF(H1313&lt;p_min-0.005,"low","OK")))</f>
        <v>OK</v>
      </c>
      <c r="L1313" s="4" t="s">
        <v>414</v>
      </c>
    </row>
    <row r="1314" customFormat="false" ht="15" hidden="false" customHeight="false" outlineLevel="0" collapsed="false">
      <c r="A1314" s="4" t="s">
        <v>44</v>
      </c>
      <c r="B1314" s="4" t="s">
        <v>373</v>
      </c>
      <c r="C1314" s="47" t="n">
        <v>2513.39</v>
      </c>
      <c r="D1314" s="48" t="n">
        <v>1572.12</v>
      </c>
      <c r="E1314" s="49" t="n">
        <f aca="false">D1314-cover</f>
        <v>1570.92</v>
      </c>
      <c r="F1314" s="50" t="n">
        <f aca="false">'Z6 Nkangamo-Uhuru'!S18-'Z6 Nkangamo-Uhuru'!P18*C1314/'Z6 Nkangamo-Uhuru'!G18</f>
        <v>1734.31336935734</v>
      </c>
      <c r="G1314" s="51" t="n">
        <f aca="false">'Z6 Nkangamo-Uhuru'!$B$8-E1314</f>
        <v>135.58</v>
      </c>
      <c r="H1314" s="52" t="n">
        <f aca="false">F1314-E1314</f>
        <v>163.39336935734</v>
      </c>
      <c r="I1314" s="52" t="n">
        <f aca="false">MAX(H1314,G1314)</f>
        <v>163.39336935734</v>
      </c>
      <c r="J1314" s="4" t="str">
        <f aca="false">IFERROR("PN"&amp;SMALL(PN_list,COUNTIF(PN_list,"&lt;"&amp;I1314*bar_per_m)+1),"&gt; max PN")</f>
        <v>PN25</v>
      </c>
      <c r="K1314" s="4" t="str">
        <f aca="false">IF(L1314="no","end at tank",IF(H1314&lt;0,"NEGATIVE",IF(H1314&lt;p_min-0.005,"low","OK")))</f>
        <v>OK</v>
      </c>
      <c r="L1314" s="4" t="s">
        <v>414</v>
      </c>
    </row>
    <row r="1315" customFormat="false" ht="15" hidden="false" customHeight="false" outlineLevel="0" collapsed="false">
      <c r="A1315" s="4" t="s">
        <v>44</v>
      </c>
      <c r="B1315" s="4" t="s">
        <v>373</v>
      </c>
      <c r="C1315" s="47" t="n">
        <v>2533.39</v>
      </c>
      <c r="D1315" s="48" t="n">
        <v>1572.22</v>
      </c>
      <c r="E1315" s="49" t="n">
        <f aca="false">D1315-cover</f>
        <v>1571.02</v>
      </c>
      <c r="F1315" s="50" t="n">
        <f aca="false">'Z6 Nkangamo-Uhuru'!S18-'Z6 Nkangamo-Uhuru'!P18*C1315/'Z6 Nkangamo-Uhuru'!G18</f>
        <v>1734.28221605439</v>
      </c>
      <c r="G1315" s="51" t="n">
        <f aca="false">'Z6 Nkangamo-Uhuru'!$B$8-E1315</f>
        <v>135.48</v>
      </c>
      <c r="H1315" s="52" t="n">
        <f aca="false">F1315-E1315</f>
        <v>163.262216054394</v>
      </c>
      <c r="I1315" s="52" t="n">
        <f aca="false">MAX(H1315,G1315)</f>
        <v>163.262216054394</v>
      </c>
      <c r="J1315" s="4" t="str">
        <f aca="false">IFERROR("PN"&amp;SMALL(PN_list,COUNTIF(PN_list,"&lt;"&amp;I1315*bar_per_m)+1),"&gt; max PN")</f>
        <v>PN25</v>
      </c>
      <c r="K1315" s="4" t="str">
        <f aca="false">IF(L1315="no","end at tank",IF(H1315&lt;0,"NEGATIVE",IF(H1315&lt;p_min-0.005,"low","OK")))</f>
        <v>OK</v>
      </c>
      <c r="L1315" s="4" t="s">
        <v>414</v>
      </c>
    </row>
    <row r="1316" customFormat="false" ht="15" hidden="false" customHeight="false" outlineLevel="0" collapsed="false">
      <c r="A1316" s="4" t="s">
        <v>44</v>
      </c>
      <c r="B1316" s="4" t="s">
        <v>373</v>
      </c>
      <c r="C1316" s="47" t="n">
        <v>2553.39</v>
      </c>
      <c r="D1316" s="48" t="n">
        <v>1572.77</v>
      </c>
      <c r="E1316" s="49" t="n">
        <f aca="false">D1316-cover</f>
        <v>1571.57</v>
      </c>
      <c r="F1316" s="50" t="n">
        <f aca="false">'Z6 Nkangamo-Uhuru'!S18-'Z6 Nkangamo-Uhuru'!P18*C1316/'Z6 Nkangamo-Uhuru'!G18</f>
        <v>1734.25106275145</v>
      </c>
      <c r="G1316" s="51" t="n">
        <f aca="false">'Z6 Nkangamo-Uhuru'!$B$8-E1316</f>
        <v>134.93</v>
      </c>
      <c r="H1316" s="52" t="n">
        <f aca="false">F1316-E1316</f>
        <v>162.681062751447</v>
      </c>
      <c r="I1316" s="52" t="n">
        <f aca="false">MAX(H1316,G1316)</f>
        <v>162.681062751447</v>
      </c>
      <c r="J1316" s="4" t="str">
        <f aca="false">IFERROR("PN"&amp;SMALL(PN_list,COUNTIF(PN_list,"&lt;"&amp;I1316*bar_per_m)+1),"&gt; max PN")</f>
        <v>PN16</v>
      </c>
      <c r="K1316" s="4" t="str">
        <f aca="false">IF(L1316="no","end at tank",IF(H1316&lt;0,"NEGATIVE",IF(H1316&lt;p_min-0.005,"low","OK")))</f>
        <v>OK</v>
      </c>
      <c r="L1316" s="4" t="s">
        <v>414</v>
      </c>
    </row>
    <row r="1317" customFormat="false" ht="15" hidden="false" customHeight="false" outlineLevel="0" collapsed="false">
      <c r="A1317" s="4" t="s">
        <v>44</v>
      </c>
      <c r="B1317" s="4" t="s">
        <v>373</v>
      </c>
      <c r="C1317" s="47" t="n">
        <v>2573.39</v>
      </c>
      <c r="D1317" s="48" t="n">
        <v>1572.77</v>
      </c>
      <c r="E1317" s="49" t="n">
        <f aca="false">D1317-cover</f>
        <v>1571.57</v>
      </c>
      <c r="F1317" s="50" t="n">
        <f aca="false">'Z6 Nkangamo-Uhuru'!S18-'Z6 Nkangamo-Uhuru'!P18*C1317/'Z6 Nkangamo-Uhuru'!G18</f>
        <v>1734.2199094485</v>
      </c>
      <c r="G1317" s="51" t="n">
        <f aca="false">'Z6 Nkangamo-Uhuru'!$B$8-E1317</f>
        <v>134.93</v>
      </c>
      <c r="H1317" s="52" t="n">
        <f aca="false">F1317-E1317</f>
        <v>162.6499094485</v>
      </c>
      <c r="I1317" s="52" t="n">
        <f aca="false">MAX(H1317,G1317)</f>
        <v>162.6499094485</v>
      </c>
      <c r="J1317" s="4" t="str">
        <f aca="false">IFERROR("PN"&amp;SMALL(PN_list,COUNTIF(PN_list,"&lt;"&amp;I1317*bar_per_m)+1),"&gt; max PN")</f>
        <v>PN16</v>
      </c>
      <c r="K1317" s="4" t="str">
        <f aca="false">IF(L1317="no","end at tank",IF(H1317&lt;0,"NEGATIVE",IF(H1317&lt;p_min-0.005,"low","OK")))</f>
        <v>OK</v>
      </c>
      <c r="L1317" s="4" t="s">
        <v>414</v>
      </c>
    </row>
    <row r="1318" customFormat="false" ht="15" hidden="false" customHeight="false" outlineLevel="0" collapsed="false">
      <c r="A1318" s="4" t="s">
        <v>44</v>
      </c>
      <c r="B1318" s="4" t="s">
        <v>373</v>
      </c>
      <c r="C1318" s="47" t="n">
        <v>2593.4</v>
      </c>
      <c r="D1318" s="48" t="n">
        <v>1573.18</v>
      </c>
      <c r="E1318" s="49" t="n">
        <f aca="false">D1318-cover</f>
        <v>1571.98</v>
      </c>
      <c r="F1318" s="50" t="n">
        <f aca="false">'Z6 Nkangamo-Uhuru'!S18-'Z6 Nkangamo-Uhuru'!P18*C1318/'Z6 Nkangamo-Uhuru'!G18</f>
        <v>1734.1887405689</v>
      </c>
      <c r="G1318" s="51" t="n">
        <f aca="false">'Z6 Nkangamo-Uhuru'!$B$8-E1318</f>
        <v>134.52</v>
      </c>
      <c r="H1318" s="52" t="n">
        <f aca="false">F1318-E1318</f>
        <v>162.208740568901</v>
      </c>
      <c r="I1318" s="52" t="n">
        <f aca="false">MAX(H1318,G1318)</f>
        <v>162.208740568901</v>
      </c>
      <c r="J1318" s="4" t="str">
        <f aca="false">IFERROR("PN"&amp;SMALL(PN_list,COUNTIF(PN_list,"&lt;"&amp;I1318*bar_per_m)+1),"&gt; max PN")</f>
        <v>PN16</v>
      </c>
      <c r="K1318" s="4" t="str">
        <f aca="false">IF(L1318="no","end at tank",IF(H1318&lt;0,"NEGATIVE",IF(H1318&lt;p_min-0.005,"low","OK")))</f>
        <v>OK</v>
      </c>
      <c r="L1318" s="4" t="s">
        <v>414</v>
      </c>
    </row>
    <row r="1319" customFormat="false" ht="15" hidden="false" customHeight="false" outlineLevel="0" collapsed="false">
      <c r="A1319" s="4" t="s">
        <v>44</v>
      </c>
      <c r="B1319" s="4" t="s">
        <v>373</v>
      </c>
      <c r="C1319" s="47" t="n">
        <v>2613.4</v>
      </c>
      <c r="D1319" s="48" t="n">
        <v>1573.44</v>
      </c>
      <c r="E1319" s="49" t="n">
        <f aca="false">D1319-cover</f>
        <v>1572.24</v>
      </c>
      <c r="F1319" s="50" t="n">
        <f aca="false">'Z6 Nkangamo-Uhuru'!S18-'Z6 Nkangamo-Uhuru'!P18*C1319/'Z6 Nkangamo-Uhuru'!G18</f>
        <v>1734.15758726595</v>
      </c>
      <c r="G1319" s="51" t="n">
        <f aca="false">'Z6 Nkangamo-Uhuru'!$B$8-E1319</f>
        <v>134.26</v>
      </c>
      <c r="H1319" s="52" t="n">
        <f aca="false">F1319-E1319</f>
        <v>161.917587265955</v>
      </c>
      <c r="I1319" s="52" t="n">
        <f aca="false">MAX(H1319,G1319)</f>
        <v>161.917587265955</v>
      </c>
      <c r="J1319" s="4" t="str">
        <f aca="false">IFERROR("PN"&amp;SMALL(PN_list,COUNTIF(PN_list,"&lt;"&amp;I1319*bar_per_m)+1),"&gt; max PN")</f>
        <v>PN16</v>
      </c>
      <c r="K1319" s="4" t="str">
        <f aca="false">IF(L1319="no","end at tank",IF(H1319&lt;0,"NEGATIVE",IF(H1319&lt;p_min-0.005,"low","OK")))</f>
        <v>OK</v>
      </c>
      <c r="L1319" s="4" t="s">
        <v>414</v>
      </c>
    </row>
    <row r="1320" customFormat="false" ht="15" hidden="false" customHeight="false" outlineLevel="0" collapsed="false">
      <c r="A1320" s="4" t="s">
        <v>44</v>
      </c>
      <c r="B1320" s="4" t="s">
        <v>373</v>
      </c>
      <c r="C1320" s="47" t="n">
        <v>2633.41</v>
      </c>
      <c r="D1320" s="48" t="n">
        <v>1574.06</v>
      </c>
      <c r="E1320" s="49" t="n">
        <f aca="false">D1320-cover</f>
        <v>1572.86</v>
      </c>
      <c r="F1320" s="50" t="n">
        <f aca="false">'Z6 Nkangamo-Uhuru'!S18-'Z6 Nkangamo-Uhuru'!P18*C1320/'Z6 Nkangamo-Uhuru'!G18</f>
        <v>1734.12641838636</v>
      </c>
      <c r="G1320" s="51" t="n">
        <f aca="false">'Z6 Nkangamo-Uhuru'!$B$8-E1320</f>
        <v>133.64</v>
      </c>
      <c r="H1320" s="52" t="n">
        <f aca="false">F1320-E1320</f>
        <v>161.266418386356</v>
      </c>
      <c r="I1320" s="52" t="n">
        <f aca="false">MAX(H1320,G1320)</f>
        <v>161.266418386356</v>
      </c>
      <c r="J1320" s="4" t="str">
        <f aca="false">IFERROR("PN"&amp;SMALL(PN_list,COUNTIF(PN_list,"&lt;"&amp;I1320*bar_per_m)+1),"&gt; max PN")</f>
        <v>PN16</v>
      </c>
      <c r="K1320" s="4" t="str">
        <f aca="false">IF(L1320="no","end at tank",IF(H1320&lt;0,"NEGATIVE",IF(H1320&lt;p_min-0.005,"low","OK")))</f>
        <v>OK</v>
      </c>
      <c r="L1320" s="4" t="s">
        <v>414</v>
      </c>
    </row>
    <row r="1321" customFormat="false" ht="15" hidden="false" customHeight="false" outlineLevel="0" collapsed="false">
      <c r="A1321" s="4" t="s">
        <v>44</v>
      </c>
      <c r="B1321" s="4" t="s">
        <v>373</v>
      </c>
      <c r="C1321" s="47" t="n">
        <v>2653.41</v>
      </c>
      <c r="D1321" s="48" t="n">
        <v>1574.06</v>
      </c>
      <c r="E1321" s="49" t="n">
        <f aca="false">D1321-cover</f>
        <v>1572.86</v>
      </c>
      <c r="F1321" s="50" t="n">
        <f aca="false">'Z6 Nkangamo-Uhuru'!S18-'Z6 Nkangamo-Uhuru'!P18*C1321/'Z6 Nkangamo-Uhuru'!G18</f>
        <v>1734.09526508341</v>
      </c>
      <c r="G1321" s="51" t="n">
        <f aca="false">'Z6 Nkangamo-Uhuru'!$B$8-E1321</f>
        <v>133.64</v>
      </c>
      <c r="H1321" s="52" t="n">
        <f aca="false">F1321-E1321</f>
        <v>161.23526508341</v>
      </c>
      <c r="I1321" s="52" t="n">
        <f aca="false">MAX(H1321,G1321)</f>
        <v>161.23526508341</v>
      </c>
      <c r="J1321" s="4" t="str">
        <f aca="false">IFERROR("PN"&amp;SMALL(PN_list,COUNTIF(PN_list,"&lt;"&amp;I1321*bar_per_m)+1),"&gt; max PN")</f>
        <v>PN16</v>
      </c>
      <c r="K1321" s="4" t="str">
        <f aca="false">IF(L1321="no","end at tank",IF(H1321&lt;0,"NEGATIVE",IF(H1321&lt;p_min-0.005,"low","OK")))</f>
        <v>OK</v>
      </c>
      <c r="L1321" s="4" t="s">
        <v>414</v>
      </c>
    </row>
    <row r="1322" customFormat="false" ht="15" hidden="false" customHeight="false" outlineLevel="0" collapsed="false">
      <c r="A1322" s="4" t="s">
        <v>44</v>
      </c>
      <c r="B1322" s="4" t="s">
        <v>373</v>
      </c>
      <c r="C1322" s="47" t="n">
        <v>2673.41</v>
      </c>
      <c r="D1322" s="48" t="n">
        <v>1574.48</v>
      </c>
      <c r="E1322" s="49" t="n">
        <f aca="false">D1322-cover</f>
        <v>1573.28</v>
      </c>
      <c r="F1322" s="50" t="n">
        <f aca="false">'Z6 Nkangamo-Uhuru'!S18-'Z6 Nkangamo-Uhuru'!P18*C1322/'Z6 Nkangamo-Uhuru'!G18</f>
        <v>1734.06411178046</v>
      </c>
      <c r="G1322" s="51" t="n">
        <f aca="false">'Z6 Nkangamo-Uhuru'!$B$8-E1322</f>
        <v>133.22</v>
      </c>
      <c r="H1322" s="52" t="n">
        <f aca="false">F1322-E1322</f>
        <v>160.784111780463</v>
      </c>
      <c r="I1322" s="52" t="n">
        <f aca="false">MAX(H1322,G1322)</f>
        <v>160.784111780463</v>
      </c>
      <c r="J1322" s="4" t="str">
        <f aca="false">IFERROR("PN"&amp;SMALL(PN_list,COUNTIF(PN_list,"&lt;"&amp;I1322*bar_per_m)+1),"&gt; max PN")</f>
        <v>PN16</v>
      </c>
      <c r="K1322" s="4" t="str">
        <f aca="false">IF(L1322="no","end at tank",IF(H1322&lt;0,"NEGATIVE",IF(H1322&lt;p_min-0.005,"low","OK")))</f>
        <v>OK</v>
      </c>
      <c r="L1322" s="4" t="s">
        <v>414</v>
      </c>
    </row>
    <row r="1323" customFormat="false" ht="15" hidden="false" customHeight="false" outlineLevel="0" collapsed="false">
      <c r="A1323" s="4" t="s">
        <v>44</v>
      </c>
      <c r="B1323" s="4" t="s">
        <v>373</v>
      </c>
      <c r="C1323" s="47" t="n">
        <v>2693.42</v>
      </c>
      <c r="D1323" s="48" t="n">
        <v>1574.76</v>
      </c>
      <c r="E1323" s="49" t="n">
        <f aca="false">D1323-cover</f>
        <v>1573.56</v>
      </c>
      <c r="F1323" s="50" t="n">
        <f aca="false">'Z6 Nkangamo-Uhuru'!S18-'Z6 Nkangamo-Uhuru'!P18*C1323/'Z6 Nkangamo-Uhuru'!G18</f>
        <v>1734.03294290086</v>
      </c>
      <c r="G1323" s="51" t="n">
        <f aca="false">'Z6 Nkangamo-Uhuru'!$B$8-E1323</f>
        <v>132.94</v>
      </c>
      <c r="H1323" s="52" t="n">
        <f aca="false">F1323-E1323</f>
        <v>160.472942900864</v>
      </c>
      <c r="I1323" s="52" t="n">
        <f aca="false">MAX(H1323,G1323)</f>
        <v>160.472942900864</v>
      </c>
      <c r="J1323" s="4" t="str">
        <f aca="false">IFERROR("PN"&amp;SMALL(PN_list,COUNTIF(PN_list,"&lt;"&amp;I1323*bar_per_m)+1),"&gt; max PN")</f>
        <v>PN16</v>
      </c>
      <c r="K1323" s="4" t="str">
        <f aca="false">IF(L1323="no","end at tank",IF(H1323&lt;0,"NEGATIVE",IF(H1323&lt;p_min-0.005,"low","OK")))</f>
        <v>OK</v>
      </c>
      <c r="L1323" s="4" t="s">
        <v>414</v>
      </c>
    </row>
    <row r="1324" customFormat="false" ht="15" hidden="false" customHeight="false" outlineLevel="0" collapsed="false">
      <c r="A1324" s="4" t="s">
        <v>44</v>
      </c>
      <c r="B1324" s="4" t="s">
        <v>373</v>
      </c>
      <c r="C1324" s="47" t="n">
        <v>2713.42</v>
      </c>
      <c r="D1324" s="48" t="n">
        <v>1574.76</v>
      </c>
      <c r="E1324" s="49" t="n">
        <f aca="false">D1324-cover</f>
        <v>1573.56</v>
      </c>
      <c r="F1324" s="50" t="n">
        <f aca="false">'Z6 Nkangamo-Uhuru'!S18-'Z6 Nkangamo-Uhuru'!P18*C1324/'Z6 Nkangamo-Uhuru'!G18</f>
        <v>1734.00178959792</v>
      </c>
      <c r="G1324" s="51" t="n">
        <f aca="false">'Z6 Nkangamo-Uhuru'!$B$8-E1324</f>
        <v>132.94</v>
      </c>
      <c r="H1324" s="52" t="n">
        <f aca="false">F1324-E1324</f>
        <v>160.441789597918</v>
      </c>
      <c r="I1324" s="52" t="n">
        <f aca="false">MAX(H1324,G1324)</f>
        <v>160.441789597918</v>
      </c>
      <c r="J1324" s="4" t="str">
        <f aca="false">IFERROR("PN"&amp;SMALL(PN_list,COUNTIF(PN_list,"&lt;"&amp;I1324*bar_per_m)+1),"&gt; max PN")</f>
        <v>PN16</v>
      </c>
      <c r="K1324" s="4" t="str">
        <f aca="false">IF(L1324="no","end at tank",IF(H1324&lt;0,"NEGATIVE",IF(H1324&lt;p_min-0.005,"low","OK")))</f>
        <v>OK</v>
      </c>
      <c r="L1324" s="4" t="s">
        <v>414</v>
      </c>
    </row>
    <row r="1325" customFormat="false" ht="15" hidden="false" customHeight="false" outlineLevel="0" collapsed="false">
      <c r="A1325" s="4" t="s">
        <v>44</v>
      </c>
      <c r="B1325" s="4" t="s">
        <v>373</v>
      </c>
      <c r="C1325" s="47" t="n">
        <v>2733.43</v>
      </c>
      <c r="D1325" s="48" t="n">
        <v>1575.42</v>
      </c>
      <c r="E1325" s="49" t="n">
        <f aca="false">D1325-cover</f>
        <v>1574.22</v>
      </c>
      <c r="F1325" s="50" t="n">
        <f aca="false">'Z6 Nkangamo-Uhuru'!S18-'Z6 Nkangamo-Uhuru'!P18*C1325/'Z6 Nkangamo-Uhuru'!G18</f>
        <v>1733.97062071832</v>
      </c>
      <c r="G1325" s="51" t="n">
        <f aca="false">'Z6 Nkangamo-Uhuru'!$B$8-E1325</f>
        <v>132.28</v>
      </c>
      <c r="H1325" s="52" t="n">
        <f aca="false">F1325-E1325</f>
        <v>159.750620718319</v>
      </c>
      <c r="I1325" s="52" t="n">
        <f aca="false">MAX(H1325,G1325)</f>
        <v>159.750620718319</v>
      </c>
      <c r="J1325" s="4" t="str">
        <f aca="false">IFERROR("PN"&amp;SMALL(PN_list,COUNTIF(PN_list,"&lt;"&amp;I1325*bar_per_m)+1),"&gt; max PN")</f>
        <v>PN16</v>
      </c>
      <c r="K1325" s="4" t="str">
        <f aca="false">IF(L1325="no","end at tank",IF(H1325&lt;0,"NEGATIVE",IF(H1325&lt;p_min-0.005,"low","OK")))</f>
        <v>OK</v>
      </c>
      <c r="L1325" s="4" t="s">
        <v>414</v>
      </c>
    </row>
    <row r="1326" customFormat="false" ht="15" hidden="false" customHeight="false" outlineLevel="0" collapsed="false">
      <c r="A1326" s="4" t="s">
        <v>44</v>
      </c>
      <c r="B1326" s="4" t="s">
        <v>373</v>
      </c>
      <c r="C1326" s="47" t="n">
        <v>2753.43</v>
      </c>
      <c r="D1326" s="48" t="n">
        <v>1575.83</v>
      </c>
      <c r="E1326" s="49" t="n">
        <f aca="false">D1326-cover</f>
        <v>1574.63</v>
      </c>
      <c r="F1326" s="50" t="n">
        <f aca="false">'Z6 Nkangamo-Uhuru'!S18-'Z6 Nkangamo-Uhuru'!P18*C1326/'Z6 Nkangamo-Uhuru'!G18</f>
        <v>1733.93946741537</v>
      </c>
      <c r="G1326" s="51" t="n">
        <f aca="false">'Z6 Nkangamo-Uhuru'!$B$8-E1326</f>
        <v>131.87</v>
      </c>
      <c r="H1326" s="52" t="n">
        <f aca="false">F1326-E1326</f>
        <v>159.309467415373</v>
      </c>
      <c r="I1326" s="52" t="n">
        <f aca="false">MAX(H1326,G1326)</f>
        <v>159.309467415373</v>
      </c>
      <c r="J1326" s="4" t="str">
        <f aca="false">IFERROR("PN"&amp;SMALL(PN_list,COUNTIF(PN_list,"&lt;"&amp;I1326*bar_per_m)+1),"&gt; max PN")</f>
        <v>PN16</v>
      </c>
      <c r="K1326" s="4" t="str">
        <f aca="false">IF(L1326="no","end at tank",IF(H1326&lt;0,"NEGATIVE",IF(H1326&lt;p_min-0.005,"low","OK")))</f>
        <v>OK</v>
      </c>
      <c r="L1326" s="4" t="s">
        <v>414</v>
      </c>
    </row>
    <row r="1327" customFormat="false" ht="15" hidden="false" customHeight="false" outlineLevel="0" collapsed="false">
      <c r="A1327" s="4" t="s">
        <v>44</v>
      </c>
      <c r="B1327" s="4" t="s">
        <v>373</v>
      </c>
      <c r="C1327" s="47" t="n">
        <v>2773.43</v>
      </c>
      <c r="D1327" s="48" t="n">
        <v>1575.83</v>
      </c>
      <c r="E1327" s="49" t="n">
        <f aca="false">D1327-cover</f>
        <v>1574.63</v>
      </c>
      <c r="F1327" s="50" t="n">
        <f aca="false">'Z6 Nkangamo-Uhuru'!S18-'Z6 Nkangamo-Uhuru'!P18*C1327/'Z6 Nkangamo-Uhuru'!G18</f>
        <v>1733.90831411243</v>
      </c>
      <c r="G1327" s="51" t="n">
        <f aca="false">'Z6 Nkangamo-Uhuru'!$B$8-E1327</f>
        <v>131.87</v>
      </c>
      <c r="H1327" s="52" t="n">
        <f aca="false">F1327-E1327</f>
        <v>159.278314112426</v>
      </c>
      <c r="I1327" s="52" t="n">
        <f aca="false">MAX(H1327,G1327)</f>
        <v>159.278314112426</v>
      </c>
      <c r="J1327" s="4" t="str">
        <f aca="false">IFERROR("PN"&amp;SMALL(PN_list,COUNTIF(PN_list,"&lt;"&amp;I1327*bar_per_m)+1),"&gt; max PN")</f>
        <v>PN16</v>
      </c>
      <c r="K1327" s="4" t="str">
        <f aca="false">IF(L1327="no","end at tank",IF(H1327&lt;0,"NEGATIVE",IF(H1327&lt;p_min-0.005,"low","OK")))</f>
        <v>OK</v>
      </c>
      <c r="L1327" s="4" t="s">
        <v>414</v>
      </c>
    </row>
    <row r="1328" customFormat="false" ht="15" hidden="false" customHeight="false" outlineLevel="0" collapsed="false">
      <c r="A1328" s="4" t="s">
        <v>44</v>
      </c>
      <c r="B1328" s="4" t="s">
        <v>373</v>
      </c>
      <c r="C1328" s="47" t="n">
        <v>2793.43</v>
      </c>
      <c r="D1328" s="48" t="n">
        <v>1575.76</v>
      </c>
      <c r="E1328" s="49" t="n">
        <f aca="false">D1328-cover</f>
        <v>1574.56</v>
      </c>
      <c r="F1328" s="50" t="n">
        <f aca="false">'Z6 Nkangamo-Uhuru'!S18-'Z6 Nkangamo-Uhuru'!P18*C1328/'Z6 Nkangamo-Uhuru'!G18</f>
        <v>1733.87716080948</v>
      </c>
      <c r="G1328" s="51" t="n">
        <f aca="false">'Z6 Nkangamo-Uhuru'!$B$8-E1328</f>
        <v>131.94</v>
      </c>
      <c r="H1328" s="52" t="n">
        <f aca="false">F1328-E1328</f>
        <v>159.317160809479</v>
      </c>
      <c r="I1328" s="52" t="n">
        <f aca="false">MAX(H1328,G1328)</f>
        <v>159.317160809479</v>
      </c>
      <c r="J1328" s="4" t="str">
        <f aca="false">IFERROR("PN"&amp;SMALL(PN_list,COUNTIF(PN_list,"&lt;"&amp;I1328*bar_per_m)+1),"&gt; max PN")</f>
        <v>PN16</v>
      </c>
      <c r="K1328" s="4" t="str">
        <f aca="false">IF(L1328="no","end at tank",IF(H1328&lt;0,"NEGATIVE",IF(H1328&lt;p_min-0.005,"low","OK")))</f>
        <v>OK</v>
      </c>
      <c r="L1328" s="4" t="s">
        <v>414</v>
      </c>
    </row>
    <row r="1329" customFormat="false" ht="15" hidden="false" customHeight="false" outlineLevel="0" collapsed="false">
      <c r="A1329" s="4" t="s">
        <v>44</v>
      </c>
      <c r="B1329" s="4" t="s">
        <v>373</v>
      </c>
      <c r="C1329" s="47" t="n">
        <v>2813.43</v>
      </c>
      <c r="D1329" s="48" t="n">
        <v>1575.88</v>
      </c>
      <c r="E1329" s="49" t="n">
        <f aca="false">D1329-cover</f>
        <v>1574.68</v>
      </c>
      <c r="F1329" s="50" t="n">
        <f aca="false">'Z6 Nkangamo-Uhuru'!S18-'Z6 Nkangamo-Uhuru'!P18*C1329/'Z6 Nkangamo-Uhuru'!G18</f>
        <v>1733.84600750653</v>
      </c>
      <c r="G1329" s="51" t="n">
        <f aca="false">'Z6 Nkangamo-Uhuru'!$B$8-E1329</f>
        <v>131.82</v>
      </c>
      <c r="H1329" s="52" t="n">
        <f aca="false">F1329-E1329</f>
        <v>159.166007506532</v>
      </c>
      <c r="I1329" s="52" t="n">
        <f aca="false">MAX(H1329,G1329)</f>
        <v>159.166007506532</v>
      </c>
      <c r="J1329" s="4" t="str">
        <f aca="false">IFERROR("PN"&amp;SMALL(PN_list,COUNTIF(PN_list,"&lt;"&amp;I1329*bar_per_m)+1),"&gt; max PN")</f>
        <v>PN16</v>
      </c>
      <c r="K1329" s="4" t="str">
        <f aca="false">IF(L1329="no","end at tank",IF(H1329&lt;0,"NEGATIVE",IF(H1329&lt;p_min-0.005,"low","OK")))</f>
        <v>OK</v>
      </c>
      <c r="L1329" s="4" t="s">
        <v>414</v>
      </c>
    </row>
    <row r="1330" customFormat="false" ht="15" hidden="false" customHeight="false" outlineLevel="0" collapsed="false">
      <c r="A1330" s="4" t="s">
        <v>44</v>
      </c>
      <c r="B1330" s="4" t="s">
        <v>373</v>
      </c>
      <c r="C1330" s="47" t="n">
        <v>2833.43</v>
      </c>
      <c r="D1330" s="48" t="n">
        <v>1576.19</v>
      </c>
      <c r="E1330" s="49" t="n">
        <f aca="false">D1330-cover</f>
        <v>1574.99</v>
      </c>
      <c r="F1330" s="50" t="n">
        <f aca="false">'Z6 Nkangamo-Uhuru'!S18-'Z6 Nkangamo-Uhuru'!P18*C1330/'Z6 Nkangamo-Uhuru'!G18</f>
        <v>1733.81485420359</v>
      </c>
      <c r="G1330" s="51" t="n">
        <f aca="false">'Z6 Nkangamo-Uhuru'!$B$8-E1330</f>
        <v>131.51</v>
      </c>
      <c r="H1330" s="52" t="n">
        <f aca="false">F1330-E1330</f>
        <v>158.824854203585</v>
      </c>
      <c r="I1330" s="52" t="n">
        <f aca="false">MAX(H1330,G1330)</f>
        <v>158.824854203585</v>
      </c>
      <c r="J1330" s="4" t="str">
        <f aca="false">IFERROR("PN"&amp;SMALL(PN_list,COUNTIF(PN_list,"&lt;"&amp;I1330*bar_per_m)+1),"&gt; max PN")</f>
        <v>PN16</v>
      </c>
      <c r="K1330" s="4" t="str">
        <f aca="false">IF(L1330="no","end at tank",IF(H1330&lt;0,"NEGATIVE",IF(H1330&lt;p_min-0.005,"low","OK")))</f>
        <v>OK</v>
      </c>
      <c r="L1330" s="4" t="s">
        <v>414</v>
      </c>
    </row>
    <row r="1331" customFormat="false" ht="15" hidden="false" customHeight="false" outlineLevel="0" collapsed="false">
      <c r="A1331" s="4" t="s">
        <v>44</v>
      </c>
      <c r="B1331" s="4" t="s">
        <v>373</v>
      </c>
      <c r="C1331" s="47" t="n">
        <v>2853.44</v>
      </c>
      <c r="D1331" s="48" t="n">
        <v>1575.55</v>
      </c>
      <c r="E1331" s="49" t="n">
        <f aca="false">D1331-cover</f>
        <v>1574.35</v>
      </c>
      <c r="F1331" s="50" t="n">
        <f aca="false">'Z6 Nkangamo-Uhuru'!S18-'Z6 Nkangamo-Uhuru'!P18*C1331/'Z6 Nkangamo-Uhuru'!G18</f>
        <v>1733.78368532399</v>
      </c>
      <c r="G1331" s="51" t="n">
        <f aca="false">'Z6 Nkangamo-Uhuru'!$B$8-E1331</f>
        <v>132.15</v>
      </c>
      <c r="H1331" s="52" t="n">
        <f aca="false">F1331-E1331</f>
        <v>159.433685323987</v>
      </c>
      <c r="I1331" s="52" t="n">
        <f aca="false">MAX(H1331,G1331)</f>
        <v>159.433685323987</v>
      </c>
      <c r="J1331" s="4" t="str">
        <f aca="false">IFERROR("PN"&amp;SMALL(PN_list,COUNTIF(PN_list,"&lt;"&amp;I1331*bar_per_m)+1),"&gt; max PN")</f>
        <v>PN16</v>
      </c>
      <c r="K1331" s="4" t="str">
        <f aca="false">IF(L1331="no","end at tank",IF(H1331&lt;0,"NEGATIVE",IF(H1331&lt;p_min-0.005,"low","OK")))</f>
        <v>OK</v>
      </c>
      <c r="L1331" s="4" t="s">
        <v>414</v>
      </c>
    </row>
    <row r="1332" customFormat="false" ht="15" hidden="false" customHeight="false" outlineLevel="0" collapsed="false">
      <c r="A1332" s="4" t="s">
        <v>44</v>
      </c>
      <c r="B1332" s="4" t="s">
        <v>373</v>
      </c>
      <c r="C1332" s="47" t="n">
        <v>2873.45</v>
      </c>
      <c r="D1332" s="48" t="n">
        <v>1575.79</v>
      </c>
      <c r="E1332" s="49" t="n">
        <f aca="false">D1332-cover</f>
        <v>1574.59</v>
      </c>
      <c r="F1332" s="50" t="n">
        <f aca="false">'Z6 Nkangamo-Uhuru'!S18-'Z6 Nkangamo-Uhuru'!P18*C1332/'Z6 Nkangamo-Uhuru'!G18</f>
        <v>1733.75251644439</v>
      </c>
      <c r="G1332" s="51" t="n">
        <f aca="false">'Z6 Nkangamo-Uhuru'!$B$8-E1332</f>
        <v>131.91</v>
      </c>
      <c r="H1332" s="52" t="n">
        <f aca="false">F1332-E1332</f>
        <v>159.162516444389</v>
      </c>
      <c r="I1332" s="52" t="n">
        <f aca="false">MAX(H1332,G1332)</f>
        <v>159.162516444389</v>
      </c>
      <c r="J1332" s="4" t="str">
        <f aca="false">IFERROR("PN"&amp;SMALL(PN_list,COUNTIF(PN_list,"&lt;"&amp;I1332*bar_per_m)+1),"&gt; max PN")</f>
        <v>PN16</v>
      </c>
      <c r="K1332" s="4" t="str">
        <f aca="false">IF(L1332="no","end at tank",IF(H1332&lt;0,"NEGATIVE",IF(H1332&lt;p_min-0.005,"low","OK")))</f>
        <v>OK</v>
      </c>
      <c r="L1332" s="4" t="s">
        <v>414</v>
      </c>
    </row>
    <row r="1333" customFormat="false" ht="15" hidden="false" customHeight="false" outlineLevel="0" collapsed="false">
      <c r="A1333" s="4" t="s">
        <v>44</v>
      </c>
      <c r="B1333" s="4" t="s">
        <v>373</v>
      </c>
      <c r="C1333" s="47" t="n">
        <v>2893.45</v>
      </c>
      <c r="D1333" s="48" t="n">
        <v>1575.68</v>
      </c>
      <c r="E1333" s="49" t="n">
        <f aca="false">D1333-cover</f>
        <v>1574.48</v>
      </c>
      <c r="F1333" s="50" t="n">
        <f aca="false">'Z6 Nkangamo-Uhuru'!S18-'Z6 Nkangamo-Uhuru'!P18*C1333/'Z6 Nkangamo-Uhuru'!G18</f>
        <v>1733.72136314144</v>
      </c>
      <c r="G1333" s="51" t="n">
        <f aca="false">'Z6 Nkangamo-Uhuru'!$B$8-E1333</f>
        <v>132.02</v>
      </c>
      <c r="H1333" s="52" t="n">
        <f aca="false">F1333-E1333</f>
        <v>159.241363141442</v>
      </c>
      <c r="I1333" s="52" t="n">
        <f aca="false">MAX(H1333,G1333)</f>
        <v>159.241363141442</v>
      </c>
      <c r="J1333" s="4" t="str">
        <f aca="false">IFERROR("PN"&amp;SMALL(PN_list,COUNTIF(PN_list,"&lt;"&amp;I1333*bar_per_m)+1),"&gt; max PN")</f>
        <v>PN16</v>
      </c>
      <c r="K1333" s="4" t="str">
        <f aca="false">IF(L1333="no","end at tank",IF(H1333&lt;0,"NEGATIVE",IF(H1333&lt;p_min-0.005,"low","OK")))</f>
        <v>OK</v>
      </c>
      <c r="L1333" s="4" t="s">
        <v>414</v>
      </c>
    </row>
    <row r="1334" customFormat="false" ht="15" hidden="false" customHeight="false" outlineLevel="0" collapsed="false">
      <c r="A1334" s="4" t="s">
        <v>44</v>
      </c>
      <c r="B1334" s="4" t="s">
        <v>373</v>
      </c>
      <c r="C1334" s="47" t="n">
        <v>2913.45</v>
      </c>
      <c r="D1334" s="48" t="n">
        <v>1575.39</v>
      </c>
      <c r="E1334" s="49" t="n">
        <f aca="false">D1334-cover</f>
        <v>1574.19</v>
      </c>
      <c r="F1334" s="50" t="n">
        <f aca="false">'Z6 Nkangamo-Uhuru'!S18-'Z6 Nkangamo-Uhuru'!P18*C1334/'Z6 Nkangamo-Uhuru'!G18</f>
        <v>1733.69020983849</v>
      </c>
      <c r="G1334" s="51" t="n">
        <f aca="false">'Z6 Nkangamo-Uhuru'!$B$8-E1334</f>
        <v>132.31</v>
      </c>
      <c r="H1334" s="52" t="n">
        <f aca="false">F1334-E1334</f>
        <v>159.500209838495</v>
      </c>
      <c r="I1334" s="52" t="n">
        <f aca="false">MAX(H1334,G1334)</f>
        <v>159.500209838495</v>
      </c>
      <c r="J1334" s="4" t="str">
        <f aca="false">IFERROR("PN"&amp;SMALL(PN_list,COUNTIF(PN_list,"&lt;"&amp;I1334*bar_per_m)+1),"&gt; max PN")</f>
        <v>PN16</v>
      </c>
      <c r="K1334" s="4" t="str">
        <f aca="false">IF(L1334="no","end at tank",IF(H1334&lt;0,"NEGATIVE",IF(H1334&lt;p_min-0.005,"low","OK")))</f>
        <v>OK</v>
      </c>
      <c r="L1334" s="4" t="s">
        <v>414</v>
      </c>
    </row>
    <row r="1335" customFormat="false" ht="15" hidden="false" customHeight="false" outlineLevel="0" collapsed="false">
      <c r="A1335" s="4" t="s">
        <v>44</v>
      </c>
      <c r="B1335" s="4" t="s">
        <v>373</v>
      </c>
      <c r="C1335" s="47" t="n">
        <v>2933.45</v>
      </c>
      <c r="D1335" s="48" t="n">
        <v>1575.39</v>
      </c>
      <c r="E1335" s="49" t="n">
        <f aca="false">D1335-cover</f>
        <v>1574.19</v>
      </c>
      <c r="F1335" s="50" t="n">
        <f aca="false">'Z6 Nkangamo-Uhuru'!S18-'Z6 Nkangamo-Uhuru'!P18*C1335/'Z6 Nkangamo-Uhuru'!G18</f>
        <v>1733.65905653555</v>
      </c>
      <c r="G1335" s="51" t="n">
        <f aca="false">'Z6 Nkangamo-Uhuru'!$B$8-E1335</f>
        <v>132.31</v>
      </c>
      <c r="H1335" s="52" t="n">
        <f aca="false">F1335-E1335</f>
        <v>159.469056535548</v>
      </c>
      <c r="I1335" s="52" t="n">
        <f aca="false">MAX(H1335,G1335)</f>
        <v>159.469056535548</v>
      </c>
      <c r="J1335" s="4" t="str">
        <f aca="false">IFERROR("PN"&amp;SMALL(PN_list,COUNTIF(PN_list,"&lt;"&amp;I1335*bar_per_m)+1),"&gt; max PN")</f>
        <v>PN16</v>
      </c>
      <c r="K1335" s="4" t="str">
        <f aca="false">IF(L1335="no","end at tank",IF(H1335&lt;0,"NEGATIVE",IF(H1335&lt;p_min-0.005,"low","OK")))</f>
        <v>OK</v>
      </c>
      <c r="L1335" s="4" t="s">
        <v>414</v>
      </c>
    </row>
    <row r="1336" customFormat="false" ht="15" hidden="false" customHeight="false" outlineLevel="0" collapsed="false">
      <c r="A1336" s="4" t="s">
        <v>44</v>
      </c>
      <c r="B1336" s="4" t="s">
        <v>373</v>
      </c>
      <c r="C1336" s="47" t="n">
        <v>2953.45</v>
      </c>
      <c r="D1336" s="48" t="n">
        <v>1575.29</v>
      </c>
      <c r="E1336" s="49" t="n">
        <f aca="false">D1336-cover</f>
        <v>1574.09</v>
      </c>
      <c r="F1336" s="50" t="n">
        <f aca="false">'Z6 Nkangamo-Uhuru'!S18-'Z6 Nkangamo-Uhuru'!P18*C1336/'Z6 Nkangamo-Uhuru'!G18</f>
        <v>1733.6279032326</v>
      </c>
      <c r="G1336" s="51" t="n">
        <f aca="false">'Z6 Nkangamo-Uhuru'!$B$8-E1336</f>
        <v>132.41</v>
      </c>
      <c r="H1336" s="52" t="n">
        <f aca="false">F1336-E1336</f>
        <v>159.537903232601</v>
      </c>
      <c r="I1336" s="52" t="n">
        <f aca="false">MAX(H1336,G1336)</f>
        <v>159.537903232601</v>
      </c>
      <c r="J1336" s="4" t="str">
        <f aca="false">IFERROR("PN"&amp;SMALL(PN_list,COUNTIF(PN_list,"&lt;"&amp;I1336*bar_per_m)+1),"&gt; max PN")</f>
        <v>PN16</v>
      </c>
      <c r="K1336" s="4" t="str">
        <f aca="false">IF(L1336="no","end at tank",IF(H1336&lt;0,"NEGATIVE",IF(H1336&lt;p_min-0.005,"low","OK")))</f>
        <v>OK</v>
      </c>
      <c r="L1336" s="4" t="s">
        <v>414</v>
      </c>
    </row>
    <row r="1337" customFormat="false" ht="15" hidden="false" customHeight="false" outlineLevel="0" collapsed="false">
      <c r="A1337" s="4" t="s">
        <v>44</v>
      </c>
      <c r="B1337" s="4" t="s">
        <v>373</v>
      </c>
      <c r="C1337" s="47" t="n">
        <v>2973.45</v>
      </c>
      <c r="D1337" s="48" t="n">
        <v>1575.06</v>
      </c>
      <c r="E1337" s="49" t="n">
        <f aca="false">D1337-cover</f>
        <v>1573.86</v>
      </c>
      <c r="F1337" s="50" t="n">
        <f aca="false">'Z6 Nkangamo-Uhuru'!S18-'Z6 Nkangamo-Uhuru'!P18*C1337/'Z6 Nkangamo-Uhuru'!G18</f>
        <v>1733.59674992965</v>
      </c>
      <c r="G1337" s="51" t="n">
        <f aca="false">'Z6 Nkangamo-Uhuru'!$B$8-E1337</f>
        <v>132.64</v>
      </c>
      <c r="H1337" s="52" t="n">
        <f aca="false">F1337-E1337</f>
        <v>159.736749929654</v>
      </c>
      <c r="I1337" s="52" t="n">
        <f aca="false">MAX(H1337,G1337)</f>
        <v>159.736749929654</v>
      </c>
      <c r="J1337" s="4" t="str">
        <f aca="false">IFERROR("PN"&amp;SMALL(PN_list,COUNTIF(PN_list,"&lt;"&amp;I1337*bar_per_m)+1),"&gt; max PN")</f>
        <v>PN16</v>
      </c>
      <c r="K1337" s="4" t="str">
        <f aca="false">IF(L1337="no","end at tank",IF(H1337&lt;0,"NEGATIVE",IF(H1337&lt;p_min-0.005,"low","OK")))</f>
        <v>OK</v>
      </c>
      <c r="L1337" s="4" t="s">
        <v>414</v>
      </c>
    </row>
    <row r="1338" customFormat="false" ht="15" hidden="false" customHeight="false" outlineLevel="0" collapsed="false">
      <c r="A1338" s="4" t="s">
        <v>44</v>
      </c>
      <c r="B1338" s="4" t="s">
        <v>373</v>
      </c>
      <c r="C1338" s="47" t="n">
        <v>2993.45</v>
      </c>
      <c r="D1338" s="48" t="n">
        <v>1575.39</v>
      </c>
      <c r="E1338" s="49" t="n">
        <f aca="false">D1338-cover</f>
        <v>1574.19</v>
      </c>
      <c r="F1338" s="50" t="n">
        <f aca="false">'Z6 Nkangamo-Uhuru'!S18-'Z6 Nkangamo-Uhuru'!P18*C1338/'Z6 Nkangamo-Uhuru'!G18</f>
        <v>1733.56559662671</v>
      </c>
      <c r="G1338" s="51" t="n">
        <f aca="false">'Z6 Nkangamo-Uhuru'!$B$8-E1338</f>
        <v>132.31</v>
      </c>
      <c r="H1338" s="52" t="n">
        <f aca="false">F1338-E1338</f>
        <v>159.375596626707</v>
      </c>
      <c r="I1338" s="52" t="n">
        <f aca="false">MAX(H1338,G1338)</f>
        <v>159.375596626707</v>
      </c>
      <c r="J1338" s="4" t="str">
        <f aca="false">IFERROR("PN"&amp;SMALL(PN_list,COUNTIF(PN_list,"&lt;"&amp;I1338*bar_per_m)+1),"&gt; max PN")</f>
        <v>PN16</v>
      </c>
      <c r="K1338" s="4" t="str">
        <f aca="false">IF(L1338="no","end at tank",IF(H1338&lt;0,"NEGATIVE",IF(H1338&lt;p_min-0.005,"low","OK")))</f>
        <v>OK</v>
      </c>
      <c r="L1338" s="4" t="s">
        <v>414</v>
      </c>
    </row>
    <row r="1339" customFormat="false" ht="15" hidden="false" customHeight="false" outlineLevel="0" collapsed="false">
      <c r="A1339" s="4" t="s">
        <v>44</v>
      </c>
      <c r="B1339" s="4" t="s">
        <v>373</v>
      </c>
      <c r="C1339" s="47" t="n">
        <v>3013.45</v>
      </c>
      <c r="D1339" s="48" t="n">
        <v>1575.62</v>
      </c>
      <c r="E1339" s="49" t="n">
        <f aca="false">D1339-cover</f>
        <v>1574.42</v>
      </c>
      <c r="F1339" s="50" t="n">
        <f aca="false">'Z6 Nkangamo-Uhuru'!S18-'Z6 Nkangamo-Uhuru'!P18*C1339/'Z6 Nkangamo-Uhuru'!G18</f>
        <v>1733.53444332376</v>
      </c>
      <c r="G1339" s="51" t="n">
        <f aca="false">'Z6 Nkangamo-Uhuru'!$B$8-E1339</f>
        <v>132.08</v>
      </c>
      <c r="H1339" s="52" t="n">
        <f aca="false">F1339-E1339</f>
        <v>159.114443323761</v>
      </c>
      <c r="I1339" s="52" t="n">
        <f aca="false">MAX(H1339,G1339)</f>
        <v>159.114443323761</v>
      </c>
      <c r="J1339" s="4" t="str">
        <f aca="false">IFERROR("PN"&amp;SMALL(PN_list,COUNTIF(PN_list,"&lt;"&amp;I1339*bar_per_m)+1),"&gt; max PN")</f>
        <v>PN16</v>
      </c>
      <c r="K1339" s="4" t="str">
        <f aca="false">IF(L1339="no","end at tank",IF(H1339&lt;0,"NEGATIVE",IF(H1339&lt;p_min-0.005,"low","OK")))</f>
        <v>OK</v>
      </c>
      <c r="L1339" s="4" t="s">
        <v>414</v>
      </c>
    </row>
    <row r="1340" customFormat="false" ht="15" hidden="false" customHeight="false" outlineLevel="0" collapsed="false">
      <c r="A1340" s="4" t="s">
        <v>44</v>
      </c>
      <c r="B1340" s="4" t="s">
        <v>373</v>
      </c>
      <c r="C1340" s="47" t="n">
        <v>3033.45</v>
      </c>
      <c r="D1340" s="48" t="n">
        <v>1575.7</v>
      </c>
      <c r="E1340" s="49" t="n">
        <f aca="false">D1340-cover</f>
        <v>1574.5</v>
      </c>
      <c r="F1340" s="50" t="n">
        <f aca="false">'Z6 Nkangamo-Uhuru'!S18-'Z6 Nkangamo-Uhuru'!P18*C1340/'Z6 Nkangamo-Uhuru'!G18</f>
        <v>1733.50329002081</v>
      </c>
      <c r="G1340" s="51" t="n">
        <f aca="false">'Z6 Nkangamo-Uhuru'!$B$8-E1340</f>
        <v>132</v>
      </c>
      <c r="H1340" s="52" t="n">
        <f aca="false">F1340-E1340</f>
        <v>159.003290020814</v>
      </c>
      <c r="I1340" s="52" t="n">
        <f aca="false">MAX(H1340,G1340)</f>
        <v>159.003290020814</v>
      </c>
      <c r="J1340" s="4" t="str">
        <f aca="false">IFERROR("PN"&amp;SMALL(PN_list,COUNTIF(PN_list,"&lt;"&amp;I1340*bar_per_m)+1),"&gt; max PN")</f>
        <v>PN16</v>
      </c>
      <c r="K1340" s="4" t="str">
        <f aca="false">IF(L1340="no","end at tank",IF(H1340&lt;0,"NEGATIVE",IF(H1340&lt;p_min-0.005,"low","OK")))</f>
        <v>OK</v>
      </c>
      <c r="L1340" s="4" t="s">
        <v>414</v>
      </c>
    </row>
    <row r="1341" customFormat="false" ht="15" hidden="false" customHeight="false" outlineLevel="0" collapsed="false">
      <c r="A1341" s="4" t="s">
        <v>44</v>
      </c>
      <c r="B1341" s="4" t="s">
        <v>373</v>
      </c>
      <c r="C1341" s="47" t="n">
        <v>3053.45</v>
      </c>
      <c r="D1341" s="48" t="n">
        <v>1575.77</v>
      </c>
      <c r="E1341" s="49" t="n">
        <f aca="false">D1341-cover</f>
        <v>1574.57</v>
      </c>
      <c r="F1341" s="50" t="n">
        <f aca="false">'Z6 Nkangamo-Uhuru'!S18-'Z6 Nkangamo-Uhuru'!P18*C1341/'Z6 Nkangamo-Uhuru'!G18</f>
        <v>1733.47213671787</v>
      </c>
      <c r="G1341" s="51" t="n">
        <f aca="false">'Z6 Nkangamo-Uhuru'!$B$8-E1341</f>
        <v>131.93</v>
      </c>
      <c r="H1341" s="52" t="n">
        <f aca="false">F1341-E1341</f>
        <v>158.902136717867</v>
      </c>
      <c r="I1341" s="52" t="n">
        <f aca="false">MAX(H1341,G1341)</f>
        <v>158.902136717867</v>
      </c>
      <c r="J1341" s="4" t="str">
        <f aca="false">IFERROR("PN"&amp;SMALL(PN_list,COUNTIF(PN_list,"&lt;"&amp;I1341*bar_per_m)+1),"&gt; max PN")</f>
        <v>PN16</v>
      </c>
      <c r="K1341" s="4" t="str">
        <f aca="false">IF(L1341="no","end at tank",IF(H1341&lt;0,"NEGATIVE",IF(H1341&lt;p_min-0.005,"low","OK")))</f>
        <v>OK</v>
      </c>
      <c r="L1341" s="4" t="s">
        <v>414</v>
      </c>
    </row>
    <row r="1342" customFormat="false" ht="15" hidden="false" customHeight="false" outlineLevel="0" collapsed="false">
      <c r="A1342" s="4" t="s">
        <v>44</v>
      </c>
      <c r="B1342" s="4" t="s">
        <v>373</v>
      </c>
      <c r="C1342" s="47" t="n">
        <v>3073.47</v>
      </c>
      <c r="D1342" s="48" t="n">
        <v>1576.45</v>
      </c>
      <c r="E1342" s="49" t="n">
        <f aca="false">D1342-cover</f>
        <v>1575.25</v>
      </c>
      <c r="F1342" s="50" t="n">
        <f aca="false">'Z6 Nkangamo-Uhuru'!S18-'Z6 Nkangamo-Uhuru'!P18*C1342/'Z6 Nkangamo-Uhuru'!G18</f>
        <v>1733.44095226162</v>
      </c>
      <c r="G1342" s="51" t="n">
        <f aca="false">'Z6 Nkangamo-Uhuru'!$B$8-E1342</f>
        <v>131.25</v>
      </c>
      <c r="H1342" s="52" t="n">
        <f aca="false">F1342-E1342</f>
        <v>158.190952261617</v>
      </c>
      <c r="I1342" s="52" t="n">
        <f aca="false">MAX(H1342,G1342)</f>
        <v>158.190952261617</v>
      </c>
      <c r="J1342" s="4" t="str">
        <f aca="false">IFERROR("PN"&amp;SMALL(PN_list,COUNTIF(PN_list,"&lt;"&amp;I1342*bar_per_m)+1),"&gt; max PN")</f>
        <v>PN16</v>
      </c>
      <c r="K1342" s="4" t="str">
        <f aca="false">IF(L1342="no","end at tank",IF(H1342&lt;0,"NEGATIVE",IF(H1342&lt;p_min-0.005,"low","OK")))</f>
        <v>OK</v>
      </c>
      <c r="L1342" s="4" t="s">
        <v>414</v>
      </c>
    </row>
    <row r="1343" customFormat="false" ht="15" hidden="false" customHeight="false" outlineLevel="0" collapsed="false">
      <c r="A1343" s="4" t="s">
        <v>44</v>
      </c>
      <c r="B1343" s="4" t="s">
        <v>373</v>
      </c>
      <c r="C1343" s="47" t="n">
        <v>3093.5</v>
      </c>
      <c r="D1343" s="48" t="n">
        <v>1577.67</v>
      </c>
      <c r="E1343" s="49" t="n">
        <f aca="false">D1343-cover</f>
        <v>1576.47</v>
      </c>
      <c r="F1343" s="50" t="n">
        <f aca="false">'Z6 Nkangamo-Uhuru'!S18-'Z6 Nkangamo-Uhuru'!P18*C1343/'Z6 Nkangamo-Uhuru'!G18</f>
        <v>1733.40975222872</v>
      </c>
      <c r="G1343" s="51" t="n">
        <f aca="false">'Z6 Nkangamo-Uhuru'!$B$8-E1343</f>
        <v>130.03</v>
      </c>
      <c r="H1343" s="52" t="n">
        <f aca="false">F1343-E1343</f>
        <v>156.939752228716</v>
      </c>
      <c r="I1343" s="52" t="n">
        <f aca="false">MAX(H1343,G1343)</f>
        <v>156.939752228716</v>
      </c>
      <c r="J1343" s="4" t="str">
        <f aca="false">IFERROR("PN"&amp;SMALL(PN_list,COUNTIF(PN_list,"&lt;"&amp;I1343*bar_per_m)+1),"&gt; max PN")</f>
        <v>PN16</v>
      </c>
      <c r="K1343" s="4" t="str">
        <f aca="false">IF(L1343="no","end at tank",IF(H1343&lt;0,"NEGATIVE",IF(H1343&lt;p_min-0.005,"low","OK")))</f>
        <v>OK</v>
      </c>
      <c r="L1343" s="4" t="s">
        <v>414</v>
      </c>
    </row>
    <row r="1344" customFormat="false" ht="15" hidden="false" customHeight="false" outlineLevel="0" collapsed="false">
      <c r="A1344" s="4" t="s">
        <v>44</v>
      </c>
      <c r="B1344" s="4" t="s">
        <v>373</v>
      </c>
      <c r="C1344" s="47" t="n">
        <v>3113.5</v>
      </c>
      <c r="D1344" s="48" t="n">
        <v>1577.67</v>
      </c>
      <c r="E1344" s="49" t="n">
        <f aca="false">D1344-cover</f>
        <v>1576.47</v>
      </c>
      <c r="F1344" s="50" t="n">
        <f aca="false">'Z6 Nkangamo-Uhuru'!S18-'Z6 Nkangamo-Uhuru'!P18*C1344/'Z6 Nkangamo-Uhuru'!G18</f>
        <v>1733.37859892577</v>
      </c>
      <c r="G1344" s="51" t="n">
        <f aca="false">'Z6 Nkangamo-Uhuru'!$B$8-E1344</f>
        <v>130.03</v>
      </c>
      <c r="H1344" s="52" t="n">
        <f aca="false">F1344-E1344</f>
        <v>156.908598925769</v>
      </c>
      <c r="I1344" s="52" t="n">
        <f aca="false">MAX(H1344,G1344)</f>
        <v>156.908598925769</v>
      </c>
      <c r="J1344" s="4" t="str">
        <f aca="false">IFERROR("PN"&amp;SMALL(PN_list,COUNTIF(PN_list,"&lt;"&amp;I1344*bar_per_m)+1),"&gt; max PN")</f>
        <v>PN16</v>
      </c>
      <c r="K1344" s="4" t="str">
        <f aca="false">IF(L1344="no","end at tank",IF(H1344&lt;0,"NEGATIVE",IF(H1344&lt;p_min-0.005,"low","OK")))</f>
        <v>OK</v>
      </c>
      <c r="L1344" s="4" t="s">
        <v>414</v>
      </c>
    </row>
    <row r="1345" customFormat="false" ht="15" hidden="false" customHeight="false" outlineLevel="0" collapsed="false">
      <c r="A1345" s="4" t="s">
        <v>44</v>
      </c>
      <c r="B1345" s="4" t="s">
        <v>373</v>
      </c>
      <c r="C1345" s="47" t="n">
        <v>3133.59</v>
      </c>
      <c r="D1345" s="48" t="n">
        <v>1579.54</v>
      </c>
      <c r="E1345" s="49" t="n">
        <f aca="false">D1345-cover</f>
        <v>1578.34</v>
      </c>
      <c r="F1345" s="50" t="n">
        <f aca="false">'Z6 Nkangamo-Uhuru'!S18-'Z6 Nkangamo-Uhuru'!P18*C1345/'Z6 Nkangamo-Uhuru'!G18</f>
        <v>1733.34730543296</v>
      </c>
      <c r="G1345" s="51" t="n">
        <f aca="false">'Z6 Nkangamo-Uhuru'!$B$8-E1345</f>
        <v>128.16</v>
      </c>
      <c r="H1345" s="52" t="n">
        <f aca="false">F1345-E1345</f>
        <v>155.007305432959</v>
      </c>
      <c r="I1345" s="52" t="n">
        <f aca="false">MAX(H1345,G1345)</f>
        <v>155.007305432959</v>
      </c>
      <c r="J1345" s="4" t="str">
        <f aca="false">IFERROR("PN"&amp;SMALL(PN_list,COUNTIF(PN_list,"&lt;"&amp;I1345*bar_per_m)+1),"&gt; max PN")</f>
        <v>PN16</v>
      </c>
      <c r="K1345" s="4" t="str">
        <f aca="false">IF(L1345="no","end at tank",IF(H1345&lt;0,"NEGATIVE",IF(H1345&lt;p_min-0.005,"low","OK")))</f>
        <v>OK</v>
      </c>
      <c r="L1345" s="4" t="s">
        <v>414</v>
      </c>
    </row>
    <row r="1346" customFormat="false" ht="15" hidden="false" customHeight="false" outlineLevel="0" collapsed="false">
      <c r="A1346" s="4" t="s">
        <v>44</v>
      </c>
      <c r="B1346" s="4" t="s">
        <v>373</v>
      </c>
      <c r="C1346" s="47" t="n">
        <v>3153.64</v>
      </c>
      <c r="D1346" s="48" t="n">
        <v>1581.01</v>
      </c>
      <c r="E1346" s="49" t="n">
        <f aca="false">D1346-cover</f>
        <v>1579.81</v>
      </c>
      <c r="F1346" s="50" t="n">
        <f aca="false">'Z6 Nkangamo-Uhuru'!S18-'Z6 Nkangamo-Uhuru'!P18*C1346/'Z6 Nkangamo-Uhuru'!G18</f>
        <v>1733.31607424676</v>
      </c>
      <c r="G1346" s="51" t="n">
        <f aca="false">'Z6 Nkangamo-Uhuru'!$B$8-E1346</f>
        <v>126.69</v>
      </c>
      <c r="H1346" s="52" t="n">
        <f aca="false">F1346-E1346</f>
        <v>153.506074246755</v>
      </c>
      <c r="I1346" s="52" t="n">
        <f aca="false">MAX(H1346,G1346)</f>
        <v>153.506074246755</v>
      </c>
      <c r="J1346" s="4" t="str">
        <f aca="false">IFERROR("PN"&amp;SMALL(PN_list,COUNTIF(PN_list,"&lt;"&amp;I1346*bar_per_m)+1),"&gt; max PN")</f>
        <v>PN16</v>
      </c>
      <c r="K1346" s="4" t="str">
        <f aca="false">IF(L1346="no","end at tank",IF(H1346&lt;0,"NEGATIVE",IF(H1346&lt;p_min-0.005,"low","OK")))</f>
        <v>OK</v>
      </c>
      <c r="L1346" s="4" t="s">
        <v>414</v>
      </c>
    </row>
    <row r="1347" customFormat="false" ht="15" hidden="false" customHeight="false" outlineLevel="0" collapsed="false">
      <c r="A1347" s="4" t="s">
        <v>44</v>
      </c>
      <c r="B1347" s="4" t="s">
        <v>373</v>
      </c>
      <c r="C1347" s="47" t="n">
        <v>3173.65</v>
      </c>
      <c r="D1347" s="48" t="n">
        <v>1581.22</v>
      </c>
      <c r="E1347" s="49" t="n">
        <f aca="false">D1347-cover</f>
        <v>1580.02</v>
      </c>
      <c r="F1347" s="50" t="n">
        <f aca="false">'Z6 Nkangamo-Uhuru'!S18-'Z6 Nkangamo-Uhuru'!P18*C1347/'Z6 Nkangamo-Uhuru'!G18</f>
        <v>1733.28490536716</v>
      </c>
      <c r="G1347" s="51" t="n">
        <f aca="false">'Z6 Nkangamo-Uhuru'!$B$8-E1347</f>
        <v>126.48</v>
      </c>
      <c r="H1347" s="52" t="n">
        <f aca="false">F1347-E1347</f>
        <v>153.264905367157</v>
      </c>
      <c r="I1347" s="52" t="n">
        <f aca="false">MAX(H1347,G1347)</f>
        <v>153.264905367157</v>
      </c>
      <c r="J1347" s="4" t="str">
        <f aca="false">IFERROR("PN"&amp;SMALL(PN_list,COUNTIF(PN_list,"&lt;"&amp;I1347*bar_per_m)+1),"&gt; max PN")</f>
        <v>PN16</v>
      </c>
      <c r="K1347" s="4" t="str">
        <f aca="false">IF(L1347="no","end at tank",IF(H1347&lt;0,"NEGATIVE",IF(H1347&lt;p_min-0.005,"low","OK")))</f>
        <v>OK</v>
      </c>
      <c r="L1347" s="4" t="s">
        <v>414</v>
      </c>
    </row>
    <row r="1348" customFormat="false" ht="15" hidden="false" customHeight="false" outlineLevel="0" collapsed="false">
      <c r="A1348" s="4" t="s">
        <v>44</v>
      </c>
      <c r="B1348" s="4" t="s">
        <v>373</v>
      </c>
      <c r="C1348" s="47" t="n">
        <v>3193.69</v>
      </c>
      <c r="D1348" s="48" t="n">
        <v>1582.49</v>
      </c>
      <c r="E1348" s="49" t="n">
        <f aca="false">D1348-cover</f>
        <v>1581.29</v>
      </c>
      <c r="F1348" s="50" t="n">
        <f aca="false">'Z6 Nkangamo-Uhuru'!S18-'Z6 Nkangamo-Uhuru'!P18*C1348/'Z6 Nkangamo-Uhuru'!G18</f>
        <v>1733.2536897576</v>
      </c>
      <c r="G1348" s="51" t="n">
        <f aca="false">'Z6 Nkangamo-Uhuru'!$B$8-E1348</f>
        <v>125.21</v>
      </c>
      <c r="H1348" s="52" t="n">
        <f aca="false">F1348-E1348</f>
        <v>151.963689757604</v>
      </c>
      <c r="I1348" s="52" t="n">
        <f aca="false">MAX(H1348,G1348)</f>
        <v>151.963689757604</v>
      </c>
      <c r="J1348" s="4" t="str">
        <f aca="false">IFERROR("PN"&amp;SMALL(PN_list,COUNTIF(PN_list,"&lt;"&amp;I1348*bar_per_m)+1),"&gt; max PN")</f>
        <v>PN16</v>
      </c>
      <c r="K1348" s="4" t="str">
        <f aca="false">IF(L1348="no","end at tank",IF(H1348&lt;0,"NEGATIVE",IF(H1348&lt;p_min-0.005,"low","OK")))</f>
        <v>OK</v>
      </c>
      <c r="L1348" s="4" t="s">
        <v>414</v>
      </c>
    </row>
    <row r="1349" customFormat="false" ht="15" hidden="false" customHeight="false" outlineLevel="0" collapsed="false">
      <c r="A1349" s="4" t="s">
        <v>44</v>
      </c>
      <c r="B1349" s="4" t="s">
        <v>373</v>
      </c>
      <c r="C1349" s="47" t="n">
        <v>3213.73</v>
      </c>
      <c r="D1349" s="48" t="n">
        <v>1583.76</v>
      </c>
      <c r="E1349" s="49" t="n">
        <f aca="false">D1349-cover</f>
        <v>1582.56</v>
      </c>
      <c r="F1349" s="50" t="n">
        <f aca="false">'Z6 Nkangamo-Uhuru'!S18-'Z6 Nkangamo-Uhuru'!P18*C1349/'Z6 Nkangamo-Uhuru'!G18</f>
        <v>1733.22247414805</v>
      </c>
      <c r="G1349" s="51" t="n">
        <f aca="false">'Z6 Nkangamo-Uhuru'!$B$8-E1349</f>
        <v>123.94</v>
      </c>
      <c r="H1349" s="52" t="n">
        <f aca="false">F1349-E1349</f>
        <v>150.662474148051</v>
      </c>
      <c r="I1349" s="52" t="n">
        <f aca="false">MAX(H1349,G1349)</f>
        <v>150.662474148051</v>
      </c>
      <c r="J1349" s="4" t="str">
        <f aca="false">IFERROR("PN"&amp;SMALL(PN_list,COUNTIF(PN_list,"&lt;"&amp;I1349*bar_per_m)+1),"&gt; max PN")</f>
        <v>PN16</v>
      </c>
      <c r="K1349" s="4" t="str">
        <f aca="false">IF(L1349="no","end at tank",IF(H1349&lt;0,"NEGATIVE",IF(H1349&lt;p_min-0.005,"low","OK")))</f>
        <v>OK</v>
      </c>
      <c r="L1349" s="4" t="s">
        <v>414</v>
      </c>
    </row>
    <row r="1350" customFormat="false" ht="15" hidden="false" customHeight="false" outlineLevel="0" collapsed="false">
      <c r="A1350" s="4" t="s">
        <v>44</v>
      </c>
      <c r="B1350" s="4" t="s">
        <v>373</v>
      </c>
      <c r="C1350" s="47" t="n">
        <v>3233.74</v>
      </c>
      <c r="D1350" s="48" t="n">
        <v>1584.52</v>
      </c>
      <c r="E1350" s="49" t="n">
        <f aca="false">D1350-cover</f>
        <v>1583.32</v>
      </c>
      <c r="F1350" s="50" t="n">
        <f aca="false">'Z6 Nkangamo-Uhuru'!S18-'Z6 Nkangamo-Uhuru'!P18*C1350/'Z6 Nkangamo-Uhuru'!G18</f>
        <v>1733.19130526845</v>
      </c>
      <c r="G1350" s="51" t="n">
        <f aca="false">'Z6 Nkangamo-Uhuru'!$B$8-E1350</f>
        <v>123.18</v>
      </c>
      <c r="H1350" s="52" t="n">
        <f aca="false">F1350-E1350</f>
        <v>149.871305268453</v>
      </c>
      <c r="I1350" s="52" t="n">
        <f aca="false">MAX(H1350,G1350)</f>
        <v>149.871305268453</v>
      </c>
      <c r="J1350" s="4" t="str">
        <f aca="false">IFERROR("PN"&amp;SMALL(PN_list,COUNTIF(PN_list,"&lt;"&amp;I1350*bar_per_m)+1),"&gt; max PN")</f>
        <v>PN16</v>
      </c>
      <c r="K1350" s="4" t="str">
        <f aca="false">IF(L1350="no","end at tank",IF(H1350&lt;0,"NEGATIVE",IF(H1350&lt;p_min-0.005,"low","OK")))</f>
        <v>OK</v>
      </c>
      <c r="L1350" s="4" t="s">
        <v>414</v>
      </c>
    </row>
    <row r="1351" customFormat="false" ht="15" hidden="false" customHeight="false" outlineLevel="0" collapsed="false">
      <c r="A1351" s="4" t="s">
        <v>44</v>
      </c>
      <c r="B1351" s="4" t="s">
        <v>373</v>
      </c>
      <c r="C1351" s="47" t="n">
        <v>3253.77</v>
      </c>
      <c r="D1351" s="48" t="n">
        <v>1585.65</v>
      </c>
      <c r="E1351" s="49" t="n">
        <f aca="false">D1351-cover</f>
        <v>1584.45</v>
      </c>
      <c r="F1351" s="50" t="n">
        <f aca="false">'Z6 Nkangamo-Uhuru'!S18-'Z6 Nkangamo-Uhuru'!P18*C1351/'Z6 Nkangamo-Uhuru'!G18</f>
        <v>1733.16010523555</v>
      </c>
      <c r="G1351" s="51" t="n">
        <f aca="false">'Z6 Nkangamo-Uhuru'!$B$8-E1351</f>
        <v>122.05</v>
      </c>
      <c r="H1351" s="52" t="n">
        <f aca="false">F1351-E1351</f>
        <v>148.710105235552</v>
      </c>
      <c r="I1351" s="52" t="n">
        <f aca="false">MAX(H1351,G1351)</f>
        <v>148.710105235552</v>
      </c>
      <c r="J1351" s="4" t="str">
        <f aca="false">IFERROR("PN"&amp;SMALL(PN_list,COUNTIF(PN_list,"&lt;"&amp;I1351*bar_per_m)+1),"&gt; max PN")</f>
        <v>PN16</v>
      </c>
      <c r="K1351" s="4" t="str">
        <f aca="false">IF(L1351="no","end at tank",IF(H1351&lt;0,"NEGATIVE",IF(H1351&lt;p_min-0.005,"low","OK")))</f>
        <v>OK</v>
      </c>
      <c r="L1351" s="4" t="s">
        <v>414</v>
      </c>
    </row>
    <row r="1352" customFormat="false" ht="15" hidden="false" customHeight="false" outlineLevel="0" collapsed="false">
      <c r="A1352" s="4" t="s">
        <v>44</v>
      </c>
      <c r="B1352" s="4" t="s">
        <v>373</v>
      </c>
      <c r="C1352" s="47" t="n">
        <v>3273.77</v>
      </c>
      <c r="D1352" s="48" t="n">
        <v>1585.65</v>
      </c>
      <c r="E1352" s="49" t="n">
        <f aca="false">D1352-cover</f>
        <v>1584.45</v>
      </c>
      <c r="F1352" s="50" t="n">
        <f aca="false">'Z6 Nkangamo-Uhuru'!S18-'Z6 Nkangamo-Uhuru'!P18*C1352/'Z6 Nkangamo-Uhuru'!G18</f>
        <v>1733.1289519326</v>
      </c>
      <c r="G1352" s="51" t="n">
        <f aca="false">'Z6 Nkangamo-Uhuru'!$B$8-E1352</f>
        <v>122.05</v>
      </c>
      <c r="H1352" s="52" t="n">
        <f aca="false">F1352-E1352</f>
        <v>148.678951932605</v>
      </c>
      <c r="I1352" s="52" t="n">
        <f aca="false">MAX(H1352,G1352)</f>
        <v>148.678951932605</v>
      </c>
      <c r="J1352" s="4" t="str">
        <f aca="false">IFERROR("PN"&amp;SMALL(PN_list,COUNTIF(PN_list,"&lt;"&amp;I1352*bar_per_m)+1),"&gt; max PN")</f>
        <v>PN16</v>
      </c>
      <c r="K1352" s="4" t="str">
        <f aca="false">IF(L1352="no","end at tank",IF(H1352&lt;0,"NEGATIVE",IF(H1352&lt;p_min-0.005,"low","OK")))</f>
        <v>OK</v>
      </c>
      <c r="L1352" s="4" t="s">
        <v>414</v>
      </c>
    </row>
    <row r="1353" customFormat="false" ht="15" hidden="false" customHeight="false" outlineLevel="0" collapsed="false">
      <c r="A1353" s="4" t="s">
        <v>44</v>
      </c>
      <c r="B1353" s="4" t="s">
        <v>373</v>
      </c>
      <c r="C1353" s="47" t="n">
        <v>3293.79</v>
      </c>
      <c r="D1353" s="48" t="n">
        <v>1586.5</v>
      </c>
      <c r="E1353" s="49" t="n">
        <f aca="false">D1353-cover</f>
        <v>1585.3</v>
      </c>
      <c r="F1353" s="50" t="n">
        <f aca="false">'Z6 Nkangamo-Uhuru'!S18-'Z6 Nkangamo-Uhuru'!P18*C1353/'Z6 Nkangamo-Uhuru'!G18</f>
        <v>1733.09776747636</v>
      </c>
      <c r="G1353" s="51" t="n">
        <f aca="false">'Z6 Nkangamo-Uhuru'!$B$8-E1353</f>
        <v>121.2</v>
      </c>
      <c r="H1353" s="52" t="n">
        <f aca="false">F1353-E1353</f>
        <v>147.797767476355</v>
      </c>
      <c r="I1353" s="52" t="n">
        <f aca="false">MAX(H1353,G1353)</f>
        <v>147.797767476355</v>
      </c>
      <c r="J1353" s="4" t="str">
        <f aca="false">IFERROR("PN"&amp;SMALL(PN_list,COUNTIF(PN_list,"&lt;"&amp;I1353*bar_per_m)+1),"&gt; max PN")</f>
        <v>PN16</v>
      </c>
      <c r="K1353" s="4" t="str">
        <f aca="false">IF(L1353="no","end at tank",IF(H1353&lt;0,"NEGATIVE",IF(H1353&lt;p_min-0.005,"low","OK")))</f>
        <v>OK</v>
      </c>
      <c r="L1353" s="4" t="s">
        <v>414</v>
      </c>
    </row>
    <row r="1354" customFormat="false" ht="15" hidden="false" customHeight="false" outlineLevel="0" collapsed="false">
      <c r="A1354" s="4" t="s">
        <v>44</v>
      </c>
      <c r="B1354" s="4" t="s">
        <v>373</v>
      </c>
      <c r="C1354" s="47" t="n">
        <v>3313.79</v>
      </c>
      <c r="D1354" s="48" t="n">
        <v>1586.5</v>
      </c>
      <c r="E1354" s="49" t="n">
        <f aca="false">D1354-cover</f>
        <v>1585.3</v>
      </c>
      <c r="F1354" s="50" t="n">
        <f aca="false">'Z6 Nkangamo-Uhuru'!S18-'Z6 Nkangamo-Uhuru'!P18*C1354/'Z6 Nkangamo-Uhuru'!G18</f>
        <v>1733.06661417341</v>
      </c>
      <c r="G1354" s="51" t="n">
        <f aca="false">'Z6 Nkangamo-Uhuru'!$B$8-E1354</f>
        <v>121.2</v>
      </c>
      <c r="H1354" s="52" t="n">
        <f aca="false">F1354-E1354</f>
        <v>147.766614173408</v>
      </c>
      <c r="I1354" s="52" t="n">
        <f aca="false">MAX(H1354,G1354)</f>
        <v>147.766614173408</v>
      </c>
      <c r="J1354" s="4" t="str">
        <f aca="false">IFERROR("PN"&amp;SMALL(PN_list,COUNTIF(PN_list,"&lt;"&amp;I1354*bar_per_m)+1),"&gt; max PN")</f>
        <v>PN16</v>
      </c>
      <c r="K1354" s="4" t="str">
        <f aca="false">IF(L1354="no","end at tank",IF(H1354&lt;0,"NEGATIVE",IF(H1354&lt;p_min-0.005,"low","OK")))</f>
        <v>OK</v>
      </c>
      <c r="L1354" s="4" t="s">
        <v>414</v>
      </c>
    </row>
    <row r="1355" customFormat="false" ht="15" hidden="false" customHeight="false" outlineLevel="0" collapsed="false">
      <c r="A1355" s="4" t="s">
        <v>44</v>
      </c>
      <c r="B1355" s="4" t="s">
        <v>373</v>
      </c>
      <c r="C1355" s="47" t="n">
        <v>3333.8</v>
      </c>
      <c r="D1355" s="48" t="n">
        <v>1587.2</v>
      </c>
      <c r="E1355" s="49" t="n">
        <f aca="false">D1355-cover</f>
        <v>1586</v>
      </c>
      <c r="F1355" s="50" t="n">
        <f aca="false">'Z6 Nkangamo-Uhuru'!S18-'Z6 Nkangamo-Uhuru'!P18*C1355/'Z6 Nkangamo-Uhuru'!G18</f>
        <v>1733.03544529381</v>
      </c>
      <c r="G1355" s="51" t="n">
        <f aca="false">'Z6 Nkangamo-Uhuru'!$B$8-E1355</f>
        <v>120.5</v>
      </c>
      <c r="H1355" s="52" t="n">
        <f aca="false">F1355-E1355</f>
        <v>147.03544529381</v>
      </c>
      <c r="I1355" s="52" t="n">
        <f aca="false">MAX(H1355,G1355)</f>
        <v>147.03544529381</v>
      </c>
      <c r="J1355" s="4" t="str">
        <f aca="false">IFERROR("PN"&amp;SMALL(PN_list,COUNTIF(PN_list,"&lt;"&amp;I1355*bar_per_m)+1),"&gt; max PN")</f>
        <v>PN16</v>
      </c>
      <c r="K1355" s="4" t="str">
        <f aca="false">IF(L1355="no","end at tank",IF(H1355&lt;0,"NEGATIVE",IF(H1355&lt;p_min-0.005,"low","OK")))</f>
        <v>OK</v>
      </c>
      <c r="L1355" s="4" t="s">
        <v>414</v>
      </c>
    </row>
    <row r="1356" customFormat="false" ht="15" hidden="false" customHeight="false" outlineLevel="0" collapsed="false">
      <c r="A1356" s="4" t="s">
        <v>44</v>
      </c>
      <c r="B1356" s="4" t="s">
        <v>373</v>
      </c>
      <c r="C1356" s="47" t="n">
        <v>3353.8</v>
      </c>
      <c r="D1356" s="48" t="n">
        <v>1587.48</v>
      </c>
      <c r="E1356" s="49" t="n">
        <f aca="false">D1356-cover</f>
        <v>1586.28</v>
      </c>
      <c r="F1356" s="50" t="n">
        <f aca="false">'Z6 Nkangamo-Uhuru'!S18-'Z6 Nkangamo-Uhuru'!P18*C1356/'Z6 Nkangamo-Uhuru'!G18</f>
        <v>1733.00429199086</v>
      </c>
      <c r="G1356" s="51" t="n">
        <f aca="false">'Z6 Nkangamo-Uhuru'!$B$8-E1356</f>
        <v>120.22</v>
      </c>
      <c r="H1356" s="52" t="n">
        <f aca="false">F1356-E1356</f>
        <v>146.724291990863</v>
      </c>
      <c r="I1356" s="52" t="n">
        <f aca="false">MAX(H1356,G1356)</f>
        <v>146.724291990863</v>
      </c>
      <c r="J1356" s="4" t="str">
        <f aca="false">IFERROR("PN"&amp;SMALL(PN_list,COUNTIF(PN_list,"&lt;"&amp;I1356*bar_per_m)+1),"&gt; max PN")</f>
        <v>PN16</v>
      </c>
      <c r="K1356" s="4" t="str">
        <f aca="false">IF(L1356="no","end at tank",IF(H1356&lt;0,"NEGATIVE",IF(H1356&lt;p_min-0.005,"low","OK")))</f>
        <v>OK</v>
      </c>
      <c r="L1356" s="4" t="s">
        <v>414</v>
      </c>
    </row>
    <row r="1357" customFormat="false" ht="15" hidden="false" customHeight="false" outlineLevel="0" collapsed="false">
      <c r="A1357" s="4" t="s">
        <v>44</v>
      </c>
      <c r="B1357" s="4" t="s">
        <v>373</v>
      </c>
      <c r="C1357" s="47" t="n">
        <v>3373.81</v>
      </c>
      <c r="D1357" s="48" t="n">
        <v>1587.9</v>
      </c>
      <c r="E1357" s="49" t="n">
        <f aca="false">D1357-cover</f>
        <v>1586.7</v>
      </c>
      <c r="F1357" s="50" t="n">
        <f aca="false">'Z6 Nkangamo-Uhuru'!S18-'Z6 Nkangamo-Uhuru'!P18*C1357/'Z6 Nkangamo-Uhuru'!G18</f>
        <v>1732.97312311126</v>
      </c>
      <c r="G1357" s="51" t="n">
        <f aca="false">'Z6 Nkangamo-Uhuru'!$B$8-E1357</f>
        <v>119.8</v>
      </c>
      <c r="H1357" s="52" t="n">
        <f aca="false">F1357-E1357</f>
        <v>146.273123111265</v>
      </c>
      <c r="I1357" s="52" t="n">
        <f aca="false">MAX(H1357,G1357)</f>
        <v>146.273123111265</v>
      </c>
      <c r="J1357" s="4" t="str">
        <f aca="false">IFERROR("PN"&amp;SMALL(PN_list,COUNTIF(PN_list,"&lt;"&amp;I1357*bar_per_m)+1),"&gt; max PN")</f>
        <v>PN16</v>
      </c>
      <c r="K1357" s="4" t="str">
        <f aca="false">IF(L1357="no","end at tank",IF(H1357&lt;0,"NEGATIVE",IF(H1357&lt;p_min-0.005,"low","OK")))</f>
        <v>OK</v>
      </c>
      <c r="L1357" s="4" t="s">
        <v>414</v>
      </c>
    </row>
    <row r="1358" customFormat="false" ht="15" hidden="false" customHeight="false" outlineLevel="0" collapsed="false">
      <c r="A1358" s="4" t="s">
        <v>44</v>
      </c>
      <c r="B1358" s="4" t="s">
        <v>373</v>
      </c>
      <c r="C1358" s="47" t="n">
        <v>3393.81</v>
      </c>
      <c r="D1358" s="48" t="n">
        <v>1587.9</v>
      </c>
      <c r="E1358" s="49" t="n">
        <f aca="false">D1358-cover</f>
        <v>1586.7</v>
      </c>
      <c r="F1358" s="50" t="n">
        <f aca="false">'Z6 Nkangamo-Uhuru'!S18-'Z6 Nkangamo-Uhuru'!P18*C1358/'Z6 Nkangamo-Uhuru'!G18</f>
        <v>1732.94196980832</v>
      </c>
      <c r="G1358" s="51" t="n">
        <f aca="false">'Z6 Nkangamo-Uhuru'!$B$8-E1358</f>
        <v>119.8</v>
      </c>
      <c r="H1358" s="52" t="n">
        <f aca="false">F1358-E1358</f>
        <v>146.241969808318</v>
      </c>
      <c r="I1358" s="52" t="n">
        <f aca="false">MAX(H1358,G1358)</f>
        <v>146.241969808318</v>
      </c>
      <c r="J1358" s="4" t="str">
        <f aca="false">IFERROR("PN"&amp;SMALL(PN_list,COUNTIF(PN_list,"&lt;"&amp;I1358*bar_per_m)+1),"&gt; max PN")</f>
        <v>PN16</v>
      </c>
      <c r="K1358" s="4" t="str">
        <f aca="false">IF(L1358="no","end at tank",IF(H1358&lt;0,"NEGATIVE",IF(H1358&lt;p_min-0.005,"low","OK")))</f>
        <v>OK</v>
      </c>
      <c r="L1358" s="4" t="s">
        <v>414</v>
      </c>
    </row>
    <row r="1359" customFormat="false" ht="15" hidden="false" customHeight="false" outlineLevel="0" collapsed="false">
      <c r="A1359" s="4" t="s">
        <v>44</v>
      </c>
      <c r="B1359" s="4" t="s">
        <v>373</v>
      </c>
      <c r="C1359" s="47" t="n">
        <v>3413.81</v>
      </c>
      <c r="D1359" s="48" t="n">
        <v>1588.25</v>
      </c>
      <c r="E1359" s="49" t="n">
        <f aca="false">D1359-cover</f>
        <v>1587.05</v>
      </c>
      <c r="F1359" s="50" t="n">
        <f aca="false">'Z6 Nkangamo-Uhuru'!S18-'Z6 Nkangamo-Uhuru'!P18*C1359/'Z6 Nkangamo-Uhuru'!G18</f>
        <v>1732.91081650537</v>
      </c>
      <c r="G1359" s="51" t="n">
        <f aca="false">'Z6 Nkangamo-Uhuru'!$B$8-E1359</f>
        <v>119.45</v>
      </c>
      <c r="H1359" s="52" t="n">
        <f aca="false">F1359-E1359</f>
        <v>145.860816505371</v>
      </c>
      <c r="I1359" s="52" t="n">
        <f aca="false">MAX(H1359,G1359)</f>
        <v>145.860816505371</v>
      </c>
      <c r="J1359" s="4" t="str">
        <f aca="false">IFERROR("PN"&amp;SMALL(PN_list,COUNTIF(PN_list,"&lt;"&amp;I1359*bar_per_m)+1),"&gt; max PN")</f>
        <v>PN16</v>
      </c>
      <c r="K1359" s="4" t="str">
        <f aca="false">IF(L1359="no","end at tank",IF(H1359&lt;0,"NEGATIVE",IF(H1359&lt;p_min-0.005,"low","OK")))</f>
        <v>OK</v>
      </c>
      <c r="L1359" s="4" t="s">
        <v>414</v>
      </c>
    </row>
    <row r="1360" customFormat="false" ht="15" hidden="false" customHeight="false" outlineLevel="0" collapsed="false">
      <c r="A1360" s="4" t="s">
        <v>44</v>
      </c>
      <c r="B1360" s="4" t="s">
        <v>373</v>
      </c>
      <c r="C1360" s="47" t="n">
        <v>3433.81</v>
      </c>
      <c r="D1360" s="48" t="n">
        <v>1588.25</v>
      </c>
      <c r="E1360" s="49" t="n">
        <f aca="false">D1360-cover</f>
        <v>1587.05</v>
      </c>
      <c r="F1360" s="50" t="n">
        <f aca="false">'Z6 Nkangamo-Uhuru'!S18-'Z6 Nkangamo-Uhuru'!P18*C1360/'Z6 Nkangamo-Uhuru'!G18</f>
        <v>1732.87966320242</v>
      </c>
      <c r="G1360" s="51" t="n">
        <f aca="false">'Z6 Nkangamo-Uhuru'!$B$8-E1360</f>
        <v>119.45</v>
      </c>
      <c r="H1360" s="52" t="n">
        <f aca="false">F1360-E1360</f>
        <v>145.829663202424</v>
      </c>
      <c r="I1360" s="52" t="n">
        <f aca="false">MAX(H1360,G1360)</f>
        <v>145.829663202424</v>
      </c>
      <c r="J1360" s="4" t="str">
        <f aca="false">IFERROR("PN"&amp;SMALL(PN_list,COUNTIF(PN_list,"&lt;"&amp;I1360*bar_per_m)+1),"&gt; max PN")</f>
        <v>PN16</v>
      </c>
      <c r="K1360" s="4" t="str">
        <f aca="false">IF(L1360="no","end at tank",IF(H1360&lt;0,"NEGATIVE",IF(H1360&lt;p_min-0.005,"low","OK")))</f>
        <v>OK</v>
      </c>
      <c r="L1360" s="4" t="s">
        <v>414</v>
      </c>
    </row>
    <row r="1361" customFormat="false" ht="15" hidden="false" customHeight="false" outlineLevel="0" collapsed="false">
      <c r="A1361" s="4" t="s">
        <v>44</v>
      </c>
      <c r="B1361" s="4" t="s">
        <v>373</v>
      </c>
      <c r="C1361" s="47" t="n">
        <v>3453.81</v>
      </c>
      <c r="D1361" s="48" t="n">
        <v>1588.16</v>
      </c>
      <c r="E1361" s="49" t="n">
        <f aca="false">D1361-cover</f>
        <v>1586.96</v>
      </c>
      <c r="F1361" s="50" t="n">
        <f aca="false">'Z6 Nkangamo-Uhuru'!S18-'Z6 Nkangamo-Uhuru'!P18*C1361/'Z6 Nkangamo-Uhuru'!G18</f>
        <v>1732.84850989948</v>
      </c>
      <c r="G1361" s="51" t="n">
        <f aca="false">'Z6 Nkangamo-Uhuru'!$B$8-E1361</f>
        <v>119.54</v>
      </c>
      <c r="H1361" s="52" t="n">
        <f aca="false">F1361-E1361</f>
        <v>145.888509899477</v>
      </c>
      <c r="I1361" s="52" t="n">
        <f aca="false">MAX(H1361,G1361)</f>
        <v>145.888509899477</v>
      </c>
      <c r="J1361" s="4" t="str">
        <f aca="false">IFERROR("PN"&amp;SMALL(PN_list,COUNTIF(PN_list,"&lt;"&amp;I1361*bar_per_m)+1),"&gt; max PN")</f>
        <v>PN16</v>
      </c>
      <c r="K1361" s="4" t="str">
        <f aca="false">IF(L1361="no","end at tank",IF(H1361&lt;0,"NEGATIVE",IF(H1361&lt;p_min-0.005,"low","OK")))</f>
        <v>OK</v>
      </c>
      <c r="L1361" s="4" t="s">
        <v>414</v>
      </c>
    </row>
    <row r="1362" customFormat="false" ht="15" hidden="false" customHeight="false" outlineLevel="0" collapsed="false">
      <c r="A1362" s="4" t="s">
        <v>44</v>
      </c>
      <c r="B1362" s="4" t="s">
        <v>373</v>
      </c>
      <c r="C1362" s="47" t="n">
        <v>3473.81</v>
      </c>
      <c r="D1362" s="48" t="n">
        <v>1588.02</v>
      </c>
      <c r="E1362" s="49" t="n">
        <f aca="false">D1362-cover</f>
        <v>1586.82</v>
      </c>
      <c r="F1362" s="50" t="n">
        <f aca="false">'Z6 Nkangamo-Uhuru'!S18-'Z6 Nkangamo-Uhuru'!P18*C1362/'Z6 Nkangamo-Uhuru'!G18</f>
        <v>1732.81735659653</v>
      </c>
      <c r="G1362" s="51" t="n">
        <f aca="false">'Z6 Nkangamo-Uhuru'!$B$8-E1362</f>
        <v>119.68</v>
      </c>
      <c r="H1362" s="52" t="n">
        <f aca="false">F1362-E1362</f>
        <v>145.997356596531</v>
      </c>
      <c r="I1362" s="52" t="n">
        <f aca="false">MAX(H1362,G1362)</f>
        <v>145.997356596531</v>
      </c>
      <c r="J1362" s="4" t="str">
        <f aca="false">IFERROR("PN"&amp;SMALL(PN_list,COUNTIF(PN_list,"&lt;"&amp;I1362*bar_per_m)+1),"&gt; max PN")</f>
        <v>PN16</v>
      </c>
      <c r="K1362" s="4" t="str">
        <f aca="false">IF(L1362="no","end at tank",IF(H1362&lt;0,"NEGATIVE",IF(H1362&lt;p_min-0.005,"low","OK")))</f>
        <v>OK</v>
      </c>
      <c r="L1362" s="4" t="s">
        <v>414</v>
      </c>
    </row>
    <row r="1363" customFormat="false" ht="15" hidden="false" customHeight="false" outlineLevel="0" collapsed="false">
      <c r="A1363" s="4" t="s">
        <v>44</v>
      </c>
      <c r="B1363" s="4" t="s">
        <v>373</v>
      </c>
      <c r="C1363" s="47" t="n">
        <v>3493.81</v>
      </c>
      <c r="D1363" s="48" t="n">
        <v>1588.27</v>
      </c>
      <c r="E1363" s="49" t="n">
        <f aca="false">D1363-cover</f>
        <v>1587.07</v>
      </c>
      <c r="F1363" s="50" t="n">
        <f aca="false">'Z6 Nkangamo-Uhuru'!S18-'Z6 Nkangamo-Uhuru'!P18*C1363/'Z6 Nkangamo-Uhuru'!G18</f>
        <v>1732.78620329358</v>
      </c>
      <c r="G1363" s="51" t="n">
        <f aca="false">'Z6 Nkangamo-Uhuru'!$B$8-E1363</f>
        <v>119.43</v>
      </c>
      <c r="H1363" s="52" t="n">
        <f aca="false">F1363-E1363</f>
        <v>145.716203293584</v>
      </c>
      <c r="I1363" s="52" t="n">
        <f aca="false">MAX(H1363,G1363)</f>
        <v>145.716203293584</v>
      </c>
      <c r="J1363" s="4" t="str">
        <f aca="false">IFERROR("PN"&amp;SMALL(PN_list,COUNTIF(PN_list,"&lt;"&amp;I1363*bar_per_m)+1),"&gt; max PN")</f>
        <v>PN16</v>
      </c>
      <c r="K1363" s="4" t="str">
        <f aca="false">IF(L1363="no","end at tank",IF(H1363&lt;0,"NEGATIVE",IF(H1363&lt;p_min-0.005,"low","OK")))</f>
        <v>OK</v>
      </c>
      <c r="L1363" s="4" t="s">
        <v>414</v>
      </c>
    </row>
    <row r="1364" customFormat="false" ht="15" hidden="false" customHeight="false" outlineLevel="0" collapsed="false">
      <c r="A1364" s="4" t="s">
        <v>44</v>
      </c>
      <c r="B1364" s="4" t="s">
        <v>373</v>
      </c>
      <c r="C1364" s="47" t="n">
        <v>3513.83</v>
      </c>
      <c r="D1364" s="48" t="n">
        <v>1589.11</v>
      </c>
      <c r="E1364" s="49" t="n">
        <f aca="false">D1364-cover</f>
        <v>1587.91</v>
      </c>
      <c r="F1364" s="50" t="n">
        <f aca="false">'Z6 Nkangamo-Uhuru'!S18-'Z6 Nkangamo-Uhuru'!P18*C1364/'Z6 Nkangamo-Uhuru'!G18</f>
        <v>1732.75501883733</v>
      </c>
      <c r="G1364" s="51" t="n">
        <f aca="false">'Z6 Nkangamo-Uhuru'!$B$8-E1364</f>
        <v>118.59</v>
      </c>
      <c r="H1364" s="52" t="n">
        <f aca="false">F1364-E1364</f>
        <v>144.845018837334</v>
      </c>
      <c r="I1364" s="52" t="n">
        <f aca="false">MAX(H1364,G1364)</f>
        <v>144.845018837334</v>
      </c>
      <c r="J1364" s="4" t="str">
        <f aca="false">IFERROR("PN"&amp;SMALL(PN_list,COUNTIF(PN_list,"&lt;"&amp;I1364*bar_per_m)+1),"&gt; max PN")</f>
        <v>PN16</v>
      </c>
      <c r="K1364" s="4" t="str">
        <f aca="false">IF(L1364="no","end at tank",IF(H1364&lt;0,"NEGATIVE",IF(H1364&lt;p_min-0.005,"low","OK")))</f>
        <v>OK</v>
      </c>
      <c r="L1364" s="4" t="s">
        <v>414</v>
      </c>
    </row>
    <row r="1365" customFormat="false" ht="15" hidden="false" customHeight="false" outlineLevel="0" collapsed="false">
      <c r="A1365" s="4" t="s">
        <v>44</v>
      </c>
      <c r="B1365" s="4" t="s">
        <v>373</v>
      </c>
      <c r="C1365" s="47" t="n">
        <v>3533.84</v>
      </c>
      <c r="D1365" s="48" t="n">
        <v>1588.52</v>
      </c>
      <c r="E1365" s="49" t="n">
        <f aca="false">D1365-cover</f>
        <v>1587.32</v>
      </c>
      <c r="F1365" s="50" t="n">
        <f aca="false">'Z6 Nkangamo-Uhuru'!S18-'Z6 Nkangamo-Uhuru'!P18*C1365/'Z6 Nkangamo-Uhuru'!G18</f>
        <v>1732.72384995774</v>
      </c>
      <c r="G1365" s="51" t="n">
        <f aca="false">'Z6 Nkangamo-Uhuru'!$B$8-E1365</f>
        <v>119.18</v>
      </c>
      <c r="H1365" s="52" t="n">
        <f aca="false">F1365-E1365</f>
        <v>145.403849957736</v>
      </c>
      <c r="I1365" s="52" t="n">
        <f aca="false">MAX(H1365,G1365)</f>
        <v>145.403849957736</v>
      </c>
      <c r="J1365" s="4" t="str">
        <f aca="false">IFERROR("PN"&amp;SMALL(PN_list,COUNTIF(PN_list,"&lt;"&amp;I1365*bar_per_m)+1),"&gt; max PN")</f>
        <v>PN16</v>
      </c>
      <c r="K1365" s="4" t="str">
        <f aca="false">IF(L1365="no","end at tank",IF(H1365&lt;0,"NEGATIVE",IF(H1365&lt;p_min-0.005,"low","OK")))</f>
        <v>OK</v>
      </c>
      <c r="L1365" s="4" t="s">
        <v>414</v>
      </c>
    </row>
    <row r="1366" customFormat="false" ht="15" hidden="false" customHeight="false" outlineLevel="0" collapsed="false">
      <c r="A1366" s="4" t="s">
        <v>44</v>
      </c>
      <c r="B1366" s="4" t="s">
        <v>373</v>
      </c>
      <c r="C1366" s="47" t="n">
        <v>3553.84</v>
      </c>
      <c r="D1366" s="48" t="n">
        <v>1588.12</v>
      </c>
      <c r="E1366" s="49" t="n">
        <f aca="false">D1366-cover</f>
        <v>1586.92</v>
      </c>
      <c r="F1366" s="50" t="n">
        <f aca="false">'Z6 Nkangamo-Uhuru'!S18-'Z6 Nkangamo-Uhuru'!P18*C1366/'Z6 Nkangamo-Uhuru'!G18</f>
        <v>1732.69269665479</v>
      </c>
      <c r="G1366" s="51" t="n">
        <f aca="false">'Z6 Nkangamo-Uhuru'!$B$8-E1366</f>
        <v>119.58</v>
      </c>
      <c r="H1366" s="52" t="n">
        <f aca="false">F1366-E1366</f>
        <v>145.772696654789</v>
      </c>
      <c r="I1366" s="52" t="n">
        <f aca="false">MAX(H1366,G1366)</f>
        <v>145.772696654789</v>
      </c>
      <c r="J1366" s="4" t="str">
        <f aca="false">IFERROR("PN"&amp;SMALL(PN_list,COUNTIF(PN_list,"&lt;"&amp;I1366*bar_per_m)+1),"&gt; max PN")</f>
        <v>PN16</v>
      </c>
      <c r="K1366" s="4" t="str">
        <f aca="false">IF(L1366="no","end at tank",IF(H1366&lt;0,"NEGATIVE",IF(H1366&lt;p_min-0.005,"low","OK")))</f>
        <v>OK</v>
      </c>
      <c r="L1366" s="4" t="s">
        <v>414</v>
      </c>
    </row>
    <row r="1367" customFormat="false" ht="15" hidden="false" customHeight="false" outlineLevel="0" collapsed="false">
      <c r="A1367" s="4" t="s">
        <v>44</v>
      </c>
      <c r="B1367" s="4" t="s">
        <v>373</v>
      </c>
      <c r="C1367" s="47" t="n">
        <v>3573.86</v>
      </c>
      <c r="D1367" s="48" t="n">
        <v>1588.87</v>
      </c>
      <c r="E1367" s="49" t="n">
        <f aca="false">D1367-cover</f>
        <v>1587.67</v>
      </c>
      <c r="F1367" s="50" t="n">
        <f aca="false">'Z6 Nkangamo-Uhuru'!S18-'Z6 Nkangamo-Uhuru'!P18*C1367/'Z6 Nkangamo-Uhuru'!G18</f>
        <v>1732.66151219854</v>
      </c>
      <c r="G1367" s="51" t="n">
        <f aca="false">'Z6 Nkangamo-Uhuru'!$B$8-E1367</f>
        <v>118.83</v>
      </c>
      <c r="H1367" s="52" t="n">
        <f aca="false">F1367-E1367</f>
        <v>144.991512198539</v>
      </c>
      <c r="I1367" s="52" t="n">
        <f aca="false">MAX(H1367,G1367)</f>
        <v>144.991512198539</v>
      </c>
      <c r="J1367" s="4" t="str">
        <f aca="false">IFERROR("PN"&amp;SMALL(PN_list,COUNTIF(PN_list,"&lt;"&amp;I1367*bar_per_m)+1),"&gt; max PN")</f>
        <v>PN16</v>
      </c>
      <c r="K1367" s="4" t="str">
        <f aca="false">IF(L1367="no","end at tank",IF(H1367&lt;0,"NEGATIVE",IF(H1367&lt;p_min-0.005,"low","OK")))</f>
        <v>OK</v>
      </c>
      <c r="L1367" s="4" t="s">
        <v>414</v>
      </c>
    </row>
    <row r="1368" customFormat="false" ht="15" hidden="false" customHeight="false" outlineLevel="0" collapsed="false">
      <c r="A1368" s="4" t="s">
        <v>44</v>
      </c>
      <c r="B1368" s="4" t="s">
        <v>373</v>
      </c>
      <c r="C1368" s="47" t="n">
        <v>3593.86</v>
      </c>
      <c r="D1368" s="48" t="n">
        <v>1588.81</v>
      </c>
      <c r="E1368" s="49" t="n">
        <f aca="false">D1368-cover</f>
        <v>1587.61</v>
      </c>
      <c r="F1368" s="50" t="n">
        <f aca="false">'Z6 Nkangamo-Uhuru'!S18-'Z6 Nkangamo-Uhuru'!P18*C1368/'Z6 Nkangamo-Uhuru'!G18</f>
        <v>1732.63035889559</v>
      </c>
      <c r="G1368" s="51" t="n">
        <f aca="false">'Z6 Nkangamo-Uhuru'!$B$8-E1368</f>
        <v>118.89</v>
      </c>
      <c r="H1368" s="52" t="n">
        <f aca="false">F1368-E1368</f>
        <v>145.020358895592</v>
      </c>
      <c r="I1368" s="52" t="n">
        <f aca="false">MAX(H1368,G1368)</f>
        <v>145.020358895592</v>
      </c>
      <c r="J1368" s="4" t="str">
        <f aca="false">IFERROR("PN"&amp;SMALL(PN_list,COUNTIF(PN_list,"&lt;"&amp;I1368*bar_per_m)+1),"&gt; max PN")</f>
        <v>PN16</v>
      </c>
      <c r="K1368" s="4" t="str">
        <f aca="false">IF(L1368="no","end at tank",IF(H1368&lt;0,"NEGATIVE",IF(H1368&lt;p_min-0.005,"low","OK")))</f>
        <v>OK</v>
      </c>
      <c r="L1368" s="4" t="s">
        <v>414</v>
      </c>
    </row>
    <row r="1369" customFormat="false" ht="15" hidden="false" customHeight="false" outlineLevel="0" collapsed="false">
      <c r="A1369" s="4" t="s">
        <v>44</v>
      </c>
      <c r="B1369" s="4" t="s">
        <v>373</v>
      </c>
      <c r="C1369" s="47" t="n">
        <v>3613.86</v>
      </c>
      <c r="D1369" s="48" t="n">
        <v>1588.55</v>
      </c>
      <c r="E1369" s="49" t="n">
        <f aca="false">D1369-cover</f>
        <v>1587.35</v>
      </c>
      <c r="F1369" s="50" t="n">
        <f aca="false">'Z6 Nkangamo-Uhuru'!S18-'Z6 Nkangamo-Uhuru'!P18*C1369/'Z6 Nkangamo-Uhuru'!G18</f>
        <v>1732.59920559265</v>
      </c>
      <c r="G1369" s="51" t="n">
        <f aca="false">'Z6 Nkangamo-Uhuru'!$B$8-E1369</f>
        <v>119.15</v>
      </c>
      <c r="H1369" s="52" t="n">
        <f aca="false">F1369-E1369</f>
        <v>145.249205592646</v>
      </c>
      <c r="I1369" s="52" t="n">
        <f aca="false">MAX(H1369,G1369)</f>
        <v>145.249205592646</v>
      </c>
      <c r="J1369" s="4" t="str">
        <f aca="false">IFERROR("PN"&amp;SMALL(PN_list,COUNTIF(PN_list,"&lt;"&amp;I1369*bar_per_m)+1),"&gt; max PN")</f>
        <v>PN16</v>
      </c>
      <c r="K1369" s="4" t="str">
        <f aca="false">IF(L1369="no","end at tank",IF(H1369&lt;0,"NEGATIVE",IF(H1369&lt;p_min-0.005,"low","OK")))</f>
        <v>OK</v>
      </c>
      <c r="L1369" s="4" t="s">
        <v>414</v>
      </c>
    </row>
    <row r="1370" customFormat="false" ht="15" hidden="false" customHeight="false" outlineLevel="0" collapsed="false">
      <c r="A1370" s="4" t="s">
        <v>44</v>
      </c>
      <c r="B1370" s="4" t="s">
        <v>373</v>
      </c>
      <c r="C1370" s="47" t="n">
        <v>3633.89</v>
      </c>
      <c r="D1370" s="48" t="n">
        <v>1589.65</v>
      </c>
      <c r="E1370" s="49" t="n">
        <f aca="false">D1370-cover</f>
        <v>1588.45</v>
      </c>
      <c r="F1370" s="50" t="n">
        <f aca="false">'Z6 Nkangamo-Uhuru'!S18-'Z6 Nkangamo-Uhuru'!P18*C1370/'Z6 Nkangamo-Uhuru'!G18</f>
        <v>1732.56800555974</v>
      </c>
      <c r="G1370" s="51" t="n">
        <f aca="false">'Z6 Nkangamo-Uhuru'!$B$8-E1370</f>
        <v>118.05</v>
      </c>
      <c r="H1370" s="52" t="n">
        <f aca="false">F1370-E1370</f>
        <v>144.118005559744</v>
      </c>
      <c r="I1370" s="52" t="n">
        <f aca="false">MAX(H1370,G1370)</f>
        <v>144.118005559744</v>
      </c>
      <c r="J1370" s="4" t="str">
        <f aca="false">IFERROR("PN"&amp;SMALL(PN_list,COUNTIF(PN_list,"&lt;"&amp;I1370*bar_per_m)+1),"&gt; max PN")</f>
        <v>PN16</v>
      </c>
      <c r="K1370" s="4" t="str">
        <f aca="false">IF(L1370="no","end at tank",IF(H1370&lt;0,"NEGATIVE",IF(H1370&lt;p_min-0.005,"low","OK")))</f>
        <v>OK</v>
      </c>
      <c r="L1370" s="4" t="s">
        <v>414</v>
      </c>
    </row>
    <row r="1371" customFormat="false" ht="15" hidden="false" customHeight="false" outlineLevel="0" collapsed="false">
      <c r="A1371" s="4" t="s">
        <v>44</v>
      </c>
      <c r="B1371" s="4" t="s">
        <v>373</v>
      </c>
      <c r="C1371" s="47" t="n">
        <v>3653.9</v>
      </c>
      <c r="D1371" s="48" t="n">
        <v>1589.07</v>
      </c>
      <c r="E1371" s="49" t="n">
        <f aca="false">D1371-cover</f>
        <v>1587.87</v>
      </c>
      <c r="F1371" s="50" t="n">
        <f aca="false">'Z6 Nkangamo-Uhuru'!S18-'Z6 Nkangamo-Uhuru'!P18*C1371/'Z6 Nkangamo-Uhuru'!G18</f>
        <v>1732.53683668015</v>
      </c>
      <c r="G1371" s="51" t="n">
        <f aca="false">'Z6 Nkangamo-Uhuru'!$B$8-E1371</f>
        <v>118.63</v>
      </c>
      <c r="H1371" s="52" t="n">
        <f aca="false">F1371-E1371</f>
        <v>144.666836680146</v>
      </c>
      <c r="I1371" s="52" t="n">
        <f aca="false">MAX(H1371,G1371)</f>
        <v>144.666836680146</v>
      </c>
      <c r="J1371" s="4" t="str">
        <f aca="false">IFERROR("PN"&amp;SMALL(PN_list,COUNTIF(PN_list,"&lt;"&amp;I1371*bar_per_m)+1),"&gt; max PN")</f>
        <v>PN16</v>
      </c>
      <c r="K1371" s="4" t="str">
        <f aca="false">IF(L1371="no","end at tank",IF(H1371&lt;0,"NEGATIVE",IF(H1371&lt;p_min-0.005,"low","OK")))</f>
        <v>OK</v>
      </c>
      <c r="L1371" s="4" t="s">
        <v>414</v>
      </c>
    </row>
    <row r="1372" customFormat="false" ht="15" hidden="false" customHeight="false" outlineLevel="0" collapsed="false">
      <c r="A1372" s="4" t="s">
        <v>44</v>
      </c>
      <c r="B1372" s="4" t="s">
        <v>373</v>
      </c>
      <c r="C1372" s="47" t="n">
        <v>3673.91</v>
      </c>
      <c r="D1372" s="48" t="n">
        <v>1588.41</v>
      </c>
      <c r="E1372" s="49" t="n">
        <f aca="false">D1372-cover</f>
        <v>1587.21</v>
      </c>
      <c r="F1372" s="50" t="n">
        <f aca="false">'Z6 Nkangamo-Uhuru'!S18-'Z6 Nkangamo-Uhuru'!P18*C1372/'Z6 Nkangamo-Uhuru'!G18</f>
        <v>1732.50566780055</v>
      </c>
      <c r="G1372" s="51" t="n">
        <f aca="false">'Z6 Nkangamo-Uhuru'!$B$8-E1372</f>
        <v>119.29</v>
      </c>
      <c r="H1372" s="52" t="n">
        <f aca="false">F1372-E1372</f>
        <v>145.295667800548</v>
      </c>
      <c r="I1372" s="52" t="n">
        <f aca="false">MAX(H1372,G1372)</f>
        <v>145.295667800548</v>
      </c>
      <c r="J1372" s="4" t="str">
        <f aca="false">IFERROR("PN"&amp;SMALL(PN_list,COUNTIF(PN_list,"&lt;"&amp;I1372*bar_per_m)+1),"&gt; max PN")</f>
        <v>PN16</v>
      </c>
      <c r="K1372" s="4" t="str">
        <f aca="false">IF(L1372="no","end at tank",IF(H1372&lt;0,"NEGATIVE",IF(H1372&lt;p_min-0.005,"low","OK")))</f>
        <v>OK</v>
      </c>
      <c r="L1372" s="4" t="s">
        <v>414</v>
      </c>
    </row>
    <row r="1373" customFormat="false" ht="15" hidden="false" customHeight="false" outlineLevel="0" collapsed="false">
      <c r="A1373" s="4" t="s">
        <v>44</v>
      </c>
      <c r="B1373" s="4" t="s">
        <v>373</v>
      </c>
      <c r="C1373" s="47" t="n">
        <v>3693.95</v>
      </c>
      <c r="D1373" s="48" t="n">
        <v>1589.75</v>
      </c>
      <c r="E1373" s="49" t="n">
        <f aca="false">D1373-cover</f>
        <v>1588.55</v>
      </c>
      <c r="F1373" s="50" t="n">
        <f aca="false">'Z6 Nkangamo-Uhuru'!S18-'Z6 Nkangamo-Uhuru'!P18*C1373/'Z6 Nkangamo-Uhuru'!G18</f>
        <v>1732.474452191</v>
      </c>
      <c r="G1373" s="51" t="n">
        <f aca="false">'Z6 Nkangamo-Uhuru'!$B$8-E1373</f>
        <v>117.95</v>
      </c>
      <c r="H1373" s="52" t="n">
        <f aca="false">F1373-E1373</f>
        <v>143.924452190995</v>
      </c>
      <c r="I1373" s="52" t="n">
        <f aca="false">MAX(H1373,G1373)</f>
        <v>143.924452190995</v>
      </c>
      <c r="J1373" s="4" t="str">
        <f aca="false">IFERROR("PN"&amp;SMALL(PN_list,COUNTIF(PN_list,"&lt;"&amp;I1373*bar_per_m)+1),"&gt; max PN")</f>
        <v>PN16</v>
      </c>
      <c r="K1373" s="4" t="str">
        <f aca="false">IF(L1373="no","end at tank",IF(H1373&lt;0,"NEGATIVE",IF(H1373&lt;p_min-0.005,"low","OK")))</f>
        <v>OK</v>
      </c>
      <c r="L1373" s="4" t="s">
        <v>414</v>
      </c>
    </row>
    <row r="1374" customFormat="false" ht="15" hidden="false" customHeight="false" outlineLevel="0" collapsed="false">
      <c r="A1374" s="4" t="s">
        <v>44</v>
      </c>
      <c r="B1374" s="4" t="s">
        <v>373</v>
      </c>
      <c r="C1374" s="47" t="n">
        <v>3713.98</v>
      </c>
      <c r="D1374" s="48" t="n">
        <v>1588.65</v>
      </c>
      <c r="E1374" s="49" t="n">
        <f aca="false">D1374-cover</f>
        <v>1587.45</v>
      </c>
      <c r="F1374" s="50" t="n">
        <f aca="false">'Z6 Nkangamo-Uhuru'!S18-'Z6 Nkangamo-Uhuru'!P18*C1374/'Z6 Nkangamo-Uhuru'!G18</f>
        <v>1732.44325215809</v>
      </c>
      <c r="G1374" s="51" t="n">
        <f aca="false">'Z6 Nkangamo-Uhuru'!$B$8-E1374</f>
        <v>119.05</v>
      </c>
      <c r="H1374" s="52" t="n">
        <f aca="false">F1374-E1374</f>
        <v>144.993252158094</v>
      </c>
      <c r="I1374" s="52" t="n">
        <f aca="false">MAX(H1374,G1374)</f>
        <v>144.993252158094</v>
      </c>
      <c r="J1374" s="4" t="str">
        <f aca="false">IFERROR("PN"&amp;SMALL(PN_list,COUNTIF(PN_list,"&lt;"&amp;I1374*bar_per_m)+1),"&gt; max PN")</f>
        <v>PN16</v>
      </c>
      <c r="K1374" s="4" t="str">
        <f aca="false">IF(L1374="no","end at tank",IF(H1374&lt;0,"NEGATIVE",IF(H1374&lt;p_min-0.005,"low","OK")))</f>
        <v>OK</v>
      </c>
      <c r="L1374" s="4" t="s">
        <v>414</v>
      </c>
    </row>
    <row r="1375" customFormat="false" ht="15" hidden="false" customHeight="false" outlineLevel="0" collapsed="false">
      <c r="A1375" s="4" t="s">
        <v>44</v>
      </c>
      <c r="B1375" s="4" t="s">
        <v>373</v>
      </c>
      <c r="C1375" s="47" t="n">
        <v>3734</v>
      </c>
      <c r="D1375" s="48" t="n">
        <v>1589.37</v>
      </c>
      <c r="E1375" s="49" t="n">
        <f aca="false">D1375-cover</f>
        <v>1588.17</v>
      </c>
      <c r="F1375" s="50" t="n">
        <f aca="false">'Z6 Nkangamo-Uhuru'!S18-'Z6 Nkangamo-Uhuru'!P18*C1375/'Z6 Nkangamo-Uhuru'!G18</f>
        <v>1732.41206770184</v>
      </c>
      <c r="G1375" s="51" t="n">
        <f aca="false">'Z6 Nkangamo-Uhuru'!$B$8-E1375</f>
        <v>118.33</v>
      </c>
      <c r="H1375" s="52" t="n">
        <f aca="false">F1375-E1375</f>
        <v>144.242067701844</v>
      </c>
      <c r="I1375" s="52" t="n">
        <f aca="false">MAX(H1375,G1375)</f>
        <v>144.242067701844</v>
      </c>
      <c r="J1375" s="4" t="str">
        <f aca="false">IFERROR("PN"&amp;SMALL(PN_list,COUNTIF(PN_list,"&lt;"&amp;I1375*bar_per_m)+1),"&gt; max PN")</f>
        <v>PN16</v>
      </c>
      <c r="K1375" s="4" t="str">
        <f aca="false">IF(L1375="no","end at tank",IF(H1375&lt;0,"NEGATIVE",IF(H1375&lt;p_min-0.005,"low","OK")))</f>
        <v>OK</v>
      </c>
      <c r="L1375" s="4" t="s">
        <v>414</v>
      </c>
    </row>
    <row r="1376" customFormat="false" ht="15" hidden="false" customHeight="false" outlineLevel="0" collapsed="false">
      <c r="A1376" s="4" t="s">
        <v>44</v>
      </c>
      <c r="B1376" s="4" t="s">
        <v>373</v>
      </c>
      <c r="C1376" s="47" t="n">
        <v>3754</v>
      </c>
      <c r="D1376" s="48" t="n">
        <v>1589.38</v>
      </c>
      <c r="E1376" s="49" t="n">
        <f aca="false">D1376-cover</f>
        <v>1588.18</v>
      </c>
      <c r="F1376" s="50" t="n">
        <f aca="false">'Z6 Nkangamo-Uhuru'!S18-'Z6 Nkangamo-Uhuru'!P18*C1376/'Z6 Nkangamo-Uhuru'!G18</f>
        <v>1732.3809143989</v>
      </c>
      <c r="G1376" s="51" t="n">
        <f aca="false">'Z6 Nkangamo-Uhuru'!$B$8-E1376</f>
        <v>118.32</v>
      </c>
      <c r="H1376" s="52" t="n">
        <f aca="false">F1376-E1376</f>
        <v>144.200914398897</v>
      </c>
      <c r="I1376" s="52" t="n">
        <f aca="false">MAX(H1376,G1376)</f>
        <v>144.200914398897</v>
      </c>
      <c r="J1376" s="4" t="str">
        <f aca="false">IFERROR("PN"&amp;SMALL(PN_list,COUNTIF(PN_list,"&lt;"&amp;I1376*bar_per_m)+1),"&gt; max PN")</f>
        <v>PN16</v>
      </c>
      <c r="K1376" s="4" t="str">
        <f aca="false">IF(L1376="no","end at tank",IF(H1376&lt;0,"NEGATIVE",IF(H1376&lt;p_min-0.005,"low","OK")))</f>
        <v>OK</v>
      </c>
      <c r="L1376" s="4" t="s">
        <v>414</v>
      </c>
    </row>
    <row r="1377" customFormat="false" ht="15" hidden="false" customHeight="false" outlineLevel="0" collapsed="false">
      <c r="A1377" s="4" t="s">
        <v>44</v>
      </c>
      <c r="B1377" s="4" t="s">
        <v>373</v>
      </c>
      <c r="C1377" s="47" t="n">
        <v>3774</v>
      </c>
      <c r="D1377" s="48" t="n">
        <v>1589.37</v>
      </c>
      <c r="E1377" s="49" t="n">
        <f aca="false">D1377-cover</f>
        <v>1588.17</v>
      </c>
      <c r="F1377" s="50" t="n">
        <f aca="false">'Z6 Nkangamo-Uhuru'!S18-'Z6 Nkangamo-Uhuru'!P18*C1377/'Z6 Nkangamo-Uhuru'!G18</f>
        <v>1732.34976109595</v>
      </c>
      <c r="G1377" s="51" t="n">
        <f aca="false">'Z6 Nkangamo-Uhuru'!$B$8-E1377</f>
        <v>118.33</v>
      </c>
      <c r="H1377" s="52" t="n">
        <f aca="false">F1377-E1377</f>
        <v>144.17976109595</v>
      </c>
      <c r="I1377" s="52" t="n">
        <f aca="false">MAX(H1377,G1377)</f>
        <v>144.17976109595</v>
      </c>
      <c r="J1377" s="4" t="str">
        <f aca="false">IFERROR("PN"&amp;SMALL(PN_list,COUNTIF(PN_list,"&lt;"&amp;I1377*bar_per_m)+1),"&gt; max PN")</f>
        <v>PN16</v>
      </c>
      <c r="K1377" s="4" t="str">
        <f aca="false">IF(L1377="no","end at tank",IF(H1377&lt;0,"NEGATIVE",IF(H1377&lt;p_min-0.005,"low","OK")))</f>
        <v>OK</v>
      </c>
      <c r="L1377" s="4" t="s">
        <v>414</v>
      </c>
    </row>
    <row r="1378" customFormat="false" ht="15" hidden="false" customHeight="false" outlineLevel="0" collapsed="false">
      <c r="A1378" s="4" t="s">
        <v>44</v>
      </c>
      <c r="B1378" s="4" t="s">
        <v>373</v>
      </c>
      <c r="C1378" s="47" t="n">
        <v>3794</v>
      </c>
      <c r="D1378" s="48" t="n">
        <v>1589.72</v>
      </c>
      <c r="E1378" s="49" t="n">
        <f aca="false">D1378-cover</f>
        <v>1588.52</v>
      </c>
      <c r="F1378" s="50" t="n">
        <f aca="false">'Z6 Nkangamo-Uhuru'!S18-'Z6 Nkangamo-Uhuru'!P18*C1378/'Z6 Nkangamo-Uhuru'!G18</f>
        <v>1732.318607793</v>
      </c>
      <c r="G1378" s="51" t="n">
        <f aca="false">'Z6 Nkangamo-Uhuru'!$B$8-E1378</f>
        <v>117.98</v>
      </c>
      <c r="H1378" s="52" t="n">
        <f aca="false">F1378-E1378</f>
        <v>143.798607793003</v>
      </c>
      <c r="I1378" s="52" t="n">
        <f aca="false">MAX(H1378,G1378)</f>
        <v>143.798607793003</v>
      </c>
      <c r="J1378" s="4" t="str">
        <f aca="false">IFERROR("PN"&amp;SMALL(PN_list,COUNTIF(PN_list,"&lt;"&amp;I1378*bar_per_m)+1),"&gt; max PN")</f>
        <v>PN16</v>
      </c>
      <c r="K1378" s="4" t="str">
        <f aca="false">IF(L1378="no","end at tank",IF(H1378&lt;0,"NEGATIVE",IF(H1378&lt;p_min-0.005,"low","OK")))</f>
        <v>OK</v>
      </c>
      <c r="L1378" s="4" t="s">
        <v>414</v>
      </c>
    </row>
    <row r="1379" customFormat="false" ht="15" hidden="false" customHeight="false" outlineLevel="0" collapsed="false">
      <c r="A1379" s="4" t="s">
        <v>44</v>
      </c>
      <c r="B1379" s="4" t="s">
        <v>373</v>
      </c>
      <c r="C1379" s="47" t="n">
        <v>3814.01</v>
      </c>
      <c r="D1379" s="48" t="n">
        <v>1589.3</v>
      </c>
      <c r="E1379" s="49" t="n">
        <f aca="false">D1379-cover</f>
        <v>1588.1</v>
      </c>
      <c r="F1379" s="50" t="n">
        <f aca="false">'Z6 Nkangamo-Uhuru'!S18-'Z6 Nkangamo-Uhuru'!P18*C1379/'Z6 Nkangamo-Uhuru'!G18</f>
        <v>1732.28743891341</v>
      </c>
      <c r="G1379" s="51" t="n">
        <f aca="false">'Z6 Nkangamo-Uhuru'!$B$8-E1379</f>
        <v>118.4</v>
      </c>
      <c r="H1379" s="52" t="n">
        <f aca="false">F1379-E1379</f>
        <v>144.187438913405</v>
      </c>
      <c r="I1379" s="52" t="n">
        <f aca="false">MAX(H1379,G1379)</f>
        <v>144.187438913405</v>
      </c>
      <c r="J1379" s="4" t="str">
        <f aca="false">IFERROR("PN"&amp;SMALL(PN_list,COUNTIF(PN_list,"&lt;"&amp;I1379*bar_per_m)+1),"&gt; max PN")</f>
        <v>PN16</v>
      </c>
      <c r="K1379" s="4" t="str">
        <f aca="false">IF(L1379="no","end at tank",IF(H1379&lt;0,"NEGATIVE",IF(H1379&lt;p_min-0.005,"low","OK")))</f>
        <v>OK</v>
      </c>
      <c r="L1379" s="4" t="s">
        <v>414</v>
      </c>
    </row>
    <row r="1380" customFormat="false" ht="15" hidden="false" customHeight="false" outlineLevel="0" collapsed="false">
      <c r="A1380" s="4" t="s">
        <v>44</v>
      </c>
      <c r="B1380" s="4" t="s">
        <v>373</v>
      </c>
      <c r="C1380" s="47" t="n">
        <v>3834.03</v>
      </c>
      <c r="D1380" s="48" t="n">
        <v>1590.22</v>
      </c>
      <c r="E1380" s="49" t="n">
        <f aca="false">D1380-cover</f>
        <v>1589.02</v>
      </c>
      <c r="F1380" s="50" t="n">
        <f aca="false">'Z6 Nkangamo-Uhuru'!S18-'Z6 Nkangamo-Uhuru'!P18*C1380/'Z6 Nkangamo-Uhuru'!G18</f>
        <v>1732.25625445716</v>
      </c>
      <c r="G1380" s="51" t="n">
        <f aca="false">'Z6 Nkangamo-Uhuru'!$B$8-E1380</f>
        <v>117.48</v>
      </c>
      <c r="H1380" s="52" t="n">
        <f aca="false">F1380-E1380</f>
        <v>143.236254457155</v>
      </c>
      <c r="I1380" s="52" t="n">
        <f aca="false">MAX(H1380,G1380)</f>
        <v>143.236254457155</v>
      </c>
      <c r="J1380" s="4" t="str">
        <f aca="false">IFERROR("PN"&amp;SMALL(PN_list,COUNTIF(PN_list,"&lt;"&amp;I1380*bar_per_m)+1),"&gt; max PN")</f>
        <v>PN16</v>
      </c>
      <c r="K1380" s="4" t="str">
        <f aca="false">IF(L1380="no","end at tank",IF(H1380&lt;0,"NEGATIVE",IF(H1380&lt;p_min-0.005,"low","OK")))</f>
        <v>OK</v>
      </c>
      <c r="L1380" s="4" t="s">
        <v>414</v>
      </c>
    </row>
    <row r="1381" customFormat="false" ht="15" hidden="false" customHeight="false" outlineLevel="0" collapsed="false">
      <c r="A1381" s="4" t="s">
        <v>44</v>
      </c>
      <c r="B1381" s="4" t="s">
        <v>373</v>
      </c>
      <c r="C1381" s="47" t="n">
        <v>3854.04</v>
      </c>
      <c r="D1381" s="48" t="n">
        <v>1589.58</v>
      </c>
      <c r="E1381" s="49" t="n">
        <f aca="false">D1381-cover</f>
        <v>1588.38</v>
      </c>
      <c r="F1381" s="50" t="n">
        <f aca="false">'Z6 Nkangamo-Uhuru'!S18-'Z6 Nkangamo-Uhuru'!P18*C1381/'Z6 Nkangamo-Uhuru'!G18</f>
        <v>1732.22508557756</v>
      </c>
      <c r="G1381" s="51" t="n">
        <f aca="false">'Z6 Nkangamo-Uhuru'!$B$8-E1381</f>
        <v>118.12</v>
      </c>
      <c r="H1381" s="52" t="n">
        <f aca="false">F1381-E1381</f>
        <v>143.845085577557</v>
      </c>
      <c r="I1381" s="52" t="n">
        <f aca="false">MAX(H1381,G1381)</f>
        <v>143.845085577557</v>
      </c>
      <c r="J1381" s="4" t="str">
        <f aca="false">IFERROR("PN"&amp;SMALL(PN_list,COUNTIF(PN_list,"&lt;"&amp;I1381*bar_per_m)+1),"&gt; max PN")</f>
        <v>PN16</v>
      </c>
      <c r="K1381" s="4" t="str">
        <f aca="false">IF(L1381="no","end at tank",IF(H1381&lt;0,"NEGATIVE",IF(H1381&lt;p_min-0.005,"low","OK")))</f>
        <v>OK</v>
      </c>
      <c r="L1381" s="4" t="s">
        <v>414</v>
      </c>
    </row>
    <row r="1382" customFormat="false" ht="15" hidden="false" customHeight="false" outlineLevel="0" collapsed="false">
      <c r="A1382" s="4" t="s">
        <v>44</v>
      </c>
      <c r="B1382" s="4" t="s">
        <v>373</v>
      </c>
      <c r="C1382" s="47" t="n">
        <v>3874.04</v>
      </c>
      <c r="D1382" s="48" t="n">
        <v>1589.46</v>
      </c>
      <c r="E1382" s="49" t="n">
        <f aca="false">D1382-cover</f>
        <v>1588.26</v>
      </c>
      <c r="F1382" s="50" t="n">
        <f aca="false">'Z6 Nkangamo-Uhuru'!S18-'Z6 Nkangamo-Uhuru'!P18*C1382/'Z6 Nkangamo-Uhuru'!G18</f>
        <v>1732.19393227461</v>
      </c>
      <c r="G1382" s="51" t="n">
        <f aca="false">'Z6 Nkangamo-Uhuru'!$B$8-E1382</f>
        <v>118.24</v>
      </c>
      <c r="H1382" s="52" t="n">
        <f aca="false">F1382-E1382</f>
        <v>143.93393227461</v>
      </c>
      <c r="I1382" s="52" t="n">
        <f aca="false">MAX(H1382,G1382)</f>
        <v>143.93393227461</v>
      </c>
      <c r="J1382" s="4" t="str">
        <f aca="false">IFERROR("PN"&amp;SMALL(PN_list,COUNTIF(PN_list,"&lt;"&amp;I1382*bar_per_m)+1),"&gt; max PN")</f>
        <v>PN16</v>
      </c>
      <c r="K1382" s="4" t="str">
        <f aca="false">IF(L1382="no","end at tank",IF(H1382&lt;0,"NEGATIVE",IF(H1382&lt;p_min-0.005,"low","OK")))</f>
        <v>OK</v>
      </c>
      <c r="L1382" s="4" t="s">
        <v>414</v>
      </c>
    </row>
    <row r="1383" customFormat="false" ht="15" hidden="false" customHeight="false" outlineLevel="0" collapsed="false">
      <c r="A1383" s="4" t="s">
        <v>44</v>
      </c>
      <c r="B1383" s="4" t="s">
        <v>373</v>
      </c>
      <c r="C1383" s="47" t="n">
        <v>3894.04</v>
      </c>
      <c r="D1383" s="48" t="n">
        <v>1589.25</v>
      </c>
      <c r="E1383" s="49" t="n">
        <f aca="false">D1383-cover</f>
        <v>1588.05</v>
      </c>
      <c r="F1383" s="50" t="n">
        <f aca="false">'Z6 Nkangamo-Uhuru'!S18-'Z6 Nkangamo-Uhuru'!P18*C1383/'Z6 Nkangamo-Uhuru'!G18</f>
        <v>1732.16277897166</v>
      </c>
      <c r="G1383" s="51" t="n">
        <f aca="false">'Z6 Nkangamo-Uhuru'!$B$8-E1383</f>
        <v>118.45</v>
      </c>
      <c r="H1383" s="52" t="n">
        <f aca="false">F1383-E1383</f>
        <v>144.112778971663</v>
      </c>
      <c r="I1383" s="52" t="n">
        <f aca="false">MAX(H1383,G1383)</f>
        <v>144.112778971663</v>
      </c>
      <c r="J1383" s="4" t="str">
        <f aca="false">IFERROR("PN"&amp;SMALL(PN_list,COUNTIF(PN_list,"&lt;"&amp;I1383*bar_per_m)+1),"&gt; max PN")</f>
        <v>PN16</v>
      </c>
      <c r="K1383" s="4" t="str">
        <f aca="false">IF(L1383="no","end at tank",IF(H1383&lt;0,"NEGATIVE",IF(H1383&lt;p_min-0.005,"low","OK")))</f>
        <v>OK</v>
      </c>
      <c r="L1383" s="4" t="s">
        <v>414</v>
      </c>
    </row>
    <row r="1384" customFormat="false" ht="15" hidden="false" customHeight="false" outlineLevel="0" collapsed="false">
      <c r="A1384" s="4" t="s">
        <v>44</v>
      </c>
      <c r="B1384" s="4" t="s">
        <v>373</v>
      </c>
      <c r="C1384" s="47" t="n">
        <v>3914.06</v>
      </c>
      <c r="D1384" s="48" t="n">
        <v>1588.29</v>
      </c>
      <c r="E1384" s="49" t="n">
        <f aca="false">D1384-cover</f>
        <v>1587.09</v>
      </c>
      <c r="F1384" s="50" t="n">
        <f aca="false">'Z6 Nkangamo-Uhuru'!S18-'Z6 Nkangamo-Uhuru'!P18*C1384/'Z6 Nkangamo-Uhuru'!G18</f>
        <v>1732.13159451541</v>
      </c>
      <c r="G1384" s="51" t="n">
        <f aca="false">'Z6 Nkangamo-Uhuru'!$B$8-E1384</f>
        <v>119.41</v>
      </c>
      <c r="H1384" s="52" t="n">
        <f aca="false">F1384-E1384</f>
        <v>145.041594515414</v>
      </c>
      <c r="I1384" s="52" t="n">
        <f aca="false">MAX(H1384,G1384)</f>
        <v>145.041594515414</v>
      </c>
      <c r="J1384" s="4" t="str">
        <f aca="false">IFERROR("PN"&amp;SMALL(PN_list,COUNTIF(PN_list,"&lt;"&amp;I1384*bar_per_m)+1),"&gt; max PN")</f>
        <v>PN16</v>
      </c>
      <c r="K1384" s="4" t="str">
        <f aca="false">IF(L1384="no","end at tank",IF(H1384&lt;0,"NEGATIVE",IF(H1384&lt;p_min-0.005,"low","OK")))</f>
        <v>OK</v>
      </c>
      <c r="L1384" s="4" t="s">
        <v>414</v>
      </c>
    </row>
    <row r="1385" customFormat="false" ht="15" hidden="false" customHeight="false" outlineLevel="0" collapsed="false">
      <c r="A1385" s="4" t="s">
        <v>44</v>
      </c>
      <c r="B1385" s="4" t="s">
        <v>373</v>
      </c>
      <c r="C1385" s="47" t="n">
        <v>3934.06</v>
      </c>
      <c r="D1385" s="48" t="n">
        <v>1588.32</v>
      </c>
      <c r="E1385" s="49" t="n">
        <f aca="false">D1385-cover</f>
        <v>1587.12</v>
      </c>
      <c r="F1385" s="50" t="n">
        <f aca="false">'Z6 Nkangamo-Uhuru'!S18-'Z6 Nkangamo-Uhuru'!P18*C1385/'Z6 Nkangamo-Uhuru'!G18</f>
        <v>1732.10044121247</v>
      </c>
      <c r="G1385" s="51" t="n">
        <f aca="false">'Z6 Nkangamo-Uhuru'!$B$8-E1385</f>
        <v>119.38</v>
      </c>
      <c r="H1385" s="52" t="n">
        <f aca="false">F1385-E1385</f>
        <v>144.980441212467</v>
      </c>
      <c r="I1385" s="52" t="n">
        <f aca="false">MAX(H1385,G1385)</f>
        <v>144.980441212467</v>
      </c>
      <c r="J1385" s="4" t="str">
        <f aca="false">IFERROR("PN"&amp;SMALL(PN_list,COUNTIF(PN_list,"&lt;"&amp;I1385*bar_per_m)+1),"&gt; max PN")</f>
        <v>PN16</v>
      </c>
      <c r="K1385" s="4" t="str">
        <f aca="false">IF(L1385="no","end at tank",IF(H1385&lt;0,"NEGATIVE",IF(H1385&lt;p_min-0.005,"low","OK")))</f>
        <v>OK</v>
      </c>
      <c r="L1385" s="4" t="s">
        <v>414</v>
      </c>
    </row>
    <row r="1386" customFormat="false" ht="15" hidden="false" customHeight="false" outlineLevel="0" collapsed="false">
      <c r="A1386" s="4" t="s">
        <v>44</v>
      </c>
      <c r="B1386" s="4" t="s">
        <v>373</v>
      </c>
      <c r="C1386" s="47" t="n">
        <v>3954.08</v>
      </c>
      <c r="D1386" s="48" t="n">
        <v>1587.36</v>
      </c>
      <c r="E1386" s="49" t="n">
        <f aca="false">D1386-cover</f>
        <v>1586.16</v>
      </c>
      <c r="F1386" s="50" t="n">
        <f aca="false">'Z6 Nkangamo-Uhuru'!S18-'Z6 Nkangamo-Uhuru'!P18*C1386/'Z6 Nkangamo-Uhuru'!G18</f>
        <v>1732.06925675622</v>
      </c>
      <c r="G1386" s="51" t="n">
        <f aca="false">'Z6 Nkangamo-Uhuru'!$B$8-E1386</f>
        <v>120.34</v>
      </c>
      <c r="H1386" s="52" t="n">
        <f aca="false">F1386-E1386</f>
        <v>145.909256756217</v>
      </c>
      <c r="I1386" s="52" t="n">
        <f aca="false">MAX(H1386,G1386)</f>
        <v>145.909256756217</v>
      </c>
      <c r="J1386" s="4" t="str">
        <f aca="false">IFERROR("PN"&amp;SMALL(PN_list,COUNTIF(PN_list,"&lt;"&amp;I1386*bar_per_m)+1),"&gt; max PN")</f>
        <v>PN16</v>
      </c>
      <c r="K1386" s="4" t="str">
        <f aca="false">IF(L1386="no","end at tank",IF(H1386&lt;0,"NEGATIVE",IF(H1386&lt;p_min-0.005,"low","OK")))</f>
        <v>OK</v>
      </c>
      <c r="L1386" s="4" t="s">
        <v>414</v>
      </c>
    </row>
    <row r="1387" customFormat="false" ht="15" hidden="false" customHeight="false" outlineLevel="0" collapsed="false">
      <c r="A1387" s="4" t="s">
        <v>44</v>
      </c>
      <c r="B1387" s="4" t="s">
        <v>373</v>
      </c>
      <c r="C1387" s="47" t="n">
        <v>3974.08</v>
      </c>
      <c r="D1387" s="48" t="n">
        <v>1587.29</v>
      </c>
      <c r="E1387" s="49" t="n">
        <f aca="false">D1387-cover</f>
        <v>1586.09</v>
      </c>
      <c r="F1387" s="50" t="n">
        <f aca="false">'Z6 Nkangamo-Uhuru'!S18-'Z6 Nkangamo-Uhuru'!P18*C1387/'Z6 Nkangamo-Uhuru'!G18</f>
        <v>1732.03810345327</v>
      </c>
      <c r="G1387" s="51" t="n">
        <f aca="false">'Z6 Nkangamo-Uhuru'!$B$8-E1387</f>
        <v>120.41</v>
      </c>
      <c r="H1387" s="52" t="n">
        <f aca="false">F1387-E1387</f>
        <v>145.94810345327</v>
      </c>
      <c r="I1387" s="52" t="n">
        <f aca="false">MAX(H1387,G1387)</f>
        <v>145.94810345327</v>
      </c>
      <c r="J1387" s="4" t="str">
        <f aca="false">IFERROR("PN"&amp;SMALL(PN_list,COUNTIF(PN_list,"&lt;"&amp;I1387*bar_per_m)+1),"&gt; max PN")</f>
        <v>PN16</v>
      </c>
      <c r="K1387" s="4" t="str">
        <f aca="false">IF(L1387="no","end at tank",IF(H1387&lt;0,"NEGATIVE",IF(H1387&lt;p_min-0.005,"low","OK")))</f>
        <v>OK</v>
      </c>
      <c r="L1387" s="4" t="s">
        <v>414</v>
      </c>
    </row>
    <row r="1388" customFormat="false" ht="15" hidden="false" customHeight="false" outlineLevel="0" collapsed="false">
      <c r="A1388" s="4" t="s">
        <v>44</v>
      </c>
      <c r="B1388" s="4" t="s">
        <v>373</v>
      </c>
      <c r="C1388" s="47" t="n">
        <v>3994.1</v>
      </c>
      <c r="D1388" s="48" t="n">
        <v>1586.46</v>
      </c>
      <c r="E1388" s="49" t="n">
        <f aca="false">D1388-cover</f>
        <v>1585.26</v>
      </c>
      <c r="F1388" s="50" t="n">
        <f aca="false">'Z6 Nkangamo-Uhuru'!S18-'Z6 Nkangamo-Uhuru'!P18*C1388/'Z6 Nkangamo-Uhuru'!G18</f>
        <v>1732.00691899702</v>
      </c>
      <c r="G1388" s="51" t="n">
        <f aca="false">'Z6 Nkangamo-Uhuru'!$B$8-E1388</f>
        <v>121.24</v>
      </c>
      <c r="H1388" s="52" t="n">
        <f aca="false">F1388-E1388</f>
        <v>146.74691899702</v>
      </c>
      <c r="I1388" s="52" t="n">
        <f aca="false">MAX(H1388,G1388)</f>
        <v>146.74691899702</v>
      </c>
      <c r="J1388" s="4" t="str">
        <f aca="false">IFERROR("PN"&amp;SMALL(PN_list,COUNTIF(PN_list,"&lt;"&amp;I1388*bar_per_m)+1),"&gt; max PN")</f>
        <v>PN16</v>
      </c>
      <c r="K1388" s="4" t="str">
        <f aca="false">IF(L1388="no","end at tank",IF(H1388&lt;0,"NEGATIVE",IF(H1388&lt;p_min-0.005,"low","OK")))</f>
        <v>OK</v>
      </c>
      <c r="L1388" s="4" t="s">
        <v>414</v>
      </c>
    </row>
    <row r="1389" customFormat="false" ht="15" hidden="false" customHeight="false" outlineLevel="0" collapsed="false">
      <c r="A1389" s="4" t="s">
        <v>44</v>
      </c>
      <c r="B1389" s="4" t="s">
        <v>373</v>
      </c>
      <c r="C1389" s="47" t="n">
        <v>4014.14</v>
      </c>
      <c r="D1389" s="48" t="n">
        <v>1585.24</v>
      </c>
      <c r="E1389" s="49" t="n">
        <f aca="false">D1389-cover</f>
        <v>1584.04</v>
      </c>
      <c r="F1389" s="50" t="n">
        <f aca="false">'Z6 Nkangamo-Uhuru'!S18-'Z6 Nkangamo-Uhuru'!P18*C1389/'Z6 Nkangamo-Uhuru'!G18</f>
        <v>1731.97570338747</v>
      </c>
      <c r="G1389" s="51" t="n">
        <f aca="false">'Z6 Nkangamo-Uhuru'!$B$8-E1389</f>
        <v>122.46</v>
      </c>
      <c r="H1389" s="52" t="n">
        <f aca="false">F1389-E1389</f>
        <v>147.935703387468</v>
      </c>
      <c r="I1389" s="52" t="n">
        <f aca="false">MAX(H1389,G1389)</f>
        <v>147.935703387468</v>
      </c>
      <c r="J1389" s="4" t="str">
        <f aca="false">IFERROR("PN"&amp;SMALL(PN_list,COUNTIF(PN_list,"&lt;"&amp;I1389*bar_per_m)+1),"&gt; max PN")</f>
        <v>PN16</v>
      </c>
      <c r="K1389" s="4" t="str">
        <f aca="false">IF(L1389="no","end at tank",IF(H1389&lt;0,"NEGATIVE",IF(H1389&lt;p_min-0.005,"low","OK")))</f>
        <v>OK</v>
      </c>
      <c r="L1389" s="4" t="s">
        <v>414</v>
      </c>
    </row>
    <row r="1390" customFormat="false" ht="15" hidden="false" customHeight="false" outlineLevel="0" collapsed="false">
      <c r="A1390" s="4" t="s">
        <v>44</v>
      </c>
      <c r="B1390" s="4" t="s">
        <v>373</v>
      </c>
      <c r="C1390" s="47" t="n">
        <v>4034.25</v>
      </c>
      <c r="D1390" s="48" t="n">
        <v>1583.14</v>
      </c>
      <c r="E1390" s="49" t="n">
        <f aca="false">D1390-cover</f>
        <v>1581.94</v>
      </c>
      <c r="F1390" s="50" t="n">
        <f aca="false">'Z6 Nkangamo-Uhuru'!S18-'Z6 Nkangamo-Uhuru'!P18*C1390/'Z6 Nkangamo-Uhuru'!G18</f>
        <v>1731.94437874135</v>
      </c>
      <c r="G1390" s="51" t="n">
        <f aca="false">'Z6 Nkangamo-Uhuru'!$B$8-E1390</f>
        <v>124.56</v>
      </c>
      <c r="H1390" s="52" t="n">
        <f aca="false">F1390-E1390</f>
        <v>150.004378741355</v>
      </c>
      <c r="I1390" s="52" t="n">
        <f aca="false">MAX(H1390,G1390)</f>
        <v>150.004378741355</v>
      </c>
      <c r="J1390" s="4" t="str">
        <f aca="false">IFERROR("PN"&amp;SMALL(PN_list,COUNTIF(PN_list,"&lt;"&amp;I1390*bar_per_m)+1),"&gt; max PN")</f>
        <v>PN16</v>
      </c>
      <c r="K1390" s="4" t="str">
        <f aca="false">IF(L1390="no","end at tank",IF(H1390&lt;0,"NEGATIVE",IF(H1390&lt;p_min-0.005,"low","OK")))</f>
        <v>OK</v>
      </c>
      <c r="L1390" s="4" t="s">
        <v>414</v>
      </c>
    </row>
    <row r="1391" customFormat="false" ht="15" hidden="false" customHeight="false" outlineLevel="0" collapsed="false">
      <c r="A1391" s="4" t="s">
        <v>44</v>
      </c>
      <c r="B1391" s="4" t="s">
        <v>373</v>
      </c>
      <c r="C1391" s="47" t="n">
        <v>4054.29</v>
      </c>
      <c r="D1391" s="48" t="n">
        <v>1584.38</v>
      </c>
      <c r="E1391" s="49" t="n">
        <f aca="false">D1391-cover</f>
        <v>1583.18</v>
      </c>
      <c r="F1391" s="50" t="n">
        <f aca="false">'Z6 Nkangamo-Uhuru'!S18-'Z6 Nkangamo-Uhuru'!P18*C1391/'Z6 Nkangamo-Uhuru'!G18</f>
        <v>1731.9131631318</v>
      </c>
      <c r="G1391" s="51" t="n">
        <f aca="false">'Z6 Nkangamo-Uhuru'!$B$8-E1391</f>
        <v>123.32</v>
      </c>
      <c r="H1391" s="52" t="n">
        <f aca="false">F1391-E1391</f>
        <v>148.733163131802</v>
      </c>
      <c r="I1391" s="52" t="n">
        <f aca="false">MAX(H1391,G1391)</f>
        <v>148.733163131802</v>
      </c>
      <c r="J1391" s="4" t="str">
        <f aca="false">IFERROR("PN"&amp;SMALL(PN_list,COUNTIF(PN_list,"&lt;"&amp;I1391*bar_per_m)+1),"&gt; max PN")</f>
        <v>PN16</v>
      </c>
      <c r="K1391" s="4" t="str">
        <f aca="false">IF(L1391="no","end at tank",IF(H1391&lt;0,"NEGATIVE",IF(H1391&lt;p_min-0.005,"low","OK")))</f>
        <v>OK</v>
      </c>
      <c r="L1391" s="4" t="s">
        <v>414</v>
      </c>
    </row>
    <row r="1392" customFormat="false" ht="15" hidden="false" customHeight="false" outlineLevel="0" collapsed="false">
      <c r="A1392" s="4" t="s">
        <v>44</v>
      </c>
      <c r="B1392" s="4" t="s">
        <v>373</v>
      </c>
      <c r="C1392" s="47" t="n">
        <v>4074.34</v>
      </c>
      <c r="D1392" s="48" t="n">
        <v>1585.79</v>
      </c>
      <c r="E1392" s="49" t="n">
        <f aca="false">D1392-cover</f>
        <v>1584.59</v>
      </c>
      <c r="F1392" s="50" t="n">
        <f aca="false">'Z6 Nkangamo-Uhuru'!S18-'Z6 Nkangamo-Uhuru'!P18*C1392/'Z6 Nkangamo-Uhuru'!G18</f>
        <v>1731.8819319456</v>
      </c>
      <c r="G1392" s="51" t="n">
        <f aca="false">'Z6 Nkangamo-Uhuru'!$B$8-E1392</f>
        <v>121.91</v>
      </c>
      <c r="H1392" s="52" t="n">
        <f aca="false">F1392-E1392</f>
        <v>147.291931945598</v>
      </c>
      <c r="I1392" s="52" t="n">
        <f aca="false">MAX(H1392,G1392)</f>
        <v>147.291931945598</v>
      </c>
      <c r="J1392" s="4" t="str">
        <f aca="false">IFERROR("PN"&amp;SMALL(PN_list,COUNTIF(PN_list,"&lt;"&amp;I1392*bar_per_m)+1),"&gt; max PN")</f>
        <v>PN16</v>
      </c>
      <c r="K1392" s="4" t="str">
        <f aca="false">IF(L1392="no","end at tank",IF(H1392&lt;0,"NEGATIVE",IF(H1392&lt;p_min-0.005,"low","OK")))</f>
        <v>OK</v>
      </c>
      <c r="L1392" s="4" t="s">
        <v>414</v>
      </c>
    </row>
    <row r="1393" customFormat="false" ht="15" hidden="false" customHeight="false" outlineLevel="0" collapsed="false">
      <c r="A1393" s="4" t="s">
        <v>44</v>
      </c>
      <c r="B1393" s="4" t="s">
        <v>373</v>
      </c>
      <c r="C1393" s="47" t="n">
        <v>4094.35</v>
      </c>
      <c r="D1393" s="48" t="n">
        <v>1586.54</v>
      </c>
      <c r="E1393" s="49" t="n">
        <f aca="false">D1393-cover</f>
        <v>1585.34</v>
      </c>
      <c r="F1393" s="50" t="n">
        <f aca="false">'Z6 Nkangamo-Uhuru'!S18-'Z6 Nkangamo-Uhuru'!P18*C1393/'Z6 Nkangamo-Uhuru'!G18</f>
        <v>1731.850763066</v>
      </c>
      <c r="G1393" s="51" t="n">
        <f aca="false">'Z6 Nkangamo-Uhuru'!$B$8-E1393</f>
        <v>121.16</v>
      </c>
      <c r="H1393" s="52" t="n">
        <f aca="false">F1393-E1393</f>
        <v>146.510763066</v>
      </c>
      <c r="I1393" s="52" t="n">
        <f aca="false">MAX(H1393,G1393)</f>
        <v>146.510763066</v>
      </c>
      <c r="J1393" s="4" t="str">
        <f aca="false">IFERROR("PN"&amp;SMALL(PN_list,COUNTIF(PN_list,"&lt;"&amp;I1393*bar_per_m)+1),"&gt; max PN")</f>
        <v>PN16</v>
      </c>
      <c r="K1393" s="4" t="str">
        <f aca="false">IF(L1393="no","end at tank",IF(H1393&lt;0,"NEGATIVE",IF(H1393&lt;p_min-0.005,"low","OK")))</f>
        <v>OK</v>
      </c>
      <c r="L1393" s="4" t="s">
        <v>414</v>
      </c>
    </row>
    <row r="1394" customFormat="false" ht="15" hidden="false" customHeight="false" outlineLevel="0" collapsed="false">
      <c r="A1394" s="4" t="s">
        <v>44</v>
      </c>
      <c r="B1394" s="4" t="s">
        <v>373</v>
      </c>
      <c r="C1394" s="47" t="n">
        <v>4114.35</v>
      </c>
      <c r="D1394" s="48" t="n">
        <v>1586.3</v>
      </c>
      <c r="E1394" s="49" t="n">
        <f aca="false">D1394-cover</f>
        <v>1585.1</v>
      </c>
      <c r="F1394" s="50" t="n">
        <f aca="false">'Z6 Nkangamo-Uhuru'!S18-'Z6 Nkangamo-Uhuru'!P18*C1394/'Z6 Nkangamo-Uhuru'!G18</f>
        <v>1731.81960976305</v>
      </c>
      <c r="G1394" s="51" t="n">
        <f aca="false">'Z6 Nkangamo-Uhuru'!$B$8-E1394</f>
        <v>121.4</v>
      </c>
      <c r="H1394" s="52" t="n">
        <f aca="false">F1394-E1394</f>
        <v>146.719609763053</v>
      </c>
      <c r="I1394" s="52" t="n">
        <f aca="false">MAX(H1394,G1394)</f>
        <v>146.719609763053</v>
      </c>
      <c r="J1394" s="4" t="str">
        <f aca="false">IFERROR("PN"&amp;SMALL(PN_list,COUNTIF(PN_list,"&lt;"&amp;I1394*bar_per_m)+1),"&gt; max PN")</f>
        <v>PN16</v>
      </c>
      <c r="K1394" s="4" t="str">
        <f aca="false">IF(L1394="no","end at tank",IF(H1394&lt;0,"NEGATIVE",IF(H1394&lt;p_min-0.005,"low","OK")))</f>
        <v>OK</v>
      </c>
      <c r="L1394" s="4" t="s">
        <v>414</v>
      </c>
    </row>
    <row r="1395" customFormat="false" ht="15" hidden="false" customHeight="false" outlineLevel="0" collapsed="false">
      <c r="A1395" s="4" t="s">
        <v>44</v>
      </c>
      <c r="B1395" s="4" t="s">
        <v>373</v>
      </c>
      <c r="C1395" s="47" t="n">
        <v>4134.39</v>
      </c>
      <c r="D1395" s="48" t="n">
        <v>1587.46</v>
      </c>
      <c r="E1395" s="49" t="n">
        <f aca="false">D1395-cover</f>
        <v>1586.26</v>
      </c>
      <c r="F1395" s="50" t="n">
        <f aca="false">'Z6 Nkangamo-Uhuru'!S18-'Z6 Nkangamo-Uhuru'!P18*C1395/'Z6 Nkangamo-Uhuru'!G18</f>
        <v>1731.7883941535</v>
      </c>
      <c r="G1395" s="51" t="n">
        <f aca="false">'Z6 Nkangamo-Uhuru'!$B$8-E1395</f>
        <v>120.24</v>
      </c>
      <c r="H1395" s="52" t="n">
        <f aca="false">F1395-E1395</f>
        <v>145.5283941535</v>
      </c>
      <c r="I1395" s="52" t="n">
        <f aca="false">MAX(H1395,G1395)</f>
        <v>145.5283941535</v>
      </c>
      <c r="J1395" s="4" t="str">
        <f aca="false">IFERROR("PN"&amp;SMALL(PN_list,COUNTIF(PN_list,"&lt;"&amp;I1395*bar_per_m)+1),"&gt; max PN")</f>
        <v>PN16</v>
      </c>
      <c r="K1395" s="4" t="str">
        <f aca="false">IF(L1395="no","end at tank",IF(H1395&lt;0,"NEGATIVE",IF(H1395&lt;p_min-0.005,"low","OK")))</f>
        <v>OK</v>
      </c>
      <c r="L1395" s="4" t="s">
        <v>414</v>
      </c>
    </row>
    <row r="1396" customFormat="false" ht="15" hidden="false" customHeight="false" outlineLevel="0" collapsed="false">
      <c r="A1396" s="4" t="s">
        <v>44</v>
      </c>
      <c r="B1396" s="4" t="s">
        <v>373</v>
      </c>
      <c r="C1396" s="47" t="n">
        <v>4154.41</v>
      </c>
      <c r="D1396" s="48" t="n">
        <v>1588.37</v>
      </c>
      <c r="E1396" s="49" t="n">
        <f aca="false">D1396-cover</f>
        <v>1587.17</v>
      </c>
      <c r="F1396" s="50" t="n">
        <f aca="false">'Z6 Nkangamo-Uhuru'!S18-'Z6 Nkangamo-Uhuru'!P18*C1396/'Z6 Nkangamo-Uhuru'!G18</f>
        <v>1731.75720969725</v>
      </c>
      <c r="G1396" s="51" t="n">
        <f aca="false">'Z6 Nkangamo-Uhuru'!$B$8-E1396</f>
        <v>119.33</v>
      </c>
      <c r="H1396" s="52" t="n">
        <f aca="false">F1396-E1396</f>
        <v>144.58720969725</v>
      </c>
      <c r="I1396" s="52" t="n">
        <f aca="false">MAX(H1396,G1396)</f>
        <v>144.58720969725</v>
      </c>
      <c r="J1396" s="4" t="str">
        <f aca="false">IFERROR("PN"&amp;SMALL(PN_list,COUNTIF(PN_list,"&lt;"&amp;I1396*bar_per_m)+1),"&gt; max PN")</f>
        <v>PN16</v>
      </c>
      <c r="K1396" s="4" t="str">
        <f aca="false">IF(L1396="no","end at tank",IF(H1396&lt;0,"NEGATIVE",IF(H1396&lt;p_min-0.005,"low","OK")))</f>
        <v>OK</v>
      </c>
      <c r="L1396" s="4" t="s">
        <v>414</v>
      </c>
    </row>
    <row r="1397" customFormat="false" ht="15" hidden="false" customHeight="false" outlineLevel="0" collapsed="false">
      <c r="A1397" s="4" t="s">
        <v>44</v>
      </c>
      <c r="B1397" s="4" t="s">
        <v>373</v>
      </c>
      <c r="C1397" s="47" t="n">
        <v>4174.41</v>
      </c>
      <c r="D1397" s="48" t="n">
        <v>1588.34</v>
      </c>
      <c r="E1397" s="49" t="n">
        <f aca="false">D1397-cover</f>
        <v>1587.14</v>
      </c>
      <c r="F1397" s="50" t="n">
        <f aca="false">'Z6 Nkangamo-Uhuru'!S18-'Z6 Nkangamo-Uhuru'!P18*C1397/'Z6 Nkangamo-Uhuru'!G18</f>
        <v>1731.7260563943</v>
      </c>
      <c r="G1397" s="51" t="n">
        <f aca="false">'Z6 Nkangamo-Uhuru'!$B$8-E1397</f>
        <v>119.36</v>
      </c>
      <c r="H1397" s="52" t="n">
        <f aca="false">F1397-E1397</f>
        <v>144.586056394304</v>
      </c>
      <c r="I1397" s="52" t="n">
        <f aca="false">MAX(H1397,G1397)</f>
        <v>144.586056394304</v>
      </c>
      <c r="J1397" s="4" t="str">
        <f aca="false">IFERROR("PN"&amp;SMALL(PN_list,COUNTIF(PN_list,"&lt;"&amp;I1397*bar_per_m)+1),"&gt; max PN")</f>
        <v>PN16</v>
      </c>
      <c r="K1397" s="4" t="str">
        <f aca="false">IF(L1397="no","end at tank",IF(H1397&lt;0,"NEGATIVE",IF(H1397&lt;p_min-0.005,"low","OK")))</f>
        <v>OK</v>
      </c>
      <c r="L1397" s="4" t="s">
        <v>414</v>
      </c>
    </row>
    <row r="1398" customFormat="false" ht="15" hidden="false" customHeight="false" outlineLevel="0" collapsed="false">
      <c r="A1398" s="4" t="s">
        <v>44</v>
      </c>
      <c r="B1398" s="4" t="s">
        <v>373</v>
      </c>
      <c r="C1398" s="47" t="n">
        <v>4194.43</v>
      </c>
      <c r="D1398" s="48" t="n">
        <v>1589.26</v>
      </c>
      <c r="E1398" s="49" t="n">
        <f aca="false">D1398-cover</f>
        <v>1588.06</v>
      </c>
      <c r="F1398" s="50" t="n">
        <f aca="false">'Z6 Nkangamo-Uhuru'!S18-'Z6 Nkangamo-Uhuru'!P18*C1398/'Z6 Nkangamo-Uhuru'!G18</f>
        <v>1731.69487193805</v>
      </c>
      <c r="G1398" s="51" t="n">
        <f aca="false">'Z6 Nkangamo-Uhuru'!$B$8-E1398</f>
        <v>118.44</v>
      </c>
      <c r="H1398" s="52" t="n">
        <f aca="false">F1398-E1398</f>
        <v>143.634871938054</v>
      </c>
      <c r="I1398" s="52" t="n">
        <f aca="false">MAX(H1398,G1398)</f>
        <v>143.634871938054</v>
      </c>
      <c r="J1398" s="4" t="str">
        <f aca="false">IFERROR("PN"&amp;SMALL(PN_list,COUNTIF(PN_list,"&lt;"&amp;I1398*bar_per_m)+1),"&gt; max PN")</f>
        <v>PN16</v>
      </c>
      <c r="K1398" s="4" t="str">
        <f aca="false">IF(L1398="no","end at tank",IF(H1398&lt;0,"NEGATIVE",IF(H1398&lt;p_min-0.005,"low","OK")))</f>
        <v>OK</v>
      </c>
      <c r="L1398" s="4" t="s">
        <v>414</v>
      </c>
    </row>
    <row r="1399" customFormat="false" ht="15" hidden="false" customHeight="false" outlineLevel="0" collapsed="false">
      <c r="A1399" s="4" t="s">
        <v>44</v>
      </c>
      <c r="B1399" s="4" t="s">
        <v>373</v>
      </c>
      <c r="C1399" s="47" t="n">
        <v>4214.45</v>
      </c>
      <c r="D1399" s="48" t="n">
        <v>1590.24</v>
      </c>
      <c r="E1399" s="49" t="n">
        <f aca="false">D1399-cover</f>
        <v>1589.04</v>
      </c>
      <c r="F1399" s="50" t="n">
        <f aca="false">'Z6 Nkangamo-Uhuru'!S18-'Z6 Nkangamo-Uhuru'!P18*C1399/'Z6 Nkangamo-Uhuru'!G18</f>
        <v>1731.6636874818</v>
      </c>
      <c r="G1399" s="51" t="n">
        <f aca="false">'Z6 Nkangamo-Uhuru'!$B$8-E1399</f>
        <v>117.46</v>
      </c>
      <c r="H1399" s="52" t="n">
        <f aca="false">F1399-E1399</f>
        <v>142.623687481804</v>
      </c>
      <c r="I1399" s="52" t="n">
        <f aca="false">MAX(H1399,G1399)</f>
        <v>142.623687481804</v>
      </c>
      <c r="J1399" s="4" t="str">
        <f aca="false">IFERROR("PN"&amp;SMALL(PN_list,COUNTIF(PN_list,"&lt;"&amp;I1399*bar_per_m)+1),"&gt; max PN")</f>
        <v>PN16</v>
      </c>
      <c r="K1399" s="4" t="str">
        <f aca="false">IF(L1399="no","end at tank",IF(H1399&lt;0,"NEGATIVE",IF(H1399&lt;p_min-0.005,"low","OK")))</f>
        <v>OK</v>
      </c>
      <c r="L1399" s="4" t="s">
        <v>414</v>
      </c>
    </row>
    <row r="1400" customFormat="false" ht="15" hidden="false" customHeight="false" outlineLevel="0" collapsed="false">
      <c r="A1400" s="4" t="s">
        <v>44</v>
      </c>
      <c r="B1400" s="4" t="s">
        <v>373</v>
      </c>
      <c r="C1400" s="47" t="n">
        <v>4234.45</v>
      </c>
      <c r="D1400" s="48" t="n">
        <v>1589.92</v>
      </c>
      <c r="E1400" s="49" t="n">
        <f aca="false">D1400-cover</f>
        <v>1588.72</v>
      </c>
      <c r="F1400" s="50" t="n">
        <f aca="false">'Z6 Nkangamo-Uhuru'!S18-'Z6 Nkangamo-Uhuru'!P18*C1400/'Z6 Nkangamo-Uhuru'!G18</f>
        <v>1731.63253417886</v>
      </c>
      <c r="G1400" s="51" t="n">
        <f aca="false">'Z6 Nkangamo-Uhuru'!$B$8-E1400</f>
        <v>117.78</v>
      </c>
      <c r="H1400" s="52" t="n">
        <f aca="false">F1400-E1400</f>
        <v>142.912534178857</v>
      </c>
      <c r="I1400" s="52" t="n">
        <f aca="false">MAX(H1400,G1400)</f>
        <v>142.912534178857</v>
      </c>
      <c r="J1400" s="4" t="str">
        <f aca="false">IFERROR("PN"&amp;SMALL(PN_list,COUNTIF(PN_list,"&lt;"&amp;I1400*bar_per_m)+1),"&gt; max PN")</f>
        <v>PN16</v>
      </c>
      <c r="K1400" s="4" t="str">
        <f aca="false">IF(L1400="no","end at tank",IF(H1400&lt;0,"NEGATIVE",IF(H1400&lt;p_min-0.005,"low","OK")))</f>
        <v>OK</v>
      </c>
      <c r="L1400" s="4" t="s">
        <v>414</v>
      </c>
    </row>
    <row r="1401" customFormat="false" ht="15" hidden="false" customHeight="false" outlineLevel="0" collapsed="false">
      <c r="A1401" s="4" t="s">
        <v>44</v>
      </c>
      <c r="B1401" s="4" t="s">
        <v>373</v>
      </c>
      <c r="C1401" s="47" t="n">
        <v>4254.46</v>
      </c>
      <c r="D1401" s="48" t="n">
        <v>1590.3</v>
      </c>
      <c r="E1401" s="49" t="n">
        <f aca="false">D1401-cover</f>
        <v>1589.1</v>
      </c>
      <c r="F1401" s="50" t="n">
        <f aca="false">'Z6 Nkangamo-Uhuru'!S18-'Z6 Nkangamo-Uhuru'!P18*C1401/'Z6 Nkangamo-Uhuru'!G18</f>
        <v>1731.60136529926</v>
      </c>
      <c r="G1401" s="51" t="n">
        <f aca="false">'Z6 Nkangamo-Uhuru'!$B$8-E1401</f>
        <v>117.4</v>
      </c>
      <c r="H1401" s="52" t="n">
        <f aca="false">F1401-E1401</f>
        <v>142.501365299259</v>
      </c>
      <c r="I1401" s="52" t="n">
        <f aca="false">MAX(H1401,G1401)</f>
        <v>142.501365299259</v>
      </c>
      <c r="J1401" s="4" t="str">
        <f aca="false">IFERROR("PN"&amp;SMALL(PN_list,COUNTIF(PN_list,"&lt;"&amp;I1401*bar_per_m)+1),"&gt; max PN")</f>
        <v>PN16</v>
      </c>
      <c r="K1401" s="4" t="str">
        <f aca="false">IF(L1401="no","end at tank",IF(H1401&lt;0,"NEGATIVE",IF(H1401&lt;p_min-0.005,"low","OK")))</f>
        <v>OK</v>
      </c>
      <c r="L1401" s="4" t="s">
        <v>414</v>
      </c>
    </row>
    <row r="1402" customFormat="false" ht="15" hidden="false" customHeight="false" outlineLevel="0" collapsed="false">
      <c r="A1402" s="4" t="s">
        <v>44</v>
      </c>
      <c r="B1402" s="4" t="s">
        <v>373</v>
      </c>
      <c r="C1402" s="47" t="n">
        <v>4274.47</v>
      </c>
      <c r="D1402" s="48" t="n">
        <v>1590.88</v>
      </c>
      <c r="E1402" s="49" t="n">
        <f aca="false">D1402-cover</f>
        <v>1589.68</v>
      </c>
      <c r="F1402" s="50" t="n">
        <f aca="false">'Z6 Nkangamo-Uhuru'!S18-'Z6 Nkangamo-Uhuru'!P18*C1402/'Z6 Nkangamo-Uhuru'!G18</f>
        <v>1731.57019641966</v>
      </c>
      <c r="G1402" s="51" t="n">
        <f aca="false">'Z6 Nkangamo-Uhuru'!$B$8-E1402</f>
        <v>116.82</v>
      </c>
      <c r="H1402" s="52" t="n">
        <f aca="false">F1402-E1402</f>
        <v>141.89019641966</v>
      </c>
      <c r="I1402" s="52" t="n">
        <f aca="false">MAX(H1402,G1402)</f>
        <v>141.89019641966</v>
      </c>
      <c r="J1402" s="4" t="str">
        <f aca="false">IFERROR("PN"&amp;SMALL(PN_list,COUNTIF(PN_list,"&lt;"&amp;I1402*bar_per_m)+1),"&gt; max PN")</f>
        <v>PN16</v>
      </c>
      <c r="K1402" s="4" t="str">
        <f aca="false">IF(L1402="no","end at tank",IF(H1402&lt;0,"NEGATIVE",IF(H1402&lt;p_min-0.005,"low","OK")))</f>
        <v>OK</v>
      </c>
      <c r="L1402" s="4" t="s">
        <v>414</v>
      </c>
    </row>
    <row r="1403" customFormat="false" ht="15" hidden="false" customHeight="false" outlineLevel="0" collapsed="false">
      <c r="A1403" s="4" t="s">
        <v>44</v>
      </c>
      <c r="B1403" s="4" t="s">
        <v>373</v>
      </c>
      <c r="C1403" s="47" t="n">
        <v>4294.47</v>
      </c>
      <c r="D1403" s="48" t="n">
        <v>1590.5</v>
      </c>
      <c r="E1403" s="49" t="n">
        <f aca="false">D1403-cover</f>
        <v>1589.3</v>
      </c>
      <c r="F1403" s="50" t="n">
        <f aca="false">'Z6 Nkangamo-Uhuru'!S18-'Z6 Nkangamo-Uhuru'!P18*C1403/'Z6 Nkangamo-Uhuru'!G18</f>
        <v>1731.53904311671</v>
      </c>
      <c r="G1403" s="51" t="n">
        <f aca="false">'Z6 Nkangamo-Uhuru'!$B$8-E1403</f>
        <v>117.2</v>
      </c>
      <c r="H1403" s="52" t="n">
        <f aca="false">F1403-E1403</f>
        <v>142.239043116714</v>
      </c>
      <c r="I1403" s="52" t="n">
        <f aca="false">MAX(H1403,G1403)</f>
        <v>142.239043116714</v>
      </c>
      <c r="J1403" s="4" t="str">
        <f aca="false">IFERROR("PN"&amp;SMALL(PN_list,COUNTIF(PN_list,"&lt;"&amp;I1403*bar_per_m)+1),"&gt; max PN")</f>
        <v>PN16</v>
      </c>
      <c r="K1403" s="4" t="str">
        <f aca="false">IF(L1403="no","end at tank",IF(H1403&lt;0,"NEGATIVE",IF(H1403&lt;p_min-0.005,"low","OK")))</f>
        <v>OK</v>
      </c>
      <c r="L1403" s="4" t="s">
        <v>414</v>
      </c>
    </row>
    <row r="1404" customFormat="false" ht="15" hidden="false" customHeight="false" outlineLevel="0" collapsed="false">
      <c r="A1404" s="4" t="s">
        <v>44</v>
      </c>
      <c r="B1404" s="4" t="s">
        <v>373</v>
      </c>
      <c r="C1404" s="47" t="n">
        <v>4314.47</v>
      </c>
      <c r="D1404" s="48" t="n">
        <v>1590.23</v>
      </c>
      <c r="E1404" s="49" t="n">
        <f aca="false">D1404-cover</f>
        <v>1589.03</v>
      </c>
      <c r="F1404" s="50" t="n">
        <f aca="false">'Z6 Nkangamo-Uhuru'!S18-'Z6 Nkangamo-Uhuru'!P18*C1404/'Z6 Nkangamo-Uhuru'!G18</f>
        <v>1731.50788981377</v>
      </c>
      <c r="G1404" s="51" t="n">
        <f aca="false">'Z6 Nkangamo-Uhuru'!$B$8-E1404</f>
        <v>117.47</v>
      </c>
      <c r="H1404" s="52" t="n">
        <f aca="false">F1404-E1404</f>
        <v>142.477889813767</v>
      </c>
      <c r="I1404" s="52" t="n">
        <f aca="false">MAX(H1404,G1404)</f>
        <v>142.477889813767</v>
      </c>
      <c r="J1404" s="4" t="str">
        <f aca="false">IFERROR("PN"&amp;SMALL(PN_list,COUNTIF(PN_list,"&lt;"&amp;I1404*bar_per_m)+1),"&gt; max PN")</f>
        <v>PN16</v>
      </c>
      <c r="K1404" s="4" t="str">
        <f aca="false">IF(L1404="no","end at tank",IF(H1404&lt;0,"NEGATIVE",IF(H1404&lt;p_min-0.005,"low","OK")))</f>
        <v>OK</v>
      </c>
      <c r="L1404" s="4" t="s">
        <v>414</v>
      </c>
    </row>
    <row r="1405" customFormat="false" ht="15" hidden="false" customHeight="false" outlineLevel="0" collapsed="false">
      <c r="A1405" s="4" t="s">
        <v>44</v>
      </c>
      <c r="B1405" s="4" t="s">
        <v>373</v>
      </c>
      <c r="C1405" s="47" t="n">
        <v>4334.48</v>
      </c>
      <c r="D1405" s="48" t="n">
        <v>1590.67</v>
      </c>
      <c r="E1405" s="49" t="n">
        <f aca="false">D1405-cover</f>
        <v>1589.47</v>
      </c>
      <c r="F1405" s="50" t="n">
        <f aca="false">'Z6 Nkangamo-Uhuru'!S18-'Z6 Nkangamo-Uhuru'!P18*C1405/'Z6 Nkangamo-Uhuru'!G18</f>
        <v>1731.47672093417</v>
      </c>
      <c r="G1405" s="51" t="n">
        <f aca="false">'Z6 Nkangamo-Uhuru'!$B$8-E1405</f>
        <v>117.03</v>
      </c>
      <c r="H1405" s="52" t="n">
        <f aca="false">F1405-E1405</f>
        <v>142.006720934168</v>
      </c>
      <c r="I1405" s="52" t="n">
        <f aca="false">MAX(H1405,G1405)</f>
        <v>142.006720934168</v>
      </c>
      <c r="J1405" s="4" t="str">
        <f aca="false">IFERROR("PN"&amp;SMALL(PN_list,COUNTIF(PN_list,"&lt;"&amp;I1405*bar_per_m)+1),"&gt; max PN")</f>
        <v>PN16</v>
      </c>
      <c r="K1405" s="4" t="str">
        <f aca="false">IF(L1405="no","end at tank",IF(H1405&lt;0,"NEGATIVE",IF(H1405&lt;p_min-0.005,"low","OK")))</f>
        <v>OK</v>
      </c>
      <c r="L1405" s="4" t="s">
        <v>414</v>
      </c>
    </row>
    <row r="1406" customFormat="false" ht="15" hidden="false" customHeight="false" outlineLevel="0" collapsed="false">
      <c r="A1406" s="4" t="s">
        <v>44</v>
      </c>
      <c r="B1406" s="4" t="s">
        <v>373</v>
      </c>
      <c r="C1406" s="47" t="n">
        <v>4354.48</v>
      </c>
      <c r="D1406" s="48" t="n">
        <v>1590.45</v>
      </c>
      <c r="E1406" s="49" t="n">
        <f aca="false">D1406-cover</f>
        <v>1589.25</v>
      </c>
      <c r="F1406" s="50" t="n">
        <f aca="false">'Z6 Nkangamo-Uhuru'!S18-'Z6 Nkangamo-Uhuru'!P18*C1406/'Z6 Nkangamo-Uhuru'!G18</f>
        <v>1731.44556763122</v>
      </c>
      <c r="G1406" s="51" t="n">
        <f aca="false">'Z6 Nkangamo-Uhuru'!$B$8-E1406</f>
        <v>117.25</v>
      </c>
      <c r="H1406" s="52" t="n">
        <f aca="false">F1406-E1406</f>
        <v>142.195567631222</v>
      </c>
      <c r="I1406" s="52" t="n">
        <f aca="false">MAX(H1406,G1406)</f>
        <v>142.195567631222</v>
      </c>
      <c r="J1406" s="4" t="str">
        <f aca="false">IFERROR("PN"&amp;SMALL(PN_list,COUNTIF(PN_list,"&lt;"&amp;I1406*bar_per_m)+1),"&gt; max PN")</f>
        <v>PN16</v>
      </c>
      <c r="K1406" s="4" t="str">
        <f aca="false">IF(L1406="no","end at tank",IF(H1406&lt;0,"NEGATIVE",IF(H1406&lt;p_min-0.005,"low","OK")))</f>
        <v>OK</v>
      </c>
      <c r="L1406" s="4" t="s">
        <v>414</v>
      </c>
    </row>
    <row r="1407" customFormat="false" ht="15" hidden="false" customHeight="false" outlineLevel="0" collapsed="false">
      <c r="A1407" s="4" t="s">
        <v>44</v>
      </c>
      <c r="B1407" s="4" t="s">
        <v>373</v>
      </c>
      <c r="C1407" s="47" t="n">
        <v>4374.48</v>
      </c>
      <c r="D1407" s="48" t="n">
        <v>1590.23</v>
      </c>
      <c r="E1407" s="49" t="n">
        <f aca="false">D1407-cover</f>
        <v>1589.03</v>
      </c>
      <c r="F1407" s="50" t="n">
        <f aca="false">'Z6 Nkangamo-Uhuru'!S18-'Z6 Nkangamo-Uhuru'!P18*C1407/'Z6 Nkangamo-Uhuru'!G18</f>
        <v>1731.41441432827</v>
      </c>
      <c r="G1407" s="51" t="n">
        <f aca="false">'Z6 Nkangamo-Uhuru'!$B$8-E1407</f>
        <v>117.47</v>
      </c>
      <c r="H1407" s="52" t="n">
        <f aca="false">F1407-E1407</f>
        <v>142.384414328275</v>
      </c>
      <c r="I1407" s="52" t="n">
        <f aca="false">MAX(H1407,G1407)</f>
        <v>142.384414328275</v>
      </c>
      <c r="J1407" s="4" t="str">
        <f aca="false">IFERROR("PN"&amp;SMALL(PN_list,COUNTIF(PN_list,"&lt;"&amp;I1407*bar_per_m)+1),"&gt; max PN")</f>
        <v>PN16</v>
      </c>
      <c r="K1407" s="4" t="str">
        <f aca="false">IF(L1407="no","end at tank",IF(H1407&lt;0,"NEGATIVE",IF(H1407&lt;p_min-0.005,"low","OK")))</f>
        <v>OK</v>
      </c>
      <c r="L1407" s="4" t="s">
        <v>414</v>
      </c>
    </row>
    <row r="1408" customFormat="false" ht="15" hidden="false" customHeight="false" outlineLevel="0" collapsed="false">
      <c r="A1408" s="4" t="s">
        <v>44</v>
      </c>
      <c r="B1408" s="4" t="s">
        <v>373</v>
      </c>
      <c r="C1408" s="47" t="n">
        <v>4394.49</v>
      </c>
      <c r="D1408" s="48" t="n">
        <v>1589.65</v>
      </c>
      <c r="E1408" s="49" t="n">
        <f aca="false">D1408-cover</f>
        <v>1588.45</v>
      </c>
      <c r="F1408" s="50" t="n">
        <f aca="false">'Z6 Nkangamo-Uhuru'!S18-'Z6 Nkangamo-Uhuru'!P18*C1408/'Z6 Nkangamo-Uhuru'!G18</f>
        <v>1731.38324544868</v>
      </c>
      <c r="G1408" s="51" t="n">
        <f aca="false">'Z6 Nkangamo-Uhuru'!$B$8-E1408</f>
        <v>118.05</v>
      </c>
      <c r="H1408" s="52" t="n">
        <f aca="false">F1408-E1408</f>
        <v>142.933245448676</v>
      </c>
      <c r="I1408" s="52" t="n">
        <f aca="false">MAX(H1408,G1408)</f>
        <v>142.933245448676</v>
      </c>
      <c r="J1408" s="4" t="str">
        <f aca="false">IFERROR("PN"&amp;SMALL(PN_list,COUNTIF(PN_list,"&lt;"&amp;I1408*bar_per_m)+1),"&gt; max PN")</f>
        <v>PN16</v>
      </c>
      <c r="K1408" s="4" t="str">
        <f aca="false">IF(L1408="no","end at tank",IF(H1408&lt;0,"NEGATIVE",IF(H1408&lt;p_min-0.005,"low","OK")))</f>
        <v>OK</v>
      </c>
      <c r="L1408" s="4" t="s">
        <v>414</v>
      </c>
    </row>
    <row r="1409" customFormat="false" ht="15" hidden="false" customHeight="false" outlineLevel="0" collapsed="false">
      <c r="A1409" s="4" t="s">
        <v>44</v>
      </c>
      <c r="B1409" s="4" t="s">
        <v>373</v>
      </c>
      <c r="C1409" s="47" t="n">
        <v>4414.49</v>
      </c>
      <c r="D1409" s="48" t="n">
        <v>1589.15</v>
      </c>
      <c r="E1409" s="49" t="n">
        <f aca="false">D1409-cover</f>
        <v>1587.95</v>
      </c>
      <c r="F1409" s="50" t="n">
        <f aca="false">'Z6 Nkangamo-Uhuru'!S18-'Z6 Nkangamo-Uhuru'!P18*C1409/'Z6 Nkangamo-Uhuru'!G18</f>
        <v>1731.35209214573</v>
      </c>
      <c r="G1409" s="51" t="n">
        <f aca="false">'Z6 Nkangamo-Uhuru'!$B$8-E1409</f>
        <v>118.55</v>
      </c>
      <c r="H1409" s="52" t="n">
        <f aca="false">F1409-E1409</f>
        <v>143.40209214573</v>
      </c>
      <c r="I1409" s="52" t="n">
        <f aca="false">MAX(H1409,G1409)</f>
        <v>143.40209214573</v>
      </c>
      <c r="J1409" s="4" t="str">
        <f aca="false">IFERROR("PN"&amp;SMALL(PN_list,COUNTIF(PN_list,"&lt;"&amp;I1409*bar_per_m)+1),"&gt; max PN")</f>
        <v>PN16</v>
      </c>
      <c r="K1409" s="4" t="str">
        <f aca="false">IF(L1409="no","end at tank",IF(H1409&lt;0,"NEGATIVE",IF(H1409&lt;p_min-0.005,"low","OK")))</f>
        <v>OK</v>
      </c>
      <c r="L1409" s="4" t="s">
        <v>414</v>
      </c>
    </row>
    <row r="1410" customFormat="false" ht="15" hidden="false" customHeight="false" outlineLevel="0" collapsed="false">
      <c r="A1410" s="4" t="s">
        <v>44</v>
      </c>
      <c r="B1410" s="4" t="s">
        <v>373</v>
      </c>
      <c r="C1410" s="47" t="n">
        <v>4434.5</v>
      </c>
      <c r="D1410" s="48" t="n">
        <v>1589.65</v>
      </c>
      <c r="E1410" s="49" t="n">
        <f aca="false">D1410-cover</f>
        <v>1588.45</v>
      </c>
      <c r="F1410" s="50" t="n">
        <f aca="false">'Z6 Nkangamo-Uhuru'!S18-'Z6 Nkangamo-Uhuru'!P18*C1410/'Z6 Nkangamo-Uhuru'!G18</f>
        <v>1731.32092326613</v>
      </c>
      <c r="G1410" s="51" t="n">
        <f aca="false">'Z6 Nkangamo-Uhuru'!$B$8-E1410</f>
        <v>118.05</v>
      </c>
      <c r="H1410" s="52" t="n">
        <f aca="false">F1410-E1410</f>
        <v>142.870923266131</v>
      </c>
      <c r="I1410" s="52" t="n">
        <f aca="false">MAX(H1410,G1410)</f>
        <v>142.870923266131</v>
      </c>
      <c r="J1410" s="4" t="str">
        <f aca="false">IFERROR("PN"&amp;SMALL(PN_list,COUNTIF(PN_list,"&lt;"&amp;I1410*bar_per_m)+1),"&gt; max PN")</f>
        <v>PN16</v>
      </c>
      <c r="K1410" s="4" t="str">
        <f aca="false">IF(L1410="no","end at tank",IF(H1410&lt;0,"NEGATIVE",IF(H1410&lt;p_min-0.005,"low","OK")))</f>
        <v>OK</v>
      </c>
      <c r="L1410" s="4" t="s">
        <v>414</v>
      </c>
    </row>
    <row r="1411" customFormat="false" ht="15" hidden="false" customHeight="false" outlineLevel="0" collapsed="false">
      <c r="A1411" s="4" t="s">
        <v>44</v>
      </c>
      <c r="B1411" s="4" t="s">
        <v>373</v>
      </c>
      <c r="C1411" s="47" t="n">
        <v>4454.52</v>
      </c>
      <c r="D1411" s="48" t="n">
        <v>1588.67</v>
      </c>
      <c r="E1411" s="49" t="n">
        <f aca="false">D1411-cover</f>
        <v>1587.47</v>
      </c>
      <c r="F1411" s="50" t="n">
        <f aca="false">'Z6 Nkangamo-Uhuru'!S18-'Z6 Nkangamo-Uhuru'!P18*C1411/'Z6 Nkangamo-Uhuru'!G18</f>
        <v>1731.28973880988</v>
      </c>
      <c r="G1411" s="51" t="n">
        <f aca="false">'Z6 Nkangamo-Uhuru'!$B$8-E1411</f>
        <v>119.03</v>
      </c>
      <c r="H1411" s="52" t="n">
        <f aca="false">F1411-E1411</f>
        <v>143.819738809882</v>
      </c>
      <c r="I1411" s="52" t="n">
        <f aca="false">MAX(H1411,G1411)</f>
        <v>143.819738809882</v>
      </c>
      <c r="J1411" s="4" t="str">
        <f aca="false">IFERROR("PN"&amp;SMALL(PN_list,COUNTIF(PN_list,"&lt;"&amp;I1411*bar_per_m)+1),"&gt; max PN")</f>
        <v>PN16</v>
      </c>
      <c r="K1411" s="4" t="str">
        <f aca="false">IF(L1411="no","end at tank",IF(H1411&lt;0,"NEGATIVE",IF(H1411&lt;p_min-0.005,"low","OK")))</f>
        <v>OK</v>
      </c>
      <c r="L1411" s="4" t="s">
        <v>414</v>
      </c>
    </row>
    <row r="1412" customFormat="false" ht="15" hidden="false" customHeight="false" outlineLevel="0" collapsed="false">
      <c r="A1412" s="4" t="s">
        <v>44</v>
      </c>
      <c r="B1412" s="4" t="s">
        <v>373</v>
      </c>
      <c r="C1412" s="47" t="n">
        <v>4474.53</v>
      </c>
      <c r="D1412" s="48" t="n">
        <v>1588.24</v>
      </c>
      <c r="E1412" s="49" t="n">
        <f aca="false">D1412-cover</f>
        <v>1587.04</v>
      </c>
      <c r="F1412" s="50" t="n">
        <f aca="false">'Z6 Nkangamo-Uhuru'!S18-'Z6 Nkangamo-Uhuru'!P18*C1412/'Z6 Nkangamo-Uhuru'!G18</f>
        <v>1731.25856993028</v>
      </c>
      <c r="G1412" s="51" t="n">
        <f aca="false">'Z6 Nkangamo-Uhuru'!$B$8-E1412</f>
        <v>119.46</v>
      </c>
      <c r="H1412" s="52" t="n">
        <f aca="false">F1412-E1412</f>
        <v>144.218569930283</v>
      </c>
      <c r="I1412" s="52" t="n">
        <f aca="false">MAX(H1412,G1412)</f>
        <v>144.218569930283</v>
      </c>
      <c r="J1412" s="4" t="str">
        <f aca="false">IFERROR("PN"&amp;SMALL(PN_list,COUNTIF(PN_list,"&lt;"&amp;I1412*bar_per_m)+1),"&gt; max PN")</f>
        <v>PN16</v>
      </c>
      <c r="K1412" s="4" t="str">
        <f aca="false">IF(L1412="no","end at tank",IF(H1412&lt;0,"NEGATIVE",IF(H1412&lt;p_min-0.005,"low","OK")))</f>
        <v>OK</v>
      </c>
      <c r="L1412" s="4" t="s">
        <v>414</v>
      </c>
    </row>
    <row r="1413" customFormat="false" ht="15" hidden="false" customHeight="false" outlineLevel="0" collapsed="false">
      <c r="A1413" s="4" t="s">
        <v>44</v>
      </c>
      <c r="B1413" s="4" t="s">
        <v>373</v>
      </c>
      <c r="C1413" s="47" t="n">
        <v>4494.53</v>
      </c>
      <c r="D1413" s="48" t="n">
        <v>1588.14</v>
      </c>
      <c r="E1413" s="49" t="n">
        <f aca="false">D1413-cover</f>
        <v>1586.94</v>
      </c>
      <c r="F1413" s="50" t="n">
        <f aca="false">'Z6 Nkangamo-Uhuru'!S18-'Z6 Nkangamo-Uhuru'!P18*C1413/'Z6 Nkangamo-Uhuru'!G18</f>
        <v>1731.22741662734</v>
      </c>
      <c r="G1413" s="51" t="n">
        <f aca="false">'Z6 Nkangamo-Uhuru'!$B$8-E1413</f>
        <v>119.56</v>
      </c>
      <c r="H1413" s="52" t="n">
        <f aca="false">F1413-E1413</f>
        <v>144.287416627336</v>
      </c>
      <c r="I1413" s="52" t="n">
        <f aca="false">MAX(H1413,G1413)</f>
        <v>144.287416627336</v>
      </c>
      <c r="J1413" s="4" t="str">
        <f aca="false">IFERROR("PN"&amp;SMALL(PN_list,COUNTIF(PN_list,"&lt;"&amp;I1413*bar_per_m)+1),"&gt; max PN")</f>
        <v>PN16</v>
      </c>
      <c r="K1413" s="4" t="str">
        <f aca="false">IF(L1413="no","end at tank",IF(H1413&lt;0,"NEGATIVE",IF(H1413&lt;p_min-0.005,"low","OK")))</f>
        <v>OK</v>
      </c>
      <c r="L1413" s="4" t="s">
        <v>414</v>
      </c>
    </row>
    <row r="1414" customFormat="false" ht="15" hidden="false" customHeight="false" outlineLevel="0" collapsed="false">
      <c r="A1414" s="4" t="s">
        <v>44</v>
      </c>
      <c r="B1414" s="4" t="s">
        <v>373</v>
      </c>
      <c r="C1414" s="47" t="n">
        <v>4514.6</v>
      </c>
      <c r="D1414" s="48" t="n">
        <v>1586.46</v>
      </c>
      <c r="E1414" s="49" t="n">
        <f aca="false">D1414-cover</f>
        <v>1585.26</v>
      </c>
      <c r="F1414" s="50" t="n">
        <f aca="false">'Z6 Nkangamo-Uhuru'!S18-'Z6 Nkangamo-Uhuru'!P18*C1414/'Z6 Nkangamo-Uhuru'!G18</f>
        <v>1731.19615428783</v>
      </c>
      <c r="G1414" s="51" t="n">
        <f aca="false">'Z6 Nkangamo-Uhuru'!$B$8-E1414</f>
        <v>121.24</v>
      </c>
      <c r="H1414" s="52" t="n">
        <f aca="false">F1414-E1414</f>
        <v>145.936154287829</v>
      </c>
      <c r="I1414" s="52" t="n">
        <f aca="false">MAX(H1414,G1414)</f>
        <v>145.936154287829</v>
      </c>
      <c r="J1414" s="4" t="str">
        <f aca="false">IFERROR("PN"&amp;SMALL(PN_list,COUNTIF(PN_list,"&lt;"&amp;I1414*bar_per_m)+1),"&gt; max PN")</f>
        <v>PN16</v>
      </c>
      <c r="K1414" s="4" t="str">
        <f aca="false">IF(L1414="no","end at tank",IF(H1414&lt;0,"NEGATIVE",IF(H1414&lt;p_min-0.005,"low","OK")))</f>
        <v>OK</v>
      </c>
      <c r="L1414" s="4" t="s">
        <v>414</v>
      </c>
    </row>
    <row r="1415" customFormat="false" ht="15" hidden="false" customHeight="false" outlineLevel="0" collapsed="false">
      <c r="A1415" s="4" t="s">
        <v>44</v>
      </c>
      <c r="B1415" s="4" t="s">
        <v>373</v>
      </c>
      <c r="C1415" s="47" t="n">
        <v>4534.61</v>
      </c>
      <c r="D1415" s="48" t="n">
        <v>1587.06</v>
      </c>
      <c r="E1415" s="49" t="n">
        <f aca="false">D1415-cover</f>
        <v>1585.86</v>
      </c>
      <c r="F1415" s="50" t="n">
        <f aca="false">'Z6 Nkangamo-Uhuru'!S18-'Z6 Nkangamo-Uhuru'!P18*C1415/'Z6 Nkangamo-Uhuru'!G18</f>
        <v>1731.16498540823</v>
      </c>
      <c r="G1415" s="51" t="n">
        <f aca="false">'Z6 Nkangamo-Uhuru'!$B$8-E1415</f>
        <v>120.64</v>
      </c>
      <c r="H1415" s="52" t="n">
        <f aca="false">F1415-E1415</f>
        <v>145.304985408231</v>
      </c>
      <c r="I1415" s="52" t="n">
        <f aca="false">MAX(H1415,G1415)</f>
        <v>145.304985408231</v>
      </c>
      <c r="J1415" s="4" t="str">
        <f aca="false">IFERROR("PN"&amp;SMALL(PN_list,COUNTIF(PN_list,"&lt;"&amp;I1415*bar_per_m)+1),"&gt; max PN")</f>
        <v>PN16</v>
      </c>
      <c r="K1415" s="4" t="str">
        <f aca="false">IF(L1415="no","end at tank",IF(H1415&lt;0,"NEGATIVE",IF(H1415&lt;p_min-0.005,"low","OK")))</f>
        <v>OK</v>
      </c>
      <c r="L1415" s="4" t="s">
        <v>414</v>
      </c>
    </row>
    <row r="1416" customFormat="false" ht="15" hidden="false" customHeight="false" outlineLevel="0" collapsed="false">
      <c r="A1416" s="4" t="s">
        <v>44</v>
      </c>
      <c r="B1416" s="4" t="s">
        <v>373</v>
      </c>
      <c r="C1416" s="47" t="n">
        <v>4554.61</v>
      </c>
      <c r="D1416" s="48" t="n">
        <v>1587.08</v>
      </c>
      <c r="E1416" s="49" t="n">
        <f aca="false">D1416-cover</f>
        <v>1585.88</v>
      </c>
      <c r="F1416" s="50" t="n">
        <f aca="false">'Z6 Nkangamo-Uhuru'!S18-'Z6 Nkangamo-Uhuru'!P18*C1416/'Z6 Nkangamo-Uhuru'!G18</f>
        <v>1731.13383210528</v>
      </c>
      <c r="G1416" s="51" t="n">
        <f aca="false">'Z6 Nkangamo-Uhuru'!$B$8-E1416</f>
        <v>120.62</v>
      </c>
      <c r="H1416" s="52" t="n">
        <f aca="false">F1416-E1416</f>
        <v>145.253832105284</v>
      </c>
      <c r="I1416" s="52" t="n">
        <f aca="false">MAX(H1416,G1416)</f>
        <v>145.253832105284</v>
      </c>
      <c r="J1416" s="4" t="str">
        <f aca="false">IFERROR("PN"&amp;SMALL(PN_list,COUNTIF(PN_list,"&lt;"&amp;I1416*bar_per_m)+1),"&gt; max PN")</f>
        <v>PN16</v>
      </c>
      <c r="K1416" s="4" t="str">
        <f aca="false">IF(L1416="no","end at tank",IF(H1416&lt;0,"NEGATIVE",IF(H1416&lt;p_min-0.005,"low","OK")))</f>
        <v>OK</v>
      </c>
      <c r="L1416" s="4" t="s">
        <v>414</v>
      </c>
    </row>
    <row r="1417" customFormat="false" ht="15" hidden="false" customHeight="false" outlineLevel="0" collapsed="false">
      <c r="A1417" s="4" t="s">
        <v>44</v>
      </c>
      <c r="B1417" s="4" t="s">
        <v>373</v>
      </c>
      <c r="C1417" s="47" t="n">
        <v>4574.64</v>
      </c>
      <c r="D1417" s="48" t="n">
        <v>1585.89</v>
      </c>
      <c r="E1417" s="49" t="n">
        <f aca="false">D1417-cover</f>
        <v>1584.69</v>
      </c>
      <c r="F1417" s="50" t="n">
        <f aca="false">'Z6 Nkangamo-Uhuru'!S18-'Z6 Nkangamo-Uhuru'!P18*C1417/'Z6 Nkangamo-Uhuru'!G18</f>
        <v>1731.10263207238</v>
      </c>
      <c r="G1417" s="51" t="n">
        <f aca="false">'Z6 Nkangamo-Uhuru'!$B$8-E1417</f>
        <v>121.81</v>
      </c>
      <c r="H1417" s="52" t="n">
        <f aca="false">F1417-E1417</f>
        <v>146.412632072383</v>
      </c>
      <c r="I1417" s="52" t="n">
        <f aca="false">MAX(H1417,G1417)</f>
        <v>146.412632072383</v>
      </c>
      <c r="J1417" s="4" t="str">
        <f aca="false">IFERROR("PN"&amp;SMALL(PN_list,COUNTIF(PN_list,"&lt;"&amp;I1417*bar_per_m)+1),"&gt; max PN")</f>
        <v>PN16</v>
      </c>
      <c r="K1417" s="4" t="str">
        <f aca="false">IF(L1417="no","end at tank",IF(H1417&lt;0,"NEGATIVE",IF(H1417&lt;p_min-0.005,"low","OK")))</f>
        <v>OK</v>
      </c>
      <c r="L1417" s="4" t="s">
        <v>414</v>
      </c>
    </row>
    <row r="1418" customFormat="false" ht="15" hidden="false" customHeight="false" outlineLevel="0" collapsed="false">
      <c r="A1418" s="4" t="s">
        <v>44</v>
      </c>
      <c r="B1418" s="4" t="s">
        <v>373</v>
      </c>
      <c r="C1418" s="47" t="n">
        <v>4594.64</v>
      </c>
      <c r="D1418" s="48" t="n">
        <v>1585.92</v>
      </c>
      <c r="E1418" s="49" t="n">
        <f aca="false">D1418-cover</f>
        <v>1584.72</v>
      </c>
      <c r="F1418" s="50" t="n">
        <f aca="false">'Z6 Nkangamo-Uhuru'!S18-'Z6 Nkangamo-Uhuru'!P18*C1418/'Z6 Nkangamo-Uhuru'!G18</f>
        <v>1731.07147876944</v>
      </c>
      <c r="G1418" s="51" t="n">
        <f aca="false">'Z6 Nkangamo-Uhuru'!$B$8-E1418</f>
        <v>121.78</v>
      </c>
      <c r="H1418" s="52" t="n">
        <f aca="false">F1418-E1418</f>
        <v>146.351478769436</v>
      </c>
      <c r="I1418" s="52" t="n">
        <f aca="false">MAX(H1418,G1418)</f>
        <v>146.351478769436</v>
      </c>
      <c r="J1418" s="4" t="str">
        <f aca="false">IFERROR("PN"&amp;SMALL(PN_list,COUNTIF(PN_list,"&lt;"&amp;I1418*bar_per_m)+1),"&gt; max PN")</f>
        <v>PN16</v>
      </c>
      <c r="K1418" s="4" t="str">
        <f aca="false">IF(L1418="no","end at tank",IF(H1418&lt;0,"NEGATIVE",IF(H1418&lt;p_min-0.005,"low","OK")))</f>
        <v>OK</v>
      </c>
      <c r="L1418" s="4" t="s">
        <v>414</v>
      </c>
    </row>
    <row r="1419" customFormat="false" ht="15" hidden="false" customHeight="false" outlineLevel="0" collapsed="false">
      <c r="A1419" s="4" t="s">
        <v>44</v>
      </c>
      <c r="B1419" s="4" t="s">
        <v>373</v>
      </c>
      <c r="C1419" s="47" t="n">
        <v>4614.67</v>
      </c>
      <c r="D1419" s="48" t="n">
        <v>1584.89</v>
      </c>
      <c r="E1419" s="49" t="n">
        <f aca="false">D1419-cover</f>
        <v>1583.69</v>
      </c>
      <c r="F1419" s="50" t="n">
        <f aca="false">'Z6 Nkangamo-Uhuru'!S18-'Z6 Nkangamo-Uhuru'!P18*C1419/'Z6 Nkangamo-Uhuru'!G18</f>
        <v>1731.04027873654</v>
      </c>
      <c r="G1419" s="51" t="n">
        <f aca="false">'Z6 Nkangamo-Uhuru'!$B$8-E1419</f>
        <v>122.81</v>
      </c>
      <c r="H1419" s="52" t="n">
        <f aca="false">F1419-E1419</f>
        <v>147.350278736535</v>
      </c>
      <c r="I1419" s="52" t="n">
        <f aca="false">MAX(H1419,G1419)</f>
        <v>147.350278736535</v>
      </c>
      <c r="J1419" s="4" t="str">
        <f aca="false">IFERROR("PN"&amp;SMALL(PN_list,COUNTIF(PN_list,"&lt;"&amp;I1419*bar_per_m)+1),"&gt; max PN")</f>
        <v>PN16</v>
      </c>
      <c r="K1419" s="4" t="str">
        <f aca="false">IF(L1419="no","end at tank",IF(H1419&lt;0,"NEGATIVE",IF(H1419&lt;p_min-0.005,"low","OK")))</f>
        <v>OK</v>
      </c>
      <c r="L1419" s="4" t="s">
        <v>414</v>
      </c>
    </row>
    <row r="1420" customFormat="false" ht="15" hidden="false" customHeight="false" outlineLevel="0" collapsed="false">
      <c r="A1420" s="4" t="s">
        <v>44</v>
      </c>
      <c r="B1420" s="4" t="s">
        <v>373</v>
      </c>
      <c r="C1420" s="47" t="n">
        <v>4634.7</v>
      </c>
      <c r="D1420" s="48" t="n">
        <v>1583.76</v>
      </c>
      <c r="E1420" s="49" t="n">
        <f aca="false">D1420-cover</f>
        <v>1582.56</v>
      </c>
      <c r="F1420" s="50" t="n">
        <f aca="false">'Z6 Nkangamo-Uhuru'!S18-'Z6 Nkangamo-Uhuru'!P18*C1420/'Z6 Nkangamo-Uhuru'!G18</f>
        <v>1731.00907870363</v>
      </c>
      <c r="G1420" s="51" t="n">
        <f aca="false">'Z6 Nkangamo-Uhuru'!$B$8-E1420</f>
        <v>123.94</v>
      </c>
      <c r="H1420" s="52" t="n">
        <f aca="false">F1420-E1420</f>
        <v>148.449078703634</v>
      </c>
      <c r="I1420" s="52" t="n">
        <f aca="false">MAX(H1420,G1420)</f>
        <v>148.449078703634</v>
      </c>
      <c r="J1420" s="4" t="str">
        <f aca="false">IFERROR("PN"&amp;SMALL(PN_list,COUNTIF(PN_list,"&lt;"&amp;I1420*bar_per_m)+1),"&gt; max PN")</f>
        <v>PN16</v>
      </c>
      <c r="K1420" s="4" t="str">
        <f aca="false">IF(L1420="no","end at tank",IF(H1420&lt;0,"NEGATIVE",IF(H1420&lt;p_min-0.005,"low","OK")))</f>
        <v>OK</v>
      </c>
      <c r="L1420" s="4" t="s">
        <v>414</v>
      </c>
    </row>
    <row r="1421" customFormat="false" ht="15" hidden="false" customHeight="false" outlineLevel="0" collapsed="false">
      <c r="A1421" s="4" t="s">
        <v>44</v>
      </c>
      <c r="B1421" s="4" t="s">
        <v>373</v>
      </c>
      <c r="C1421" s="47" t="n">
        <v>4654.71</v>
      </c>
      <c r="D1421" s="48" t="n">
        <v>1583.36</v>
      </c>
      <c r="E1421" s="49" t="n">
        <f aca="false">D1421-cover</f>
        <v>1582.16</v>
      </c>
      <c r="F1421" s="50" t="n">
        <f aca="false">'Z6 Nkangamo-Uhuru'!S18-'Z6 Nkangamo-Uhuru'!P18*C1421/'Z6 Nkangamo-Uhuru'!G18</f>
        <v>1730.97790982404</v>
      </c>
      <c r="G1421" s="51" t="n">
        <f aca="false">'Z6 Nkangamo-Uhuru'!$B$8-E1421</f>
        <v>124.34</v>
      </c>
      <c r="H1421" s="52" t="n">
        <f aca="false">F1421-E1421</f>
        <v>148.817909824036</v>
      </c>
      <c r="I1421" s="52" t="n">
        <f aca="false">MAX(H1421,G1421)</f>
        <v>148.817909824036</v>
      </c>
      <c r="J1421" s="4" t="str">
        <f aca="false">IFERROR("PN"&amp;SMALL(PN_list,COUNTIF(PN_list,"&lt;"&amp;I1421*bar_per_m)+1),"&gt; max PN")</f>
        <v>PN16</v>
      </c>
      <c r="K1421" s="4" t="str">
        <f aca="false">IF(L1421="no","end at tank",IF(H1421&lt;0,"NEGATIVE",IF(H1421&lt;p_min-0.005,"low","OK")))</f>
        <v>OK</v>
      </c>
      <c r="L1421" s="4" t="s">
        <v>414</v>
      </c>
    </row>
    <row r="1422" customFormat="false" ht="15" hidden="false" customHeight="false" outlineLevel="0" collapsed="false">
      <c r="A1422" s="4" t="s">
        <v>44</v>
      </c>
      <c r="B1422" s="4" t="s">
        <v>373</v>
      </c>
      <c r="C1422" s="47" t="n">
        <v>4674.72</v>
      </c>
      <c r="D1422" s="48" t="n">
        <v>1582.71</v>
      </c>
      <c r="E1422" s="49" t="n">
        <f aca="false">D1422-cover</f>
        <v>1581.51</v>
      </c>
      <c r="F1422" s="50" t="n">
        <f aca="false">'Z6 Nkangamo-Uhuru'!S18-'Z6 Nkangamo-Uhuru'!P18*C1422/'Z6 Nkangamo-Uhuru'!G18</f>
        <v>1730.94674094444</v>
      </c>
      <c r="G1422" s="51" t="n">
        <f aca="false">'Z6 Nkangamo-Uhuru'!$B$8-E1422</f>
        <v>124.99</v>
      </c>
      <c r="H1422" s="52" t="n">
        <f aca="false">F1422-E1422</f>
        <v>149.436740944437</v>
      </c>
      <c r="I1422" s="52" t="n">
        <f aca="false">MAX(H1422,G1422)</f>
        <v>149.436740944437</v>
      </c>
      <c r="J1422" s="4" t="str">
        <f aca="false">IFERROR("PN"&amp;SMALL(PN_list,COUNTIF(PN_list,"&lt;"&amp;I1422*bar_per_m)+1),"&gt; max PN")</f>
        <v>PN16</v>
      </c>
      <c r="K1422" s="4" t="str">
        <f aca="false">IF(L1422="no","end at tank",IF(H1422&lt;0,"NEGATIVE",IF(H1422&lt;p_min-0.005,"low","OK")))</f>
        <v>OK</v>
      </c>
      <c r="L1422" s="4" t="s">
        <v>414</v>
      </c>
    </row>
    <row r="1423" customFormat="false" ht="15" hidden="false" customHeight="false" outlineLevel="0" collapsed="false">
      <c r="A1423" s="4" t="s">
        <v>44</v>
      </c>
      <c r="B1423" s="4" t="s">
        <v>373</v>
      </c>
      <c r="C1423" s="47" t="n">
        <v>4694.72</v>
      </c>
      <c r="D1423" s="48" t="n">
        <v>1582.29</v>
      </c>
      <c r="E1423" s="49" t="n">
        <f aca="false">D1423-cover</f>
        <v>1581.09</v>
      </c>
      <c r="F1423" s="50" t="n">
        <f aca="false">'Z6 Nkangamo-Uhuru'!S18-'Z6 Nkangamo-Uhuru'!P18*C1423/'Z6 Nkangamo-Uhuru'!G18</f>
        <v>1730.91558764149</v>
      </c>
      <c r="G1423" s="51" t="n">
        <f aca="false">'Z6 Nkangamo-Uhuru'!$B$8-E1423</f>
        <v>125.41</v>
      </c>
      <c r="H1423" s="52" t="n">
        <f aca="false">F1423-E1423</f>
        <v>149.82558764149</v>
      </c>
      <c r="I1423" s="52" t="n">
        <f aca="false">MAX(H1423,G1423)</f>
        <v>149.82558764149</v>
      </c>
      <c r="J1423" s="4" t="str">
        <f aca="false">IFERROR("PN"&amp;SMALL(PN_list,COUNTIF(PN_list,"&lt;"&amp;I1423*bar_per_m)+1),"&gt; max PN")</f>
        <v>PN16</v>
      </c>
      <c r="K1423" s="4" t="str">
        <f aca="false">IF(L1423="no","end at tank",IF(H1423&lt;0,"NEGATIVE",IF(H1423&lt;p_min-0.005,"low","OK")))</f>
        <v>OK</v>
      </c>
      <c r="L1423" s="4" t="s">
        <v>414</v>
      </c>
    </row>
    <row r="1424" customFormat="false" ht="15" hidden="false" customHeight="false" outlineLevel="0" collapsed="false">
      <c r="A1424" s="4" t="s">
        <v>44</v>
      </c>
      <c r="B1424" s="4" t="s">
        <v>373</v>
      </c>
      <c r="C1424" s="47" t="n">
        <v>4714.79</v>
      </c>
      <c r="D1424" s="48" t="n">
        <v>1580.61</v>
      </c>
      <c r="E1424" s="49" t="n">
        <f aca="false">D1424-cover</f>
        <v>1579.41</v>
      </c>
      <c r="F1424" s="50" t="n">
        <f aca="false">'Z6 Nkangamo-Uhuru'!S18-'Z6 Nkangamo-Uhuru'!P18*C1424/'Z6 Nkangamo-Uhuru'!G18</f>
        <v>1730.88432530198</v>
      </c>
      <c r="G1424" s="51" t="n">
        <f aca="false">'Z6 Nkangamo-Uhuru'!$B$8-E1424</f>
        <v>127.09</v>
      </c>
      <c r="H1424" s="52" t="n">
        <f aca="false">F1424-E1424</f>
        <v>151.474325301983</v>
      </c>
      <c r="I1424" s="52" t="n">
        <f aca="false">MAX(H1424,G1424)</f>
        <v>151.474325301983</v>
      </c>
      <c r="J1424" s="4" t="str">
        <f aca="false">IFERROR("PN"&amp;SMALL(PN_list,COUNTIF(PN_list,"&lt;"&amp;I1424*bar_per_m)+1),"&gt; max PN")</f>
        <v>PN16</v>
      </c>
      <c r="K1424" s="4" t="str">
        <f aca="false">IF(L1424="no","end at tank",IF(H1424&lt;0,"NEGATIVE",IF(H1424&lt;p_min-0.005,"low","OK")))</f>
        <v>OK</v>
      </c>
      <c r="L1424" s="4" t="s">
        <v>414</v>
      </c>
    </row>
    <row r="1425" customFormat="false" ht="15" hidden="false" customHeight="false" outlineLevel="0" collapsed="false">
      <c r="A1425" s="4" t="s">
        <v>44</v>
      </c>
      <c r="B1425" s="4" t="s">
        <v>373</v>
      </c>
      <c r="C1425" s="47" t="n">
        <v>4734.8</v>
      </c>
      <c r="D1425" s="48" t="n">
        <v>1580</v>
      </c>
      <c r="E1425" s="49" t="n">
        <f aca="false">D1425-cover</f>
        <v>1578.8</v>
      </c>
      <c r="F1425" s="50" t="n">
        <f aca="false">'Z6 Nkangamo-Uhuru'!S18-'Z6 Nkangamo-Uhuru'!P18*C1425/'Z6 Nkangamo-Uhuru'!G18</f>
        <v>1730.85315642238</v>
      </c>
      <c r="G1425" s="51" t="n">
        <f aca="false">'Z6 Nkangamo-Uhuru'!$B$8-E1425</f>
        <v>127.7</v>
      </c>
      <c r="H1425" s="52" t="n">
        <f aca="false">F1425-E1425</f>
        <v>152.053156422385</v>
      </c>
      <c r="I1425" s="52" t="n">
        <f aca="false">MAX(H1425,G1425)</f>
        <v>152.053156422385</v>
      </c>
      <c r="J1425" s="4" t="str">
        <f aca="false">IFERROR("PN"&amp;SMALL(PN_list,COUNTIF(PN_list,"&lt;"&amp;I1425*bar_per_m)+1),"&gt; max PN")</f>
        <v>PN16</v>
      </c>
      <c r="K1425" s="4" t="str">
        <f aca="false">IF(L1425="no","end at tank",IF(H1425&lt;0,"NEGATIVE",IF(H1425&lt;p_min-0.005,"low","OK")))</f>
        <v>OK</v>
      </c>
      <c r="L1425" s="4" t="s">
        <v>414</v>
      </c>
    </row>
    <row r="1426" customFormat="false" ht="15" hidden="false" customHeight="false" outlineLevel="0" collapsed="false">
      <c r="A1426" s="4" t="s">
        <v>44</v>
      </c>
      <c r="B1426" s="4" t="s">
        <v>373</v>
      </c>
      <c r="C1426" s="47" t="n">
        <v>4754.84</v>
      </c>
      <c r="D1426" s="48" t="n">
        <v>1578.75</v>
      </c>
      <c r="E1426" s="49" t="n">
        <f aca="false">D1426-cover</f>
        <v>1577.55</v>
      </c>
      <c r="F1426" s="50" t="n">
        <f aca="false">'Z6 Nkangamo-Uhuru'!S18-'Z6 Nkangamo-Uhuru'!P18*C1426/'Z6 Nkangamo-Uhuru'!G18</f>
        <v>1730.82194081283</v>
      </c>
      <c r="G1426" s="51" t="n">
        <f aca="false">'Z6 Nkangamo-Uhuru'!$B$8-E1426</f>
        <v>128.95</v>
      </c>
      <c r="H1426" s="52" t="n">
        <f aca="false">F1426-E1426</f>
        <v>153.271940812832</v>
      </c>
      <c r="I1426" s="52" t="n">
        <f aca="false">MAX(H1426,G1426)</f>
        <v>153.271940812832</v>
      </c>
      <c r="J1426" s="4" t="str">
        <f aca="false">IFERROR("PN"&amp;SMALL(PN_list,COUNTIF(PN_list,"&lt;"&amp;I1426*bar_per_m)+1),"&gt; max PN")</f>
        <v>PN16</v>
      </c>
      <c r="K1426" s="4" t="str">
        <f aca="false">IF(L1426="no","end at tank",IF(H1426&lt;0,"NEGATIVE",IF(H1426&lt;p_min-0.005,"low","OK")))</f>
        <v>OK</v>
      </c>
      <c r="L1426" s="4" t="s">
        <v>414</v>
      </c>
    </row>
    <row r="1427" customFormat="false" ht="15" hidden="false" customHeight="false" outlineLevel="0" collapsed="false">
      <c r="A1427" s="4" t="s">
        <v>44</v>
      </c>
      <c r="B1427" s="4" t="s">
        <v>373</v>
      </c>
      <c r="C1427" s="47" t="n">
        <v>4774.88</v>
      </c>
      <c r="D1427" s="48" t="n">
        <v>1577.47</v>
      </c>
      <c r="E1427" s="49" t="n">
        <f aca="false">D1427-cover</f>
        <v>1576.27</v>
      </c>
      <c r="F1427" s="50" t="n">
        <f aca="false">'Z6 Nkangamo-Uhuru'!S18-'Z6 Nkangamo-Uhuru'!P18*C1427/'Z6 Nkangamo-Uhuru'!G18</f>
        <v>1730.79072520328</v>
      </c>
      <c r="G1427" s="51" t="n">
        <f aca="false">'Z6 Nkangamo-Uhuru'!$B$8-E1427</f>
        <v>130.23</v>
      </c>
      <c r="H1427" s="52" t="n">
        <f aca="false">F1427-E1427</f>
        <v>154.520725203279</v>
      </c>
      <c r="I1427" s="52" t="n">
        <f aca="false">MAX(H1427,G1427)</f>
        <v>154.520725203279</v>
      </c>
      <c r="J1427" s="4" t="str">
        <f aca="false">IFERROR("PN"&amp;SMALL(PN_list,COUNTIF(PN_list,"&lt;"&amp;I1427*bar_per_m)+1),"&gt; max PN")</f>
        <v>PN16</v>
      </c>
      <c r="K1427" s="4" t="str">
        <f aca="false">IF(L1427="no","end at tank",IF(H1427&lt;0,"NEGATIVE",IF(H1427&lt;p_min-0.005,"low","OK")))</f>
        <v>OK</v>
      </c>
      <c r="L1427" s="4" t="s">
        <v>414</v>
      </c>
    </row>
    <row r="1428" customFormat="false" ht="15" hidden="false" customHeight="false" outlineLevel="0" collapsed="false">
      <c r="A1428" s="4" t="s">
        <v>44</v>
      </c>
      <c r="B1428" s="4" t="s">
        <v>373</v>
      </c>
      <c r="C1428" s="47" t="n">
        <v>4794.88</v>
      </c>
      <c r="D1428" s="48" t="n">
        <v>1577.12</v>
      </c>
      <c r="E1428" s="49" t="n">
        <f aca="false">D1428-cover</f>
        <v>1575.92</v>
      </c>
      <c r="F1428" s="50" t="n">
        <f aca="false">'Z6 Nkangamo-Uhuru'!S18-'Z6 Nkangamo-Uhuru'!P18*C1428/'Z6 Nkangamo-Uhuru'!G18</f>
        <v>1730.75957190033</v>
      </c>
      <c r="G1428" s="51" t="n">
        <f aca="false">'Z6 Nkangamo-Uhuru'!$B$8-E1428</f>
        <v>130.58</v>
      </c>
      <c r="H1428" s="52" t="n">
        <f aca="false">F1428-E1428</f>
        <v>154.839571900333</v>
      </c>
      <c r="I1428" s="52" t="n">
        <f aca="false">MAX(H1428,G1428)</f>
        <v>154.839571900333</v>
      </c>
      <c r="J1428" s="4" t="str">
        <f aca="false">IFERROR("PN"&amp;SMALL(PN_list,COUNTIF(PN_list,"&lt;"&amp;I1428*bar_per_m)+1),"&gt; max PN")</f>
        <v>PN16</v>
      </c>
      <c r="K1428" s="4" t="str">
        <f aca="false">IF(L1428="no","end at tank",IF(H1428&lt;0,"NEGATIVE",IF(H1428&lt;p_min-0.005,"low","OK")))</f>
        <v>OK</v>
      </c>
      <c r="L1428" s="4" t="s">
        <v>414</v>
      </c>
    </row>
    <row r="1429" customFormat="false" ht="15" hidden="false" customHeight="false" outlineLevel="0" collapsed="false">
      <c r="A1429" s="4" t="s">
        <v>44</v>
      </c>
      <c r="B1429" s="4" t="s">
        <v>373</v>
      </c>
      <c r="C1429" s="47" t="n">
        <v>4814.97</v>
      </c>
      <c r="D1429" s="48" t="n">
        <v>1575.31</v>
      </c>
      <c r="E1429" s="49" t="n">
        <f aca="false">D1429-cover</f>
        <v>1574.11</v>
      </c>
      <c r="F1429" s="50" t="n">
        <f aca="false">'Z6 Nkangamo-Uhuru'!S18-'Z6 Nkangamo-Uhuru'!P18*C1429/'Z6 Nkangamo-Uhuru'!G18</f>
        <v>1730.72827840752</v>
      </c>
      <c r="G1429" s="51" t="n">
        <f aca="false">'Z6 Nkangamo-Uhuru'!$B$8-E1429</f>
        <v>132.39</v>
      </c>
      <c r="H1429" s="52" t="n">
        <f aca="false">F1429-E1429</f>
        <v>156.618278407522</v>
      </c>
      <c r="I1429" s="52" t="n">
        <f aca="false">MAX(H1429,G1429)</f>
        <v>156.618278407522</v>
      </c>
      <c r="J1429" s="4" t="str">
        <f aca="false">IFERROR("PN"&amp;SMALL(PN_list,COUNTIF(PN_list,"&lt;"&amp;I1429*bar_per_m)+1),"&gt; max PN")</f>
        <v>PN16</v>
      </c>
      <c r="K1429" s="4" t="str">
        <f aca="false">IF(L1429="no","end at tank",IF(H1429&lt;0,"NEGATIVE",IF(H1429&lt;p_min-0.005,"low","OK")))</f>
        <v>OK</v>
      </c>
      <c r="L1429" s="4" t="s">
        <v>414</v>
      </c>
    </row>
    <row r="1430" customFormat="false" ht="15" hidden="false" customHeight="false" outlineLevel="0" collapsed="false">
      <c r="A1430" s="4" t="s">
        <v>44</v>
      </c>
      <c r="B1430" s="4" t="s">
        <v>373</v>
      </c>
      <c r="C1430" s="47" t="n">
        <v>4835.01</v>
      </c>
      <c r="D1430" s="48" t="n">
        <v>1576.7</v>
      </c>
      <c r="E1430" s="49" t="n">
        <f aca="false">D1430-cover</f>
        <v>1575.5</v>
      </c>
      <c r="F1430" s="50" t="n">
        <f aca="false">'Z6 Nkangamo-Uhuru'!S18-'Z6 Nkangamo-Uhuru'!P18*C1430/'Z6 Nkangamo-Uhuru'!G18</f>
        <v>1730.69706279797</v>
      </c>
      <c r="G1430" s="51" t="n">
        <f aca="false">'Z6 Nkangamo-Uhuru'!$B$8-E1430</f>
        <v>131</v>
      </c>
      <c r="H1430" s="52" t="n">
        <f aca="false">F1430-E1430</f>
        <v>155.19706279797</v>
      </c>
      <c r="I1430" s="52" t="n">
        <f aca="false">MAX(H1430,G1430)</f>
        <v>155.19706279797</v>
      </c>
      <c r="J1430" s="4" t="str">
        <f aca="false">IFERROR("PN"&amp;SMALL(PN_list,COUNTIF(PN_list,"&lt;"&amp;I1430*bar_per_m)+1),"&gt; max PN")</f>
        <v>PN16</v>
      </c>
      <c r="K1430" s="4" t="str">
        <f aca="false">IF(L1430="no","end at tank",IF(H1430&lt;0,"NEGATIVE",IF(H1430&lt;p_min-0.005,"low","OK")))</f>
        <v>OK</v>
      </c>
      <c r="L1430" s="4" t="s">
        <v>414</v>
      </c>
    </row>
    <row r="1431" customFormat="false" ht="15" hidden="false" customHeight="false" outlineLevel="0" collapsed="false">
      <c r="A1431" s="4" t="s">
        <v>44</v>
      </c>
      <c r="B1431" s="4" t="s">
        <v>373</v>
      </c>
      <c r="C1431" s="47" t="n">
        <v>4855.01</v>
      </c>
      <c r="D1431" s="48" t="n">
        <v>1576.6</v>
      </c>
      <c r="E1431" s="49" t="n">
        <f aca="false">D1431-cover</f>
        <v>1575.4</v>
      </c>
      <c r="F1431" s="50" t="n">
        <f aca="false">'Z6 Nkangamo-Uhuru'!S18-'Z6 Nkangamo-Uhuru'!P18*C1431/'Z6 Nkangamo-Uhuru'!G18</f>
        <v>1730.66590949502</v>
      </c>
      <c r="G1431" s="51" t="n">
        <f aca="false">'Z6 Nkangamo-Uhuru'!$B$8-E1431</f>
        <v>131.1</v>
      </c>
      <c r="H1431" s="52" t="n">
        <f aca="false">F1431-E1431</f>
        <v>155.265909495023</v>
      </c>
      <c r="I1431" s="52" t="n">
        <f aca="false">MAX(H1431,G1431)</f>
        <v>155.265909495023</v>
      </c>
      <c r="J1431" s="4" t="str">
        <f aca="false">IFERROR("PN"&amp;SMALL(PN_list,COUNTIF(PN_list,"&lt;"&amp;I1431*bar_per_m)+1),"&gt; max PN")</f>
        <v>PN16</v>
      </c>
      <c r="K1431" s="4" t="str">
        <f aca="false">IF(L1431="no","end at tank",IF(H1431&lt;0,"NEGATIVE",IF(H1431&lt;p_min-0.005,"low","OK")))</f>
        <v>OK</v>
      </c>
      <c r="L1431" s="4" t="s">
        <v>414</v>
      </c>
    </row>
    <row r="1432" customFormat="false" ht="15" hidden="false" customHeight="false" outlineLevel="0" collapsed="false">
      <c r="A1432" s="4" t="s">
        <v>44</v>
      </c>
      <c r="B1432" s="4" t="s">
        <v>373</v>
      </c>
      <c r="C1432" s="47" t="n">
        <v>4875.04</v>
      </c>
      <c r="D1432" s="48" t="n">
        <v>1577.66</v>
      </c>
      <c r="E1432" s="49" t="n">
        <f aca="false">D1432-cover</f>
        <v>1576.46</v>
      </c>
      <c r="F1432" s="50" t="n">
        <f aca="false">'Z6 Nkangamo-Uhuru'!S18-'Z6 Nkangamo-Uhuru'!P18*C1432/'Z6 Nkangamo-Uhuru'!G18</f>
        <v>1730.63470946212</v>
      </c>
      <c r="G1432" s="51" t="n">
        <f aca="false">'Z6 Nkangamo-Uhuru'!$B$8-E1432</f>
        <v>130.04</v>
      </c>
      <c r="H1432" s="52" t="n">
        <f aca="false">F1432-E1432</f>
        <v>154.174709462122</v>
      </c>
      <c r="I1432" s="52" t="n">
        <f aca="false">MAX(H1432,G1432)</f>
        <v>154.174709462122</v>
      </c>
      <c r="J1432" s="4" t="str">
        <f aca="false">IFERROR("PN"&amp;SMALL(PN_list,COUNTIF(PN_list,"&lt;"&amp;I1432*bar_per_m)+1),"&gt; max PN")</f>
        <v>PN16</v>
      </c>
      <c r="K1432" s="4" t="str">
        <f aca="false">IF(L1432="no","end at tank",IF(H1432&lt;0,"NEGATIVE",IF(H1432&lt;p_min-0.005,"low","OK")))</f>
        <v>OK</v>
      </c>
      <c r="L1432" s="4" t="s">
        <v>414</v>
      </c>
    </row>
    <row r="1433" customFormat="false" ht="15" hidden="false" customHeight="false" outlineLevel="0" collapsed="false">
      <c r="A1433" s="4" t="s">
        <v>44</v>
      </c>
      <c r="B1433" s="4" t="s">
        <v>373</v>
      </c>
      <c r="C1433" s="47" t="n">
        <v>4895.06</v>
      </c>
      <c r="D1433" s="48" t="n">
        <v>1578.6</v>
      </c>
      <c r="E1433" s="49" t="n">
        <f aca="false">D1433-cover</f>
        <v>1577.4</v>
      </c>
      <c r="F1433" s="50" t="n">
        <f aca="false">'Z6 Nkangamo-Uhuru'!S18-'Z6 Nkangamo-Uhuru'!P18*C1433/'Z6 Nkangamo-Uhuru'!G18</f>
        <v>1730.60352500587</v>
      </c>
      <c r="G1433" s="51" t="n">
        <f aca="false">'Z6 Nkangamo-Uhuru'!$B$8-E1433</f>
        <v>129.1</v>
      </c>
      <c r="H1433" s="52" t="n">
        <f aca="false">F1433-E1433</f>
        <v>153.203525005872</v>
      </c>
      <c r="I1433" s="52" t="n">
        <f aca="false">MAX(H1433,G1433)</f>
        <v>153.203525005872</v>
      </c>
      <c r="J1433" s="4" t="str">
        <f aca="false">IFERROR("PN"&amp;SMALL(PN_list,COUNTIF(PN_list,"&lt;"&amp;I1433*bar_per_m)+1),"&gt; max PN")</f>
        <v>PN16</v>
      </c>
      <c r="K1433" s="4" t="str">
        <f aca="false">IF(L1433="no","end at tank",IF(H1433&lt;0,"NEGATIVE",IF(H1433&lt;p_min-0.005,"low","OK")))</f>
        <v>OK</v>
      </c>
      <c r="L1433" s="4" t="s">
        <v>414</v>
      </c>
    </row>
    <row r="1434" customFormat="false" ht="15" hidden="false" customHeight="false" outlineLevel="0" collapsed="false">
      <c r="A1434" s="4" t="s">
        <v>44</v>
      </c>
      <c r="B1434" s="4" t="s">
        <v>373</v>
      </c>
      <c r="C1434" s="47" t="n">
        <v>4915.06</v>
      </c>
      <c r="D1434" s="48" t="n">
        <v>1578.48</v>
      </c>
      <c r="E1434" s="49" t="n">
        <f aca="false">D1434-cover</f>
        <v>1577.28</v>
      </c>
      <c r="F1434" s="50" t="n">
        <f aca="false">'Z6 Nkangamo-Uhuru'!S18-'Z6 Nkangamo-Uhuru'!P18*C1434/'Z6 Nkangamo-Uhuru'!G18</f>
        <v>1730.57237170293</v>
      </c>
      <c r="G1434" s="51" t="n">
        <f aca="false">'Z6 Nkangamo-Uhuru'!$B$8-E1434</f>
        <v>129.22</v>
      </c>
      <c r="H1434" s="52" t="n">
        <f aca="false">F1434-E1434</f>
        <v>153.292371702925</v>
      </c>
      <c r="I1434" s="52" t="n">
        <f aca="false">MAX(H1434,G1434)</f>
        <v>153.292371702925</v>
      </c>
      <c r="J1434" s="4" t="str">
        <f aca="false">IFERROR("PN"&amp;SMALL(PN_list,COUNTIF(PN_list,"&lt;"&amp;I1434*bar_per_m)+1),"&gt; max PN")</f>
        <v>PN16</v>
      </c>
      <c r="K1434" s="4" t="str">
        <f aca="false">IF(L1434="no","end at tank",IF(H1434&lt;0,"NEGATIVE",IF(H1434&lt;p_min-0.005,"low","OK")))</f>
        <v>OK</v>
      </c>
      <c r="L1434" s="4" t="s">
        <v>414</v>
      </c>
    </row>
    <row r="1435" customFormat="false" ht="15" hidden="false" customHeight="false" outlineLevel="0" collapsed="false">
      <c r="A1435" s="4" t="s">
        <v>44</v>
      </c>
      <c r="B1435" s="4" t="s">
        <v>373</v>
      </c>
      <c r="C1435" s="47" t="n">
        <v>4935.09</v>
      </c>
      <c r="D1435" s="48" t="n">
        <v>1579.49</v>
      </c>
      <c r="E1435" s="49" t="n">
        <f aca="false">D1435-cover</f>
        <v>1578.29</v>
      </c>
      <c r="F1435" s="50" t="n">
        <f aca="false">'Z6 Nkangamo-Uhuru'!S18-'Z6 Nkangamo-Uhuru'!P18*C1435/'Z6 Nkangamo-Uhuru'!G18</f>
        <v>1730.54117167002</v>
      </c>
      <c r="G1435" s="51" t="n">
        <f aca="false">'Z6 Nkangamo-Uhuru'!$B$8-E1435</f>
        <v>128.21</v>
      </c>
      <c r="H1435" s="52" t="n">
        <f aca="false">F1435-E1435</f>
        <v>152.251171670024</v>
      </c>
      <c r="I1435" s="52" t="n">
        <f aca="false">MAX(H1435,G1435)</f>
        <v>152.251171670024</v>
      </c>
      <c r="J1435" s="4" t="str">
        <f aca="false">IFERROR("PN"&amp;SMALL(PN_list,COUNTIF(PN_list,"&lt;"&amp;I1435*bar_per_m)+1),"&gt; max PN")</f>
        <v>PN16</v>
      </c>
      <c r="K1435" s="4" t="str">
        <f aca="false">IF(L1435="no","end at tank",IF(H1435&lt;0,"NEGATIVE",IF(H1435&lt;p_min-0.005,"low","OK")))</f>
        <v>OK</v>
      </c>
      <c r="L1435" s="4" t="s">
        <v>414</v>
      </c>
    </row>
    <row r="1436" customFormat="false" ht="15" hidden="false" customHeight="false" outlineLevel="0" collapsed="false">
      <c r="A1436" s="4" t="s">
        <v>44</v>
      </c>
      <c r="B1436" s="4" t="s">
        <v>373</v>
      </c>
      <c r="C1436" s="47" t="n">
        <v>4955.13</v>
      </c>
      <c r="D1436" s="48" t="n">
        <v>1578.23</v>
      </c>
      <c r="E1436" s="49" t="n">
        <f aca="false">D1436-cover</f>
        <v>1577.03</v>
      </c>
      <c r="F1436" s="50" t="n">
        <f aca="false">'Z6 Nkangamo-Uhuru'!S18-'Z6 Nkangamo-Uhuru'!P18*C1436/'Z6 Nkangamo-Uhuru'!G18</f>
        <v>1730.50995606047</v>
      </c>
      <c r="G1436" s="51" t="n">
        <f aca="false">'Z6 Nkangamo-Uhuru'!$B$8-E1436</f>
        <v>129.47</v>
      </c>
      <c r="H1436" s="52" t="n">
        <f aca="false">F1436-E1436</f>
        <v>153.479956060471</v>
      </c>
      <c r="I1436" s="52" t="n">
        <f aca="false">MAX(H1436,G1436)</f>
        <v>153.479956060471</v>
      </c>
      <c r="J1436" s="4" t="str">
        <f aca="false">IFERROR("PN"&amp;SMALL(PN_list,COUNTIF(PN_list,"&lt;"&amp;I1436*bar_per_m)+1),"&gt; max PN")</f>
        <v>PN16</v>
      </c>
      <c r="K1436" s="4" t="str">
        <f aca="false">IF(L1436="no","end at tank",IF(H1436&lt;0,"NEGATIVE",IF(H1436&lt;p_min-0.005,"low","OK")))</f>
        <v>OK</v>
      </c>
      <c r="L1436" s="4" t="s">
        <v>414</v>
      </c>
    </row>
    <row r="1437" customFormat="false" ht="15" hidden="false" customHeight="false" outlineLevel="0" collapsed="false">
      <c r="A1437" s="4" t="s">
        <v>44</v>
      </c>
      <c r="B1437" s="4" t="s">
        <v>373</v>
      </c>
      <c r="C1437" s="47" t="n">
        <v>4975.14</v>
      </c>
      <c r="D1437" s="48" t="n">
        <v>1578.88</v>
      </c>
      <c r="E1437" s="49" t="n">
        <f aca="false">D1437-cover</f>
        <v>1577.68</v>
      </c>
      <c r="F1437" s="50" t="n">
        <f aca="false">'Z6 Nkangamo-Uhuru'!S18-'Z6 Nkangamo-Uhuru'!P18*C1437/'Z6 Nkangamo-Uhuru'!G18</f>
        <v>1730.47878718087</v>
      </c>
      <c r="G1437" s="51" t="n">
        <f aca="false">'Z6 Nkangamo-Uhuru'!$B$8-E1437</f>
        <v>128.82</v>
      </c>
      <c r="H1437" s="52" t="n">
        <f aca="false">F1437-E1437</f>
        <v>152.798787180873</v>
      </c>
      <c r="I1437" s="52" t="n">
        <f aca="false">MAX(H1437,G1437)</f>
        <v>152.798787180873</v>
      </c>
      <c r="J1437" s="4" t="str">
        <f aca="false">IFERROR("PN"&amp;SMALL(PN_list,COUNTIF(PN_list,"&lt;"&amp;I1437*bar_per_m)+1),"&gt; max PN")</f>
        <v>PN16</v>
      </c>
      <c r="K1437" s="4" t="str">
        <f aca="false">IF(L1437="no","end at tank",IF(H1437&lt;0,"NEGATIVE",IF(H1437&lt;p_min-0.005,"low","OK")))</f>
        <v>OK</v>
      </c>
      <c r="L1437" s="4" t="s">
        <v>414</v>
      </c>
    </row>
    <row r="1438" customFormat="false" ht="15" hidden="false" customHeight="false" outlineLevel="0" collapsed="false">
      <c r="A1438" s="4" t="s">
        <v>44</v>
      </c>
      <c r="B1438" s="4" t="s">
        <v>373</v>
      </c>
      <c r="C1438" s="47" t="n">
        <v>4995.15</v>
      </c>
      <c r="D1438" s="48" t="n">
        <v>1579.34</v>
      </c>
      <c r="E1438" s="49" t="n">
        <f aca="false">D1438-cover</f>
        <v>1578.14</v>
      </c>
      <c r="F1438" s="50" t="n">
        <f aca="false">'Z6 Nkangamo-Uhuru'!S18-'Z6 Nkangamo-Uhuru'!P18*C1438/'Z6 Nkangamo-Uhuru'!G18</f>
        <v>1730.44761830127</v>
      </c>
      <c r="G1438" s="51" t="n">
        <f aca="false">'Z6 Nkangamo-Uhuru'!$B$8-E1438</f>
        <v>128.36</v>
      </c>
      <c r="H1438" s="52" t="n">
        <f aca="false">F1438-E1438</f>
        <v>152.307618301275</v>
      </c>
      <c r="I1438" s="52" t="n">
        <f aca="false">MAX(H1438,G1438)</f>
        <v>152.307618301275</v>
      </c>
      <c r="J1438" s="4" t="str">
        <f aca="false">IFERROR("PN"&amp;SMALL(PN_list,COUNTIF(PN_list,"&lt;"&amp;I1438*bar_per_m)+1),"&gt; max PN")</f>
        <v>PN16</v>
      </c>
      <c r="K1438" s="4" t="str">
        <f aca="false">IF(L1438="no","end at tank",IF(H1438&lt;0,"NEGATIVE",IF(H1438&lt;p_min-0.005,"low","OK")))</f>
        <v>OK</v>
      </c>
      <c r="L1438" s="4" t="s">
        <v>414</v>
      </c>
    </row>
    <row r="1439" customFormat="false" ht="15" hidden="false" customHeight="false" outlineLevel="0" collapsed="false">
      <c r="A1439" s="4" t="s">
        <v>44</v>
      </c>
      <c r="B1439" s="4" t="s">
        <v>373</v>
      </c>
      <c r="C1439" s="47" t="n">
        <v>5015.15</v>
      </c>
      <c r="D1439" s="48" t="n">
        <v>1578.94</v>
      </c>
      <c r="E1439" s="49" t="n">
        <f aca="false">D1439-cover</f>
        <v>1577.74</v>
      </c>
      <c r="F1439" s="50" t="n">
        <f aca="false">'Z6 Nkangamo-Uhuru'!S18-'Z6 Nkangamo-Uhuru'!P18*C1439/'Z6 Nkangamo-Uhuru'!G18</f>
        <v>1730.41646499833</v>
      </c>
      <c r="G1439" s="51" t="n">
        <f aca="false">'Z6 Nkangamo-Uhuru'!$B$8-E1439</f>
        <v>128.76</v>
      </c>
      <c r="H1439" s="52" t="n">
        <f aca="false">F1439-E1439</f>
        <v>152.676464998328</v>
      </c>
      <c r="I1439" s="52" t="n">
        <f aca="false">MAX(H1439,G1439)</f>
        <v>152.676464998328</v>
      </c>
      <c r="J1439" s="4" t="str">
        <f aca="false">IFERROR("PN"&amp;SMALL(PN_list,COUNTIF(PN_list,"&lt;"&amp;I1439*bar_per_m)+1),"&gt; max PN")</f>
        <v>PN16</v>
      </c>
      <c r="K1439" s="4" t="str">
        <f aca="false">IF(L1439="no","end at tank",IF(H1439&lt;0,"NEGATIVE",IF(H1439&lt;p_min-0.005,"low","OK")))</f>
        <v>OK</v>
      </c>
      <c r="L1439" s="4" t="s">
        <v>414</v>
      </c>
    </row>
    <row r="1440" customFormat="false" ht="15" hidden="false" customHeight="false" outlineLevel="0" collapsed="false">
      <c r="A1440" s="4" t="s">
        <v>44</v>
      </c>
      <c r="B1440" s="4" t="s">
        <v>373</v>
      </c>
      <c r="C1440" s="47" t="n">
        <v>5035.16</v>
      </c>
      <c r="D1440" s="48" t="n">
        <v>1579.68</v>
      </c>
      <c r="E1440" s="49" t="n">
        <f aca="false">D1440-cover</f>
        <v>1578.48</v>
      </c>
      <c r="F1440" s="50" t="n">
        <f aca="false">'Z6 Nkangamo-Uhuru'!S18-'Z6 Nkangamo-Uhuru'!P18*C1440/'Z6 Nkangamo-Uhuru'!G18</f>
        <v>1730.38529611873</v>
      </c>
      <c r="G1440" s="51" t="n">
        <f aca="false">'Z6 Nkangamo-Uhuru'!$B$8-E1440</f>
        <v>128.02</v>
      </c>
      <c r="H1440" s="52" t="n">
        <f aca="false">F1440-E1440</f>
        <v>151.905296118729</v>
      </c>
      <c r="I1440" s="52" t="n">
        <f aca="false">MAX(H1440,G1440)</f>
        <v>151.905296118729</v>
      </c>
      <c r="J1440" s="4" t="str">
        <f aca="false">IFERROR("PN"&amp;SMALL(PN_list,COUNTIF(PN_list,"&lt;"&amp;I1440*bar_per_m)+1),"&gt; max PN")</f>
        <v>PN16</v>
      </c>
      <c r="K1440" s="4" t="str">
        <f aca="false">IF(L1440="no","end at tank",IF(H1440&lt;0,"NEGATIVE",IF(H1440&lt;p_min-0.005,"low","OK")))</f>
        <v>OK</v>
      </c>
      <c r="L1440" s="4" t="s">
        <v>414</v>
      </c>
    </row>
    <row r="1441" customFormat="false" ht="15" hidden="false" customHeight="false" outlineLevel="0" collapsed="false">
      <c r="A1441" s="4" t="s">
        <v>44</v>
      </c>
      <c r="B1441" s="4" t="s">
        <v>373</v>
      </c>
      <c r="C1441" s="47" t="n">
        <v>5055.19</v>
      </c>
      <c r="D1441" s="48" t="n">
        <v>1578.72</v>
      </c>
      <c r="E1441" s="49" t="n">
        <f aca="false">D1441-cover</f>
        <v>1577.52</v>
      </c>
      <c r="F1441" s="50" t="n">
        <f aca="false">'Z6 Nkangamo-Uhuru'!S18-'Z6 Nkangamo-Uhuru'!P18*C1441/'Z6 Nkangamo-Uhuru'!G18</f>
        <v>1730.35409608583</v>
      </c>
      <c r="G1441" s="51" t="n">
        <f aca="false">'Z6 Nkangamo-Uhuru'!$B$8-E1441</f>
        <v>128.98</v>
      </c>
      <c r="H1441" s="52" t="n">
        <f aca="false">F1441-E1441</f>
        <v>152.834096085828</v>
      </c>
      <c r="I1441" s="52" t="n">
        <f aca="false">MAX(H1441,G1441)</f>
        <v>152.834096085828</v>
      </c>
      <c r="J1441" s="4" t="str">
        <f aca="false">IFERROR("PN"&amp;SMALL(PN_list,COUNTIF(PN_list,"&lt;"&amp;I1441*bar_per_m)+1),"&gt; max PN")</f>
        <v>PN16</v>
      </c>
      <c r="K1441" s="4" t="str">
        <f aca="false">IF(L1441="no","end at tank",IF(H1441&lt;0,"NEGATIVE",IF(H1441&lt;p_min-0.005,"low","OK")))</f>
        <v>OK</v>
      </c>
      <c r="L1441" s="4" t="s">
        <v>414</v>
      </c>
    </row>
    <row r="1442" customFormat="false" ht="15" hidden="false" customHeight="false" outlineLevel="0" collapsed="false">
      <c r="A1442" s="4" t="s">
        <v>44</v>
      </c>
      <c r="B1442" s="4" t="s">
        <v>373</v>
      </c>
      <c r="C1442" s="47" t="n">
        <v>5075.2</v>
      </c>
      <c r="D1442" s="48" t="n">
        <v>1579.47</v>
      </c>
      <c r="E1442" s="49" t="n">
        <f aca="false">D1442-cover</f>
        <v>1578.27</v>
      </c>
      <c r="F1442" s="50" t="n">
        <f aca="false">'Z6 Nkangamo-Uhuru'!S18-'Z6 Nkangamo-Uhuru'!P18*C1442/'Z6 Nkangamo-Uhuru'!G18</f>
        <v>1730.32292720623</v>
      </c>
      <c r="G1442" s="51" t="n">
        <f aca="false">'Z6 Nkangamo-Uhuru'!$B$8-E1442</f>
        <v>128.23</v>
      </c>
      <c r="H1442" s="52" t="n">
        <f aca="false">F1442-E1442</f>
        <v>152.05292720623</v>
      </c>
      <c r="I1442" s="52" t="n">
        <f aca="false">MAX(H1442,G1442)</f>
        <v>152.05292720623</v>
      </c>
      <c r="J1442" s="4" t="str">
        <f aca="false">IFERROR("PN"&amp;SMALL(PN_list,COUNTIF(PN_list,"&lt;"&amp;I1442*bar_per_m)+1),"&gt; max PN")</f>
        <v>PN16</v>
      </c>
      <c r="K1442" s="4" t="str">
        <f aca="false">IF(L1442="no","end at tank",IF(H1442&lt;0,"NEGATIVE",IF(H1442&lt;p_min-0.005,"low","OK")))</f>
        <v>OK</v>
      </c>
      <c r="L1442" s="4" t="s">
        <v>414</v>
      </c>
    </row>
    <row r="1443" customFormat="false" ht="15" hidden="false" customHeight="false" outlineLevel="0" collapsed="false">
      <c r="A1443" s="4" t="s">
        <v>44</v>
      </c>
      <c r="B1443" s="4" t="s">
        <v>373</v>
      </c>
      <c r="C1443" s="47" t="n">
        <v>5095.21</v>
      </c>
      <c r="D1443" s="48" t="n">
        <v>1578.85</v>
      </c>
      <c r="E1443" s="49" t="n">
        <f aca="false">D1443-cover</f>
        <v>1577.65</v>
      </c>
      <c r="F1443" s="50" t="n">
        <f aca="false">'Z6 Nkangamo-Uhuru'!S18-'Z6 Nkangamo-Uhuru'!P18*C1443/'Z6 Nkangamo-Uhuru'!G18</f>
        <v>1730.29175832663</v>
      </c>
      <c r="G1443" s="51" t="n">
        <f aca="false">'Z6 Nkangamo-Uhuru'!$B$8-E1443</f>
        <v>128.85</v>
      </c>
      <c r="H1443" s="52" t="n">
        <f aca="false">F1443-E1443</f>
        <v>152.641758326632</v>
      </c>
      <c r="I1443" s="52" t="n">
        <f aca="false">MAX(H1443,G1443)</f>
        <v>152.641758326632</v>
      </c>
      <c r="J1443" s="4" t="str">
        <f aca="false">IFERROR("PN"&amp;SMALL(PN_list,COUNTIF(PN_list,"&lt;"&amp;I1443*bar_per_m)+1),"&gt; max PN")</f>
        <v>PN16</v>
      </c>
      <c r="K1443" s="4" t="str">
        <f aca="false">IF(L1443="no","end at tank",IF(H1443&lt;0,"NEGATIVE",IF(H1443&lt;p_min-0.005,"low","OK")))</f>
        <v>OK</v>
      </c>
      <c r="L1443" s="4" t="s">
        <v>414</v>
      </c>
    </row>
    <row r="1444" customFormat="false" ht="15" hidden="false" customHeight="false" outlineLevel="0" collapsed="false">
      <c r="A1444" s="4" t="s">
        <v>44</v>
      </c>
      <c r="B1444" s="4" t="s">
        <v>373</v>
      </c>
      <c r="C1444" s="47" t="n">
        <v>5115.22</v>
      </c>
      <c r="D1444" s="48" t="n">
        <v>1579.58</v>
      </c>
      <c r="E1444" s="49" t="n">
        <f aca="false">D1444-cover</f>
        <v>1578.38</v>
      </c>
      <c r="F1444" s="50" t="n">
        <f aca="false">'Z6 Nkangamo-Uhuru'!S18-'Z6 Nkangamo-Uhuru'!P18*C1444/'Z6 Nkangamo-Uhuru'!G18</f>
        <v>1730.26058944703</v>
      </c>
      <c r="G1444" s="51" t="n">
        <f aca="false">'Z6 Nkangamo-Uhuru'!$B$8-E1444</f>
        <v>128.12</v>
      </c>
      <c r="H1444" s="52" t="n">
        <f aca="false">F1444-E1444</f>
        <v>151.880589447033</v>
      </c>
      <c r="I1444" s="52" t="n">
        <f aca="false">MAX(H1444,G1444)</f>
        <v>151.880589447033</v>
      </c>
      <c r="J1444" s="4" t="str">
        <f aca="false">IFERROR("PN"&amp;SMALL(PN_list,COUNTIF(PN_list,"&lt;"&amp;I1444*bar_per_m)+1),"&gt; max PN")</f>
        <v>PN16</v>
      </c>
      <c r="K1444" s="4" t="str">
        <f aca="false">IF(L1444="no","end at tank",IF(H1444&lt;0,"NEGATIVE",IF(H1444&lt;p_min-0.005,"low","OK")))</f>
        <v>OK</v>
      </c>
      <c r="L1444" s="4" t="s">
        <v>414</v>
      </c>
    </row>
    <row r="1445" customFormat="false" ht="15" hidden="false" customHeight="false" outlineLevel="0" collapsed="false">
      <c r="A1445" s="4" t="s">
        <v>44</v>
      </c>
      <c r="B1445" s="4" t="s">
        <v>373</v>
      </c>
      <c r="C1445" s="47" t="n">
        <v>5135.25</v>
      </c>
      <c r="D1445" s="48" t="n">
        <v>1578.5</v>
      </c>
      <c r="E1445" s="49" t="n">
        <f aca="false">D1445-cover</f>
        <v>1577.3</v>
      </c>
      <c r="F1445" s="50" t="n">
        <f aca="false">'Z6 Nkangamo-Uhuru'!S18-'Z6 Nkangamo-Uhuru'!P18*C1445/'Z6 Nkangamo-Uhuru'!G18</f>
        <v>1730.22938941413</v>
      </c>
      <c r="G1445" s="51" t="n">
        <f aca="false">'Z6 Nkangamo-Uhuru'!$B$8-E1445</f>
        <v>129.2</v>
      </c>
      <c r="H1445" s="52" t="n">
        <f aca="false">F1445-E1445</f>
        <v>152.929389414132</v>
      </c>
      <c r="I1445" s="52" t="n">
        <f aca="false">MAX(H1445,G1445)</f>
        <v>152.929389414132</v>
      </c>
      <c r="J1445" s="4" t="str">
        <f aca="false">IFERROR("PN"&amp;SMALL(PN_list,COUNTIF(PN_list,"&lt;"&amp;I1445*bar_per_m)+1),"&gt; max PN")</f>
        <v>PN16</v>
      </c>
      <c r="K1445" s="4" t="str">
        <f aca="false">IF(L1445="no","end at tank",IF(H1445&lt;0,"NEGATIVE",IF(H1445&lt;p_min-0.005,"low","OK")))</f>
        <v>OK</v>
      </c>
      <c r="L1445" s="4" t="s">
        <v>414</v>
      </c>
    </row>
    <row r="1446" customFormat="false" ht="15" hidden="false" customHeight="false" outlineLevel="0" collapsed="false">
      <c r="A1446" s="4" t="s">
        <v>44</v>
      </c>
      <c r="B1446" s="4" t="s">
        <v>373</v>
      </c>
      <c r="C1446" s="47" t="n">
        <v>5155.25</v>
      </c>
      <c r="D1446" s="48" t="n">
        <v>1578.33</v>
      </c>
      <c r="E1446" s="49" t="n">
        <f aca="false">D1446-cover</f>
        <v>1577.13</v>
      </c>
      <c r="F1446" s="50" t="n">
        <f aca="false">'Z6 Nkangamo-Uhuru'!S18-'Z6 Nkangamo-Uhuru'!P18*C1446/'Z6 Nkangamo-Uhuru'!G18</f>
        <v>1730.19823611119</v>
      </c>
      <c r="G1446" s="51" t="n">
        <f aca="false">'Z6 Nkangamo-Uhuru'!$B$8-E1446</f>
        <v>129.37</v>
      </c>
      <c r="H1446" s="52" t="n">
        <f aca="false">F1446-E1446</f>
        <v>153.068236111185</v>
      </c>
      <c r="I1446" s="52" t="n">
        <f aca="false">MAX(H1446,G1446)</f>
        <v>153.068236111185</v>
      </c>
      <c r="J1446" s="4" t="str">
        <f aca="false">IFERROR("PN"&amp;SMALL(PN_list,COUNTIF(PN_list,"&lt;"&amp;I1446*bar_per_m)+1),"&gt; max PN")</f>
        <v>PN16</v>
      </c>
      <c r="K1446" s="4" t="str">
        <f aca="false">IF(L1446="no","end at tank",IF(H1446&lt;0,"NEGATIVE",IF(H1446&lt;p_min-0.005,"low","OK")))</f>
        <v>OK</v>
      </c>
      <c r="L1446" s="4" t="s">
        <v>414</v>
      </c>
    </row>
    <row r="1447" customFormat="false" ht="15" hidden="false" customHeight="false" outlineLevel="0" collapsed="false">
      <c r="A1447" s="4" t="s">
        <v>44</v>
      </c>
      <c r="B1447" s="4" t="s">
        <v>373</v>
      </c>
      <c r="C1447" s="47" t="n">
        <v>5175.26</v>
      </c>
      <c r="D1447" s="48" t="n">
        <v>1577.87</v>
      </c>
      <c r="E1447" s="49" t="n">
        <f aca="false">D1447-cover</f>
        <v>1576.67</v>
      </c>
      <c r="F1447" s="50" t="n">
        <f aca="false">'Z6 Nkangamo-Uhuru'!S18-'Z6 Nkangamo-Uhuru'!P18*C1447/'Z6 Nkangamo-Uhuru'!G18</f>
        <v>1730.16706723159</v>
      </c>
      <c r="G1447" s="51" t="n">
        <f aca="false">'Z6 Nkangamo-Uhuru'!$B$8-E1447</f>
        <v>129.83</v>
      </c>
      <c r="H1447" s="52" t="n">
        <f aca="false">F1447-E1447</f>
        <v>153.497067231587</v>
      </c>
      <c r="I1447" s="52" t="n">
        <f aca="false">MAX(H1447,G1447)</f>
        <v>153.497067231587</v>
      </c>
      <c r="J1447" s="4" t="str">
        <f aca="false">IFERROR("PN"&amp;SMALL(PN_list,COUNTIF(PN_list,"&lt;"&amp;I1447*bar_per_m)+1),"&gt; max PN")</f>
        <v>PN16</v>
      </c>
      <c r="K1447" s="4" t="str">
        <f aca="false">IF(L1447="no","end at tank",IF(H1447&lt;0,"NEGATIVE",IF(H1447&lt;p_min-0.005,"low","OK")))</f>
        <v>OK</v>
      </c>
      <c r="L1447" s="4" t="s">
        <v>414</v>
      </c>
    </row>
    <row r="1448" customFormat="false" ht="15" hidden="false" customHeight="false" outlineLevel="0" collapsed="false">
      <c r="A1448" s="4" t="s">
        <v>44</v>
      </c>
      <c r="B1448" s="4" t="s">
        <v>373</v>
      </c>
      <c r="C1448" s="47" t="n">
        <v>5195.26</v>
      </c>
      <c r="D1448" s="48" t="n">
        <v>1577.37</v>
      </c>
      <c r="E1448" s="49" t="n">
        <f aca="false">D1448-cover</f>
        <v>1576.17</v>
      </c>
      <c r="F1448" s="50" t="n">
        <f aca="false">'Z6 Nkangamo-Uhuru'!S18-'Z6 Nkangamo-Uhuru'!P18*C1448/'Z6 Nkangamo-Uhuru'!G18</f>
        <v>1730.13591392864</v>
      </c>
      <c r="G1448" s="51" t="n">
        <f aca="false">'Z6 Nkangamo-Uhuru'!$B$8-E1448</f>
        <v>130.33</v>
      </c>
      <c r="H1448" s="52" t="n">
        <f aca="false">F1448-E1448</f>
        <v>153.96591392864</v>
      </c>
      <c r="I1448" s="52" t="n">
        <f aca="false">MAX(H1448,G1448)</f>
        <v>153.96591392864</v>
      </c>
      <c r="J1448" s="4" t="str">
        <f aca="false">IFERROR("PN"&amp;SMALL(PN_list,COUNTIF(PN_list,"&lt;"&amp;I1448*bar_per_m)+1),"&gt; max PN")</f>
        <v>PN16</v>
      </c>
      <c r="K1448" s="4" t="str">
        <f aca="false">IF(L1448="no","end at tank",IF(H1448&lt;0,"NEGATIVE",IF(H1448&lt;p_min-0.005,"low","OK")))</f>
        <v>OK</v>
      </c>
      <c r="L1448" s="4" t="s">
        <v>414</v>
      </c>
    </row>
    <row r="1449" customFormat="false" ht="15" hidden="false" customHeight="false" outlineLevel="0" collapsed="false">
      <c r="A1449" s="4" t="s">
        <v>44</v>
      </c>
      <c r="B1449" s="4" t="s">
        <v>373</v>
      </c>
      <c r="C1449" s="47" t="n">
        <v>5215.27</v>
      </c>
      <c r="D1449" s="48" t="n">
        <v>1577.01</v>
      </c>
      <c r="E1449" s="49" t="n">
        <f aca="false">D1449-cover</f>
        <v>1575.81</v>
      </c>
      <c r="F1449" s="50" t="n">
        <f aca="false">'Z6 Nkangamo-Uhuru'!S18-'Z6 Nkangamo-Uhuru'!P18*C1449/'Z6 Nkangamo-Uhuru'!G18</f>
        <v>1730.10474504904</v>
      </c>
      <c r="G1449" s="51" t="n">
        <f aca="false">'Z6 Nkangamo-Uhuru'!$B$8-E1449</f>
        <v>130.69</v>
      </c>
      <c r="H1449" s="52" t="n">
        <f aca="false">F1449-E1449</f>
        <v>154.294745049042</v>
      </c>
      <c r="I1449" s="52" t="n">
        <f aca="false">MAX(H1449,G1449)</f>
        <v>154.294745049042</v>
      </c>
      <c r="J1449" s="4" t="str">
        <f aca="false">IFERROR("PN"&amp;SMALL(PN_list,COUNTIF(PN_list,"&lt;"&amp;I1449*bar_per_m)+1),"&gt; max PN")</f>
        <v>PN16</v>
      </c>
      <c r="K1449" s="4" t="str">
        <f aca="false">IF(L1449="no","end at tank",IF(H1449&lt;0,"NEGATIVE",IF(H1449&lt;p_min-0.005,"low","OK")))</f>
        <v>OK</v>
      </c>
      <c r="L1449" s="4" t="s">
        <v>414</v>
      </c>
    </row>
    <row r="1450" customFormat="false" ht="15" hidden="false" customHeight="false" outlineLevel="0" collapsed="false">
      <c r="A1450" s="4" t="s">
        <v>44</v>
      </c>
      <c r="B1450" s="4" t="s">
        <v>373</v>
      </c>
      <c r="C1450" s="47" t="n">
        <v>5235.27</v>
      </c>
      <c r="D1450" s="48" t="n">
        <v>1576.49</v>
      </c>
      <c r="E1450" s="49" t="n">
        <f aca="false">D1450-cover</f>
        <v>1575.29</v>
      </c>
      <c r="F1450" s="50" t="n">
        <f aca="false">'Z6 Nkangamo-Uhuru'!S18-'Z6 Nkangamo-Uhuru'!P18*C1450/'Z6 Nkangamo-Uhuru'!G18</f>
        <v>1730.07359174609</v>
      </c>
      <c r="G1450" s="51" t="n">
        <f aca="false">'Z6 Nkangamo-Uhuru'!$B$8-E1450</f>
        <v>131.21</v>
      </c>
      <c r="H1450" s="52" t="n">
        <f aca="false">F1450-E1450</f>
        <v>154.783591746095</v>
      </c>
      <c r="I1450" s="52" t="n">
        <f aca="false">MAX(H1450,G1450)</f>
        <v>154.783591746095</v>
      </c>
      <c r="J1450" s="4" t="str">
        <f aca="false">IFERROR("PN"&amp;SMALL(PN_list,COUNTIF(PN_list,"&lt;"&amp;I1450*bar_per_m)+1),"&gt; max PN")</f>
        <v>PN16</v>
      </c>
      <c r="K1450" s="4" t="str">
        <f aca="false">IF(L1450="no","end at tank",IF(H1450&lt;0,"NEGATIVE",IF(H1450&lt;p_min-0.005,"low","OK")))</f>
        <v>OK</v>
      </c>
      <c r="L1450" s="4" t="s">
        <v>414</v>
      </c>
    </row>
    <row r="1451" customFormat="false" ht="15" hidden="false" customHeight="false" outlineLevel="0" collapsed="false">
      <c r="A1451" s="4" t="s">
        <v>44</v>
      </c>
      <c r="B1451" s="4" t="s">
        <v>373</v>
      </c>
      <c r="C1451" s="47" t="n">
        <v>5255.28</v>
      </c>
      <c r="D1451" s="48" t="n">
        <v>1576.24</v>
      </c>
      <c r="E1451" s="49" t="n">
        <f aca="false">D1451-cover</f>
        <v>1575.04</v>
      </c>
      <c r="F1451" s="50" t="n">
        <f aca="false">'Z6 Nkangamo-Uhuru'!S18-'Z6 Nkangamo-Uhuru'!P18*C1451/'Z6 Nkangamo-Uhuru'!G18</f>
        <v>1730.0424228665</v>
      </c>
      <c r="G1451" s="51" t="n">
        <f aca="false">'Z6 Nkangamo-Uhuru'!$B$8-E1451</f>
        <v>131.46</v>
      </c>
      <c r="H1451" s="52" t="n">
        <f aca="false">F1451-E1451</f>
        <v>155.002422866497</v>
      </c>
      <c r="I1451" s="52" t="n">
        <f aca="false">MAX(H1451,G1451)</f>
        <v>155.002422866497</v>
      </c>
      <c r="J1451" s="4" t="str">
        <f aca="false">IFERROR("PN"&amp;SMALL(PN_list,COUNTIF(PN_list,"&lt;"&amp;I1451*bar_per_m)+1),"&gt; max PN")</f>
        <v>PN16</v>
      </c>
      <c r="K1451" s="4" t="str">
        <f aca="false">IF(L1451="no","end at tank",IF(H1451&lt;0,"NEGATIVE",IF(H1451&lt;p_min-0.005,"low","OK")))</f>
        <v>OK</v>
      </c>
      <c r="L1451" s="4" t="s">
        <v>414</v>
      </c>
    </row>
    <row r="1452" customFormat="false" ht="15" hidden="false" customHeight="false" outlineLevel="0" collapsed="false">
      <c r="A1452" s="4" t="s">
        <v>44</v>
      </c>
      <c r="B1452" s="4" t="s">
        <v>373</v>
      </c>
      <c r="C1452" s="47" t="n">
        <v>5275.28</v>
      </c>
      <c r="D1452" s="48" t="n">
        <v>1575.85</v>
      </c>
      <c r="E1452" s="49" t="n">
        <f aca="false">D1452-cover</f>
        <v>1574.65</v>
      </c>
      <c r="F1452" s="50" t="n">
        <f aca="false">'Z6 Nkangamo-Uhuru'!S18-'Z6 Nkangamo-Uhuru'!P18*C1452/'Z6 Nkangamo-Uhuru'!G18</f>
        <v>1730.01126956355</v>
      </c>
      <c r="G1452" s="51" t="n">
        <f aca="false">'Z6 Nkangamo-Uhuru'!$B$8-E1452</f>
        <v>131.85</v>
      </c>
      <c r="H1452" s="52" t="n">
        <f aca="false">F1452-E1452</f>
        <v>155.36126956355</v>
      </c>
      <c r="I1452" s="52" t="n">
        <f aca="false">MAX(H1452,G1452)</f>
        <v>155.36126956355</v>
      </c>
      <c r="J1452" s="4" t="str">
        <f aca="false">IFERROR("PN"&amp;SMALL(PN_list,COUNTIF(PN_list,"&lt;"&amp;I1452*bar_per_m)+1),"&gt; max PN")</f>
        <v>PN16</v>
      </c>
      <c r="K1452" s="4" t="str">
        <f aca="false">IF(L1452="no","end at tank",IF(H1452&lt;0,"NEGATIVE",IF(H1452&lt;p_min-0.005,"low","OK")))</f>
        <v>OK</v>
      </c>
      <c r="L1452" s="4" t="s">
        <v>414</v>
      </c>
    </row>
    <row r="1453" customFormat="false" ht="15" hidden="false" customHeight="false" outlineLevel="0" collapsed="false">
      <c r="A1453" s="4" t="s">
        <v>44</v>
      </c>
      <c r="B1453" s="4" t="s">
        <v>373</v>
      </c>
      <c r="C1453" s="47" t="n">
        <v>5295.28</v>
      </c>
      <c r="D1453" s="48" t="n">
        <v>1575.7</v>
      </c>
      <c r="E1453" s="49" t="n">
        <f aca="false">D1453-cover</f>
        <v>1574.5</v>
      </c>
      <c r="F1453" s="50" t="n">
        <f aca="false">'Z6 Nkangamo-Uhuru'!S18-'Z6 Nkangamo-Uhuru'!P18*C1453/'Z6 Nkangamo-Uhuru'!G18</f>
        <v>1729.9801162606</v>
      </c>
      <c r="G1453" s="51" t="n">
        <f aca="false">'Z6 Nkangamo-Uhuru'!$B$8-E1453</f>
        <v>132</v>
      </c>
      <c r="H1453" s="52" t="n">
        <f aca="false">F1453-E1453</f>
        <v>155.480116260603</v>
      </c>
      <c r="I1453" s="52" t="n">
        <f aca="false">MAX(H1453,G1453)</f>
        <v>155.480116260603</v>
      </c>
      <c r="J1453" s="4" t="str">
        <f aca="false">IFERROR("PN"&amp;SMALL(PN_list,COUNTIF(PN_list,"&lt;"&amp;I1453*bar_per_m)+1),"&gt; max PN")</f>
        <v>PN16</v>
      </c>
      <c r="K1453" s="4" t="str">
        <f aca="false">IF(L1453="no","end at tank",IF(H1453&lt;0,"NEGATIVE",IF(H1453&lt;p_min-0.005,"low","OK")))</f>
        <v>OK</v>
      </c>
      <c r="L1453" s="4" t="s">
        <v>414</v>
      </c>
    </row>
    <row r="1454" customFormat="false" ht="15" hidden="false" customHeight="false" outlineLevel="0" collapsed="false">
      <c r="A1454" s="4" t="s">
        <v>44</v>
      </c>
      <c r="B1454" s="4" t="s">
        <v>373</v>
      </c>
      <c r="C1454" s="47" t="n">
        <v>5315.28</v>
      </c>
      <c r="D1454" s="48" t="n">
        <v>1575.54</v>
      </c>
      <c r="E1454" s="49" t="n">
        <f aca="false">D1454-cover</f>
        <v>1574.34</v>
      </c>
      <c r="F1454" s="50" t="n">
        <f aca="false">'Z6 Nkangamo-Uhuru'!S18-'Z6 Nkangamo-Uhuru'!P18*C1454/'Z6 Nkangamo-Uhuru'!G18</f>
        <v>1729.94896295766</v>
      </c>
      <c r="G1454" s="51" t="n">
        <f aca="false">'Z6 Nkangamo-Uhuru'!$B$8-E1454</f>
        <v>132.16</v>
      </c>
      <c r="H1454" s="52" t="n">
        <f aca="false">F1454-E1454</f>
        <v>155.608962957656</v>
      </c>
      <c r="I1454" s="52" t="n">
        <f aca="false">MAX(H1454,G1454)</f>
        <v>155.608962957656</v>
      </c>
      <c r="J1454" s="4" t="str">
        <f aca="false">IFERROR("PN"&amp;SMALL(PN_list,COUNTIF(PN_list,"&lt;"&amp;I1454*bar_per_m)+1),"&gt; max PN")</f>
        <v>PN16</v>
      </c>
      <c r="K1454" s="4" t="str">
        <f aca="false">IF(L1454="no","end at tank",IF(H1454&lt;0,"NEGATIVE",IF(H1454&lt;p_min-0.005,"low","OK")))</f>
        <v>OK</v>
      </c>
      <c r="L1454" s="4" t="s">
        <v>414</v>
      </c>
    </row>
    <row r="1455" customFormat="false" ht="15" hidden="false" customHeight="false" outlineLevel="0" collapsed="false">
      <c r="A1455" s="4" t="s">
        <v>44</v>
      </c>
      <c r="B1455" s="4" t="s">
        <v>373</v>
      </c>
      <c r="C1455" s="47" t="n">
        <v>5335.3</v>
      </c>
      <c r="D1455" s="48" t="n">
        <v>1574.77</v>
      </c>
      <c r="E1455" s="49" t="n">
        <f aca="false">D1455-cover</f>
        <v>1573.57</v>
      </c>
      <c r="F1455" s="50" t="n">
        <f aca="false">'Z6 Nkangamo-Uhuru'!S18-'Z6 Nkangamo-Uhuru'!P18*C1455/'Z6 Nkangamo-Uhuru'!G18</f>
        <v>1729.91777850141</v>
      </c>
      <c r="G1455" s="51" t="n">
        <f aca="false">'Z6 Nkangamo-Uhuru'!$B$8-E1455</f>
        <v>132.93</v>
      </c>
      <c r="H1455" s="52" t="n">
        <f aca="false">F1455-E1455</f>
        <v>156.347778501406</v>
      </c>
      <c r="I1455" s="52" t="n">
        <f aca="false">MAX(H1455,G1455)</f>
        <v>156.347778501406</v>
      </c>
      <c r="J1455" s="4" t="str">
        <f aca="false">IFERROR("PN"&amp;SMALL(PN_list,COUNTIF(PN_list,"&lt;"&amp;I1455*bar_per_m)+1),"&gt; max PN")</f>
        <v>PN16</v>
      </c>
      <c r="K1455" s="4" t="str">
        <f aca="false">IF(L1455="no","end at tank",IF(H1455&lt;0,"NEGATIVE",IF(H1455&lt;p_min-0.005,"low","OK")))</f>
        <v>OK</v>
      </c>
      <c r="L1455" s="4" t="s">
        <v>414</v>
      </c>
    </row>
    <row r="1456" customFormat="false" ht="15" hidden="false" customHeight="false" outlineLevel="0" collapsed="false">
      <c r="A1456" s="4" t="s">
        <v>44</v>
      </c>
      <c r="B1456" s="4" t="s">
        <v>373</v>
      </c>
      <c r="C1456" s="47" t="n">
        <v>5355.3</v>
      </c>
      <c r="D1456" s="48" t="n">
        <v>1574.25</v>
      </c>
      <c r="E1456" s="49" t="n">
        <f aca="false">D1456-cover</f>
        <v>1573.05</v>
      </c>
      <c r="F1456" s="50" t="n">
        <f aca="false">'Z6 Nkangamo-Uhuru'!S18-'Z6 Nkangamo-Uhuru'!P18*C1456/'Z6 Nkangamo-Uhuru'!G18</f>
        <v>1729.88662519846</v>
      </c>
      <c r="G1456" s="51" t="n">
        <f aca="false">'Z6 Nkangamo-Uhuru'!$B$8-E1456</f>
        <v>133.45</v>
      </c>
      <c r="H1456" s="52" t="n">
        <f aca="false">F1456-E1456</f>
        <v>156.836625198459</v>
      </c>
      <c r="I1456" s="52" t="n">
        <f aca="false">MAX(H1456,G1456)</f>
        <v>156.836625198459</v>
      </c>
      <c r="J1456" s="4" t="str">
        <f aca="false">IFERROR("PN"&amp;SMALL(PN_list,COUNTIF(PN_list,"&lt;"&amp;I1456*bar_per_m)+1),"&gt; max PN")</f>
        <v>PN16</v>
      </c>
      <c r="K1456" s="4" t="str">
        <f aca="false">IF(L1456="no","end at tank",IF(H1456&lt;0,"NEGATIVE",IF(H1456&lt;p_min-0.005,"low","OK")))</f>
        <v>OK</v>
      </c>
      <c r="L1456" s="4" t="s">
        <v>414</v>
      </c>
    </row>
    <row r="1457" customFormat="false" ht="15" hidden="false" customHeight="false" outlineLevel="0" collapsed="false">
      <c r="A1457" s="4" t="s">
        <v>44</v>
      </c>
      <c r="B1457" s="4" t="s">
        <v>373</v>
      </c>
      <c r="C1457" s="47" t="n">
        <v>5375.31</v>
      </c>
      <c r="D1457" s="48" t="n">
        <v>1573.59</v>
      </c>
      <c r="E1457" s="49" t="n">
        <f aca="false">D1457-cover</f>
        <v>1572.39</v>
      </c>
      <c r="F1457" s="50" t="n">
        <f aca="false">'Z6 Nkangamo-Uhuru'!S18-'Z6 Nkangamo-Uhuru'!P18*C1457/'Z6 Nkangamo-Uhuru'!G18</f>
        <v>1729.85545631886</v>
      </c>
      <c r="G1457" s="51" t="n">
        <f aca="false">'Z6 Nkangamo-Uhuru'!$B$8-E1457</f>
        <v>134.11</v>
      </c>
      <c r="H1457" s="52" t="n">
        <f aca="false">F1457-E1457</f>
        <v>157.465456318861</v>
      </c>
      <c r="I1457" s="52" t="n">
        <f aca="false">MAX(H1457,G1457)</f>
        <v>157.465456318861</v>
      </c>
      <c r="J1457" s="4" t="str">
        <f aca="false">IFERROR("PN"&amp;SMALL(PN_list,COUNTIF(PN_list,"&lt;"&amp;I1457*bar_per_m)+1),"&gt; max PN")</f>
        <v>PN16</v>
      </c>
      <c r="K1457" s="4" t="str">
        <f aca="false">IF(L1457="no","end at tank",IF(H1457&lt;0,"NEGATIVE",IF(H1457&lt;p_min-0.005,"low","OK")))</f>
        <v>OK</v>
      </c>
      <c r="L1457" s="4" t="s">
        <v>414</v>
      </c>
    </row>
    <row r="1458" customFormat="false" ht="15" hidden="false" customHeight="false" outlineLevel="0" collapsed="false">
      <c r="A1458" s="4" t="s">
        <v>44</v>
      </c>
      <c r="B1458" s="4" t="s">
        <v>373</v>
      </c>
      <c r="C1458" s="47" t="n">
        <v>5395.33</v>
      </c>
      <c r="D1458" s="48" t="n">
        <v>1572.8</v>
      </c>
      <c r="E1458" s="49" t="n">
        <f aca="false">D1458-cover</f>
        <v>1571.6</v>
      </c>
      <c r="F1458" s="50" t="n">
        <f aca="false">'Z6 Nkangamo-Uhuru'!S18-'Z6 Nkangamo-Uhuru'!P18*C1458/'Z6 Nkangamo-Uhuru'!G18</f>
        <v>1729.82427186261</v>
      </c>
      <c r="G1458" s="51" t="n">
        <f aca="false">'Z6 Nkangamo-Uhuru'!$B$8-E1458</f>
        <v>134.9</v>
      </c>
      <c r="H1458" s="52" t="n">
        <f aca="false">F1458-E1458</f>
        <v>158.224271862611</v>
      </c>
      <c r="I1458" s="52" t="n">
        <f aca="false">MAX(H1458,G1458)</f>
        <v>158.224271862611</v>
      </c>
      <c r="J1458" s="4" t="str">
        <f aca="false">IFERROR("PN"&amp;SMALL(PN_list,COUNTIF(PN_list,"&lt;"&amp;I1458*bar_per_m)+1),"&gt; max PN")</f>
        <v>PN16</v>
      </c>
      <c r="K1458" s="4" t="str">
        <f aca="false">IF(L1458="no","end at tank",IF(H1458&lt;0,"NEGATIVE",IF(H1458&lt;p_min-0.005,"low","OK")))</f>
        <v>OK</v>
      </c>
      <c r="L1458" s="4" t="s">
        <v>414</v>
      </c>
    </row>
    <row r="1459" customFormat="false" ht="15" hidden="false" customHeight="false" outlineLevel="0" collapsed="false">
      <c r="A1459" s="4" t="s">
        <v>44</v>
      </c>
      <c r="B1459" s="4" t="s">
        <v>373</v>
      </c>
      <c r="C1459" s="47" t="n">
        <v>5415.36</v>
      </c>
      <c r="D1459" s="48" t="n">
        <v>1571.75</v>
      </c>
      <c r="E1459" s="49" t="n">
        <f aca="false">D1459-cover</f>
        <v>1570.55</v>
      </c>
      <c r="F1459" s="50" t="n">
        <f aca="false">'Z6 Nkangamo-Uhuru'!S18-'Z6 Nkangamo-Uhuru'!P18*C1459/'Z6 Nkangamo-Uhuru'!G18</f>
        <v>1729.79307182971</v>
      </c>
      <c r="G1459" s="51" t="n">
        <f aca="false">'Z6 Nkangamo-Uhuru'!$B$8-E1459</f>
        <v>135.95</v>
      </c>
      <c r="H1459" s="52" t="n">
        <f aca="false">F1459-E1459</f>
        <v>159.24307182971</v>
      </c>
      <c r="I1459" s="52" t="n">
        <f aca="false">MAX(H1459,G1459)</f>
        <v>159.24307182971</v>
      </c>
      <c r="J1459" s="4" t="str">
        <f aca="false">IFERROR("PN"&amp;SMALL(PN_list,COUNTIF(PN_list,"&lt;"&amp;I1459*bar_per_m)+1),"&gt; max PN")</f>
        <v>PN16</v>
      </c>
      <c r="K1459" s="4" t="str">
        <f aca="false">IF(L1459="no","end at tank",IF(H1459&lt;0,"NEGATIVE",IF(H1459&lt;p_min-0.005,"low","OK")))</f>
        <v>OK</v>
      </c>
      <c r="L1459" s="4" t="s">
        <v>414</v>
      </c>
    </row>
    <row r="1460" customFormat="false" ht="15" hidden="false" customHeight="false" outlineLevel="0" collapsed="false">
      <c r="A1460" s="4" t="s">
        <v>44</v>
      </c>
      <c r="B1460" s="4" t="s">
        <v>373</v>
      </c>
      <c r="C1460" s="47" t="n">
        <v>5435.36</v>
      </c>
      <c r="D1460" s="48" t="n">
        <v>1571.8</v>
      </c>
      <c r="E1460" s="49" t="n">
        <f aca="false">D1460-cover</f>
        <v>1570.6</v>
      </c>
      <c r="F1460" s="50" t="n">
        <f aca="false">'Z6 Nkangamo-Uhuru'!S18-'Z6 Nkangamo-Uhuru'!P18*C1460/'Z6 Nkangamo-Uhuru'!G18</f>
        <v>1729.76191852676</v>
      </c>
      <c r="G1460" s="51" t="n">
        <f aca="false">'Z6 Nkangamo-Uhuru'!$B$8-E1460</f>
        <v>135.9</v>
      </c>
      <c r="H1460" s="52" t="n">
        <f aca="false">F1460-E1460</f>
        <v>159.161918526763</v>
      </c>
      <c r="I1460" s="52" t="n">
        <f aca="false">MAX(H1460,G1460)</f>
        <v>159.161918526763</v>
      </c>
      <c r="J1460" s="4" t="str">
        <f aca="false">IFERROR("PN"&amp;SMALL(PN_list,COUNTIF(PN_list,"&lt;"&amp;I1460*bar_per_m)+1),"&gt; max PN")</f>
        <v>PN16</v>
      </c>
      <c r="K1460" s="4" t="str">
        <f aca="false">IF(L1460="no","end at tank",IF(H1460&lt;0,"NEGATIVE",IF(H1460&lt;p_min-0.005,"low","OK")))</f>
        <v>OK</v>
      </c>
      <c r="L1460" s="4" t="s">
        <v>414</v>
      </c>
    </row>
    <row r="1461" customFormat="false" ht="15" hidden="false" customHeight="false" outlineLevel="0" collapsed="false">
      <c r="A1461" s="4" t="s">
        <v>44</v>
      </c>
      <c r="B1461" s="4" t="s">
        <v>373</v>
      </c>
      <c r="C1461" s="47" t="n">
        <v>5455.43</v>
      </c>
      <c r="D1461" s="48" t="n">
        <v>1570.14</v>
      </c>
      <c r="E1461" s="49" t="n">
        <f aca="false">D1461-cover</f>
        <v>1568.94</v>
      </c>
      <c r="F1461" s="50" t="n">
        <f aca="false">'Z6 Nkangamo-Uhuru'!S18-'Z6 Nkangamo-Uhuru'!P18*C1461/'Z6 Nkangamo-Uhuru'!G18</f>
        <v>1729.73065618726</v>
      </c>
      <c r="G1461" s="51" t="n">
        <f aca="false">'Z6 Nkangamo-Uhuru'!$B$8-E1461</f>
        <v>137.56</v>
      </c>
      <c r="H1461" s="52" t="n">
        <f aca="false">F1461-E1461</f>
        <v>160.790656187256</v>
      </c>
      <c r="I1461" s="52" t="n">
        <f aca="false">MAX(H1461,G1461)</f>
        <v>160.790656187256</v>
      </c>
      <c r="J1461" s="4" t="str">
        <f aca="false">IFERROR("PN"&amp;SMALL(PN_list,COUNTIF(PN_list,"&lt;"&amp;I1461*bar_per_m)+1),"&gt; max PN")</f>
        <v>PN16</v>
      </c>
      <c r="K1461" s="4" t="str">
        <f aca="false">IF(L1461="no","end at tank",IF(H1461&lt;0,"NEGATIVE",IF(H1461&lt;p_min-0.005,"low","OK")))</f>
        <v>OK</v>
      </c>
      <c r="L1461" s="4" t="s">
        <v>414</v>
      </c>
    </row>
    <row r="1462" customFormat="false" ht="15" hidden="false" customHeight="false" outlineLevel="0" collapsed="false">
      <c r="A1462" s="4" t="s">
        <v>44</v>
      </c>
      <c r="B1462" s="4" t="s">
        <v>373</v>
      </c>
      <c r="C1462" s="47" t="n">
        <v>5475.43</v>
      </c>
      <c r="D1462" s="48" t="n">
        <v>1569.65</v>
      </c>
      <c r="E1462" s="49" t="n">
        <f aca="false">D1462-cover</f>
        <v>1568.45</v>
      </c>
      <c r="F1462" s="50" t="n">
        <f aca="false">'Z6 Nkangamo-Uhuru'!S18-'Z6 Nkangamo-Uhuru'!P18*C1462/'Z6 Nkangamo-Uhuru'!G18</f>
        <v>1729.69950288431</v>
      </c>
      <c r="G1462" s="51" t="n">
        <f aca="false">'Z6 Nkangamo-Uhuru'!$B$8-E1462</f>
        <v>138.05</v>
      </c>
      <c r="H1462" s="52" t="n">
        <f aca="false">F1462-E1462</f>
        <v>161.249502884309</v>
      </c>
      <c r="I1462" s="52" t="n">
        <f aca="false">MAX(H1462,G1462)</f>
        <v>161.249502884309</v>
      </c>
      <c r="J1462" s="4" t="str">
        <f aca="false">IFERROR("PN"&amp;SMALL(PN_list,COUNTIF(PN_list,"&lt;"&amp;I1462*bar_per_m)+1),"&gt; max PN")</f>
        <v>PN16</v>
      </c>
      <c r="K1462" s="4" t="str">
        <f aca="false">IF(L1462="no","end at tank",IF(H1462&lt;0,"NEGATIVE",IF(H1462&lt;p_min-0.005,"low","OK")))</f>
        <v>OK</v>
      </c>
      <c r="L1462" s="4" t="s">
        <v>414</v>
      </c>
    </row>
    <row r="1463" customFormat="false" ht="15" hidden="false" customHeight="false" outlineLevel="0" collapsed="false">
      <c r="A1463" s="4" t="s">
        <v>44</v>
      </c>
      <c r="B1463" s="4" t="s">
        <v>373</v>
      </c>
      <c r="C1463" s="47" t="n">
        <v>5495.47</v>
      </c>
      <c r="D1463" s="48" t="n">
        <v>1568.41</v>
      </c>
      <c r="E1463" s="49" t="n">
        <f aca="false">D1463-cover</f>
        <v>1567.21</v>
      </c>
      <c r="F1463" s="50" t="n">
        <f aca="false">'Z6 Nkangamo-Uhuru'!S18-'Z6 Nkangamo-Uhuru'!P18*C1463/'Z6 Nkangamo-Uhuru'!G18</f>
        <v>1729.66828727476</v>
      </c>
      <c r="G1463" s="51" t="n">
        <f aca="false">'Z6 Nkangamo-Uhuru'!$B$8-E1463</f>
        <v>139.29</v>
      </c>
      <c r="H1463" s="52" t="n">
        <f aca="false">F1463-E1463</f>
        <v>162.458287274756</v>
      </c>
      <c r="I1463" s="52" t="n">
        <f aca="false">MAX(H1463,G1463)</f>
        <v>162.458287274756</v>
      </c>
      <c r="J1463" s="4" t="str">
        <f aca="false">IFERROR("PN"&amp;SMALL(PN_list,COUNTIF(PN_list,"&lt;"&amp;I1463*bar_per_m)+1),"&gt; max PN")</f>
        <v>PN16</v>
      </c>
      <c r="K1463" s="4" t="str">
        <f aca="false">IF(L1463="no","end at tank",IF(H1463&lt;0,"NEGATIVE",IF(H1463&lt;p_min-0.005,"low","OK")))</f>
        <v>OK</v>
      </c>
      <c r="L1463" s="4" t="s">
        <v>414</v>
      </c>
    </row>
    <row r="1464" customFormat="false" ht="15" hidden="false" customHeight="false" outlineLevel="0" collapsed="false">
      <c r="A1464" s="4" t="s">
        <v>44</v>
      </c>
      <c r="B1464" s="4" t="s">
        <v>373</v>
      </c>
      <c r="C1464" s="47" t="n">
        <v>5515.49</v>
      </c>
      <c r="D1464" s="48" t="n">
        <v>1567.57</v>
      </c>
      <c r="E1464" s="49" t="n">
        <f aca="false">D1464-cover</f>
        <v>1566.37</v>
      </c>
      <c r="F1464" s="50" t="n">
        <f aca="false">'Z6 Nkangamo-Uhuru'!S18-'Z6 Nkangamo-Uhuru'!P18*C1464/'Z6 Nkangamo-Uhuru'!G18</f>
        <v>1729.63710281851</v>
      </c>
      <c r="G1464" s="51" t="n">
        <f aca="false">'Z6 Nkangamo-Uhuru'!$B$8-E1464</f>
        <v>140.13</v>
      </c>
      <c r="H1464" s="52" t="n">
        <f aca="false">F1464-E1464</f>
        <v>163.267102818507</v>
      </c>
      <c r="I1464" s="52" t="n">
        <f aca="false">MAX(H1464,G1464)</f>
        <v>163.267102818507</v>
      </c>
      <c r="J1464" s="4" t="str">
        <f aca="false">IFERROR("PN"&amp;SMALL(PN_list,COUNTIF(PN_list,"&lt;"&amp;I1464*bar_per_m)+1),"&gt; max PN")</f>
        <v>PN25</v>
      </c>
      <c r="K1464" s="4" t="str">
        <f aca="false">IF(L1464="no","end at tank",IF(H1464&lt;0,"NEGATIVE",IF(H1464&lt;p_min-0.005,"low","OK")))</f>
        <v>OK</v>
      </c>
      <c r="L1464" s="4" t="s">
        <v>414</v>
      </c>
    </row>
    <row r="1465" customFormat="false" ht="15" hidden="false" customHeight="false" outlineLevel="0" collapsed="false">
      <c r="A1465" s="4" t="s">
        <v>44</v>
      </c>
      <c r="B1465" s="4" t="s">
        <v>373</v>
      </c>
      <c r="C1465" s="47" t="n">
        <v>5535.52</v>
      </c>
      <c r="D1465" s="48" t="n">
        <v>1566.44</v>
      </c>
      <c r="E1465" s="49" t="n">
        <f aca="false">D1465-cover</f>
        <v>1565.24</v>
      </c>
      <c r="F1465" s="50" t="n">
        <f aca="false">'Z6 Nkangamo-Uhuru'!S18-'Z6 Nkangamo-Uhuru'!P18*C1465/'Z6 Nkangamo-Uhuru'!G18</f>
        <v>1729.60590278561</v>
      </c>
      <c r="G1465" s="51" t="n">
        <f aca="false">'Z6 Nkangamo-Uhuru'!$B$8-E1465</f>
        <v>141.26</v>
      </c>
      <c r="H1465" s="52" t="n">
        <f aca="false">F1465-E1465</f>
        <v>164.365902785606</v>
      </c>
      <c r="I1465" s="52" t="n">
        <f aca="false">MAX(H1465,G1465)</f>
        <v>164.365902785606</v>
      </c>
      <c r="J1465" s="4" t="str">
        <f aca="false">IFERROR("PN"&amp;SMALL(PN_list,COUNTIF(PN_list,"&lt;"&amp;I1465*bar_per_m)+1),"&gt; max PN")</f>
        <v>PN25</v>
      </c>
      <c r="K1465" s="4" t="str">
        <f aca="false">IF(L1465="no","end at tank",IF(H1465&lt;0,"NEGATIVE",IF(H1465&lt;p_min-0.005,"low","OK")))</f>
        <v>OK</v>
      </c>
      <c r="L1465" s="4" t="s">
        <v>414</v>
      </c>
    </row>
    <row r="1466" customFormat="false" ht="15" hidden="false" customHeight="false" outlineLevel="0" collapsed="false">
      <c r="A1466" s="4" t="s">
        <v>44</v>
      </c>
      <c r="B1466" s="4" t="s">
        <v>373</v>
      </c>
      <c r="C1466" s="47" t="n">
        <v>5555.57</v>
      </c>
      <c r="D1466" s="48" t="n">
        <v>1565.07</v>
      </c>
      <c r="E1466" s="49" t="n">
        <f aca="false">D1466-cover</f>
        <v>1563.87</v>
      </c>
      <c r="F1466" s="50" t="n">
        <f aca="false">'Z6 Nkangamo-Uhuru'!S18-'Z6 Nkangamo-Uhuru'!P18*C1466/'Z6 Nkangamo-Uhuru'!G18</f>
        <v>1729.5746715994</v>
      </c>
      <c r="G1466" s="51" t="n">
        <f aca="false">'Z6 Nkangamo-Uhuru'!$B$8-E1466</f>
        <v>142.63</v>
      </c>
      <c r="H1466" s="52" t="n">
        <f aca="false">F1466-E1466</f>
        <v>165.704671599402</v>
      </c>
      <c r="I1466" s="52" t="n">
        <f aca="false">MAX(H1466,G1466)</f>
        <v>165.704671599402</v>
      </c>
      <c r="J1466" s="4" t="str">
        <f aca="false">IFERROR("PN"&amp;SMALL(PN_list,COUNTIF(PN_list,"&lt;"&amp;I1466*bar_per_m)+1),"&gt; max PN")</f>
        <v>PN25</v>
      </c>
      <c r="K1466" s="4" t="str">
        <f aca="false">IF(L1466="no","end at tank",IF(H1466&lt;0,"NEGATIVE",IF(H1466&lt;p_min-0.005,"low","OK")))</f>
        <v>OK</v>
      </c>
      <c r="L1466" s="4" t="s">
        <v>414</v>
      </c>
    </row>
    <row r="1467" customFormat="false" ht="15" hidden="false" customHeight="false" outlineLevel="0" collapsed="false">
      <c r="A1467" s="4" t="s">
        <v>44</v>
      </c>
      <c r="B1467" s="4" t="s">
        <v>373</v>
      </c>
      <c r="C1467" s="47" t="n">
        <v>5575.61</v>
      </c>
      <c r="D1467" s="48" t="n">
        <v>1563.73</v>
      </c>
      <c r="E1467" s="49" t="n">
        <f aca="false">D1467-cover</f>
        <v>1562.53</v>
      </c>
      <c r="F1467" s="50" t="n">
        <f aca="false">'Z6 Nkangamo-Uhuru'!S18-'Z6 Nkangamo-Uhuru'!P18*C1467/'Z6 Nkangamo-Uhuru'!G18</f>
        <v>1729.54345598985</v>
      </c>
      <c r="G1467" s="51" t="n">
        <f aca="false">'Z6 Nkangamo-Uhuru'!$B$8-E1467</f>
        <v>143.97</v>
      </c>
      <c r="H1467" s="52" t="n">
        <f aca="false">F1467-E1467</f>
        <v>167.013455989849</v>
      </c>
      <c r="I1467" s="52" t="n">
        <f aca="false">MAX(H1467,G1467)</f>
        <v>167.013455989849</v>
      </c>
      <c r="J1467" s="4" t="str">
        <f aca="false">IFERROR("PN"&amp;SMALL(PN_list,COUNTIF(PN_list,"&lt;"&amp;I1467*bar_per_m)+1),"&gt; max PN")</f>
        <v>PN25</v>
      </c>
      <c r="K1467" s="4" t="str">
        <f aca="false">IF(L1467="no","end at tank",IF(H1467&lt;0,"NEGATIVE",IF(H1467&lt;p_min-0.005,"low","OK")))</f>
        <v>OK</v>
      </c>
      <c r="L1467" s="4" t="s">
        <v>414</v>
      </c>
    </row>
    <row r="1468" customFormat="false" ht="15" hidden="false" customHeight="false" outlineLevel="0" collapsed="false">
      <c r="A1468" s="4" t="s">
        <v>44</v>
      </c>
      <c r="B1468" s="4" t="s">
        <v>373</v>
      </c>
      <c r="C1468" s="47" t="n">
        <v>5595.67</v>
      </c>
      <c r="D1468" s="48" t="n">
        <v>1562.15</v>
      </c>
      <c r="E1468" s="49" t="n">
        <f aca="false">D1468-cover</f>
        <v>1560.95</v>
      </c>
      <c r="F1468" s="50" t="n">
        <f aca="false">'Z6 Nkangamo-Uhuru'!S18-'Z6 Nkangamo-Uhuru'!P18*C1468/'Z6 Nkangamo-Uhuru'!G18</f>
        <v>1729.51220922699</v>
      </c>
      <c r="G1468" s="51" t="n">
        <f aca="false">'Z6 Nkangamo-Uhuru'!$B$8-E1468</f>
        <v>145.55</v>
      </c>
      <c r="H1468" s="52" t="n">
        <f aca="false">F1468-E1468</f>
        <v>168.562209226993</v>
      </c>
      <c r="I1468" s="52" t="n">
        <f aca="false">MAX(H1468,G1468)</f>
        <v>168.562209226993</v>
      </c>
      <c r="J1468" s="4" t="str">
        <f aca="false">IFERROR("PN"&amp;SMALL(PN_list,COUNTIF(PN_list,"&lt;"&amp;I1468*bar_per_m)+1),"&gt; max PN")</f>
        <v>PN25</v>
      </c>
      <c r="K1468" s="4" t="str">
        <f aca="false">IF(L1468="no","end at tank",IF(H1468&lt;0,"NEGATIVE",IF(H1468&lt;p_min-0.005,"low","OK")))</f>
        <v>OK</v>
      </c>
      <c r="L1468" s="4" t="s">
        <v>414</v>
      </c>
    </row>
    <row r="1469" customFormat="false" ht="15" hidden="false" customHeight="false" outlineLevel="0" collapsed="false">
      <c r="A1469" s="4" t="s">
        <v>44</v>
      </c>
      <c r="B1469" s="4" t="s">
        <v>373</v>
      </c>
      <c r="C1469" s="47" t="n">
        <v>5615.67</v>
      </c>
      <c r="D1469" s="48" t="n">
        <v>1562.14</v>
      </c>
      <c r="E1469" s="49" t="n">
        <f aca="false">D1469-cover</f>
        <v>1560.94</v>
      </c>
      <c r="F1469" s="50" t="n">
        <f aca="false">'Z6 Nkangamo-Uhuru'!S18-'Z6 Nkangamo-Uhuru'!P18*C1469/'Z6 Nkangamo-Uhuru'!G18</f>
        <v>1729.48105592405</v>
      </c>
      <c r="G1469" s="51" t="n">
        <f aca="false">'Z6 Nkangamo-Uhuru'!$B$8-E1469</f>
        <v>145.56</v>
      </c>
      <c r="H1469" s="52" t="n">
        <f aca="false">F1469-E1469</f>
        <v>168.541055924046</v>
      </c>
      <c r="I1469" s="52" t="n">
        <f aca="false">MAX(H1469,G1469)</f>
        <v>168.541055924046</v>
      </c>
      <c r="J1469" s="4" t="str">
        <f aca="false">IFERROR("PN"&amp;SMALL(PN_list,COUNTIF(PN_list,"&lt;"&amp;I1469*bar_per_m)+1),"&gt; max PN")</f>
        <v>PN25</v>
      </c>
      <c r="K1469" s="4" t="str">
        <f aca="false">IF(L1469="no","end at tank",IF(H1469&lt;0,"NEGATIVE",IF(H1469&lt;p_min-0.005,"low","OK")))</f>
        <v>OK</v>
      </c>
      <c r="L1469" s="4" t="s">
        <v>414</v>
      </c>
    </row>
    <row r="1470" customFormat="false" ht="15" hidden="false" customHeight="false" outlineLevel="0" collapsed="false">
      <c r="A1470" s="4" t="s">
        <v>44</v>
      </c>
      <c r="B1470" s="4" t="s">
        <v>373</v>
      </c>
      <c r="C1470" s="47" t="n">
        <v>5635.68</v>
      </c>
      <c r="D1470" s="48" t="n">
        <v>1561.57</v>
      </c>
      <c r="E1470" s="49" t="n">
        <f aca="false">D1470-cover</f>
        <v>1560.37</v>
      </c>
      <c r="F1470" s="50" t="n">
        <f aca="false">'Z6 Nkangamo-Uhuru'!S18-'Z6 Nkangamo-Uhuru'!P18*C1470/'Z6 Nkangamo-Uhuru'!G18</f>
        <v>1729.44988704445</v>
      </c>
      <c r="G1470" s="51" t="n">
        <f aca="false">'Z6 Nkangamo-Uhuru'!$B$8-E1470</f>
        <v>146.13</v>
      </c>
      <c r="H1470" s="52" t="n">
        <f aca="false">F1470-E1470</f>
        <v>169.079887044448</v>
      </c>
      <c r="I1470" s="52" t="n">
        <f aca="false">MAX(H1470,G1470)</f>
        <v>169.079887044448</v>
      </c>
      <c r="J1470" s="4" t="str">
        <f aca="false">IFERROR("PN"&amp;SMALL(PN_list,COUNTIF(PN_list,"&lt;"&amp;I1470*bar_per_m)+1),"&gt; max PN")</f>
        <v>PN25</v>
      </c>
      <c r="K1470" s="4" t="str">
        <f aca="false">IF(L1470="no","end at tank",IF(H1470&lt;0,"NEGATIVE",IF(H1470&lt;p_min-0.005,"low","OK")))</f>
        <v>OK</v>
      </c>
      <c r="L1470" s="4" t="s">
        <v>414</v>
      </c>
    </row>
    <row r="1471" customFormat="false" ht="15" hidden="false" customHeight="false" outlineLevel="0" collapsed="false">
      <c r="A1471" s="4" t="s">
        <v>44</v>
      </c>
      <c r="B1471" s="4" t="s">
        <v>373</v>
      </c>
      <c r="C1471" s="47" t="n">
        <v>5655.88</v>
      </c>
      <c r="D1471" s="48" t="n">
        <v>1564.38</v>
      </c>
      <c r="E1471" s="49" t="n">
        <f aca="false">D1471-cover</f>
        <v>1563.18</v>
      </c>
      <c r="F1471" s="50" t="n">
        <f aca="false">'Z6 Nkangamo-Uhuru'!S18-'Z6 Nkangamo-Uhuru'!P18*C1471/'Z6 Nkangamo-Uhuru'!G18</f>
        <v>1729.41842220847</v>
      </c>
      <c r="G1471" s="51" t="n">
        <f aca="false">'Z6 Nkangamo-Uhuru'!$B$8-E1471</f>
        <v>143.32</v>
      </c>
      <c r="H1471" s="52" t="n">
        <f aca="false">F1471-E1471</f>
        <v>166.238422208472</v>
      </c>
      <c r="I1471" s="52" t="n">
        <f aca="false">MAX(H1471,G1471)</f>
        <v>166.238422208472</v>
      </c>
      <c r="J1471" s="4" t="str">
        <f aca="false">IFERROR("PN"&amp;SMALL(PN_list,COUNTIF(PN_list,"&lt;"&amp;I1471*bar_per_m)+1),"&gt; max PN")</f>
        <v>PN25</v>
      </c>
      <c r="K1471" s="4" t="str">
        <f aca="false">IF(L1471="no","end at tank",IF(H1471&lt;0,"NEGATIVE",IF(H1471&lt;p_min-0.005,"low","OK")))</f>
        <v>OK</v>
      </c>
      <c r="L1471" s="4" t="s">
        <v>414</v>
      </c>
    </row>
    <row r="1472" customFormat="false" ht="15" hidden="false" customHeight="false" outlineLevel="0" collapsed="false">
      <c r="A1472" s="4" t="s">
        <v>44</v>
      </c>
      <c r="B1472" s="4" t="s">
        <v>373</v>
      </c>
      <c r="C1472" s="47" t="n">
        <v>5675.89</v>
      </c>
      <c r="D1472" s="48" t="n">
        <v>1565.16</v>
      </c>
      <c r="E1472" s="49" t="n">
        <f aca="false">D1472-cover</f>
        <v>1563.96</v>
      </c>
      <c r="F1472" s="50" t="n">
        <f aca="false">'Z6 Nkangamo-Uhuru'!S18-'Z6 Nkangamo-Uhuru'!P18*C1472/'Z6 Nkangamo-Uhuru'!G18</f>
        <v>1729.38725332887</v>
      </c>
      <c r="G1472" s="51" t="n">
        <f aca="false">'Z6 Nkangamo-Uhuru'!$B$8-E1472</f>
        <v>142.54</v>
      </c>
      <c r="H1472" s="52" t="n">
        <f aca="false">F1472-E1472</f>
        <v>165.427253328873</v>
      </c>
      <c r="I1472" s="52" t="n">
        <f aca="false">MAX(H1472,G1472)</f>
        <v>165.427253328873</v>
      </c>
      <c r="J1472" s="4" t="str">
        <f aca="false">IFERROR("PN"&amp;SMALL(PN_list,COUNTIF(PN_list,"&lt;"&amp;I1472*bar_per_m)+1),"&gt; max PN")</f>
        <v>PN25</v>
      </c>
      <c r="K1472" s="4" t="str">
        <f aca="false">IF(L1472="no","end at tank",IF(H1472&lt;0,"NEGATIVE",IF(H1472&lt;p_min-0.005,"low","OK")))</f>
        <v>OK</v>
      </c>
      <c r="L1472" s="4" t="s">
        <v>414</v>
      </c>
    </row>
    <row r="1473" customFormat="false" ht="15" hidden="false" customHeight="false" outlineLevel="0" collapsed="false">
      <c r="A1473" s="4" t="s">
        <v>44</v>
      </c>
      <c r="B1473" s="4" t="s">
        <v>373</v>
      </c>
      <c r="C1473" s="47" t="n">
        <v>5695.91</v>
      </c>
      <c r="D1473" s="48" t="n">
        <v>1565.87</v>
      </c>
      <c r="E1473" s="49" t="n">
        <f aca="false">D1473-cover</f>
        <v>1564.67</v>
      </c>
      <c r="F1473" s="50" t="n">
        <f aca="false">'Z6 Nkangamo-Uhuru'!S18-'Z6 Nkangamo-Uhuru'!P18*C1473/'Z6 Nkangamo-Uhuru'!G18</f>
        <v>1729.35606887262</v>
      </c>
      <c r="G1473" s="51" t="n">
        <f aca="false">'Z6 Nkangamo-Uhuru'!$B$8-E1473</f>
        <v>141.83</v>
      </c>
      <c r="H1473" s="52" t="n">
        <f aca="false">F1473-E1473</f>
        <v>164.686068872624</v>
      </c>
      <c r="I1473" s="52" t="n">
        <f aca="false">MAX(H1473,G1473)</f>
        <v>164.686068872624</v>
      </c>
      <c r="J1473" s="4" t="str">
        <f aca="false">IFERROR("PN"&amp;SMALL(PN_list,COUNTIF(PN_list,"&lt;"&amp;I1473*bar_per_m)+1),"&gt; max PN")</f>
        <v>PN25</v>
      </c>
      <c r="K1473" s="4" t="str">
        <f aca="false">IF(L1473="no","end at tank",IF(H1473&lt;0,"NEGATIVE",IF(H1473&lt;p_min-0.005,"low","OK")))</f>
        <v>OK</v>
      </c>
      <c r="L1473" s="4" t="s">
        <v>414</v>
      </c>
    </row>
    <row r="1474" customFormat="false" ht="15" hidden="false" customHeight="false" outlineLevel="0" collapsed="false">
      <c r="A1474" s="4" t="s">
        <v>44</v>
      </c>
      <c r="B1474" s="4" t="s">
        <v>373</v>
      </c>
      <c r="C1474" s="47" t="n">
        <v>5715.91</v>
      </c>
      <c r="D1474" s="48" t="n">
        <v>1565.64</v>
      </c>
      <c r="E1474" s="49" t="n">
        <f aca="false">D1474-cover</f>
        <v>1564.44</v>
      </c>
      <c r="F1474" s="50" t="n">
        <f aca="false">'Z6 Nkangamo-Uhuru'!S18-'Z6 Nkangamo-Uhuru'!P18*C1474/'Z6 Nkangamo-Uhuru'!G18</f>
        <v>1729.32491556968</v>
      </c>
      <c r="G1474" s="51" t="n">
        <f aca="false">'Z6 Nkangamo-Uhuru'!$B$8-E1474</f>
        <v>142.06</v>
      </c>
      <c r="H1474" s="52" t="n">
        <f aca="false">F1474-E1474</f>
        <v>164.884915569677</v>
      </c>
      <c r="I1474" s="52" t="n">
        <f aca="false">MAX(H1474,G1474)</f>
        <v>164.884915569677</v>
      </c>
      <c r="J1474" s="4" t="str">
        <f aca="false">IFERROR("PN"&amp;SMALL(PN_list,COUNTIF(PN_list,"&lt;"&amp;I1474*bar_per_m)+1),"&gt; max PN")</f>
        <v>PN25</v>
      </c>
      <c r="K1474" s="4" t="str">
        <f aca="false">IF(L1474="no","end at tank",IF(H1474&lt;0,"NEGATIVE",IF(H1474&lt;p_min-0.005,"low","OK")))</f>
        <v>OK</v>
      </c>
      <c r="L1474" s="4" t="s">
        <v>414</v>
      </c>
    </row>
    <row r="1475" customFormat="false" ht="15" hidden="false" customHeight="false" outlineLevel="0" collapsed="false">
      <c r="A1475" s="4" t="s">
        <v>44</v>
      </c>
      <c r="B1475" s="4" t="s">
        <v>373</v>
      </c>
      <c r="C1475" s="47" t="n">
        <v>5735.91</v>
      </c>
      <c r="D1475" s="48" t="n">
        <v>1565.43</v>
      </c>
      <c r="E1475" s="49" t="n">
        <f aca="false">D1475-cover</f>
        <v>1564.23</v>
      </c>
      <c r="F1475" s="50" t="n">
        <f aca="false">'Z6 Nkangamo-Uhuru'!S18-'Z6 Nkangamo-Uhuru'!P18*C1475/'Z6 Nkangamo-Uhuru'!G18</f>
        <v>1729.29376226673</v>
      </c>
      <c r="G1475" s="51" t="n">
        <f aca="false">'Z6 Nkangamo-Uhuru'!$B$8-E1475</f>
        <v>142.27</v>
      </c>
      <c r="H1475" s="52" t="n">
        <f aca="false">F1475-E1475</f>
        <v>165.06376226673</v>
      </c>
      <c r="I1475" s="52" t="n">
        <f aca="false">MAX(H1475,G1475)</f>
        <v>165.06376226673</v>
      </c>
      <c r="J1475" s="4" t="str">
        <f aca="false">IFERROR("PN"&amp;SMALL(PN_list,COUNTIF(PN_list,"&lt;"&amp;I1475*bar_per_m)+1),"&gt; max PN")</f>
        <v>PN25</v>
      </c>
      <c r="K1475" s="4" t="str">
        <f aca="false">IF(L1475="no","end at tank",IF(H1475&lt;0,"NEGATIVE",IF(H1475&lt;p_min-0.005,"low","OK")))</f>
        <v>OK</v>
      </c>
      <c r="L1475" s="4" t="s">
        <v>414</v>
      </c>
    </row>
    <row r="1476" customFormat="false" ht="15" hidden="false" customHeight="false" outlineLevel="0" collapsed="false">
      <c r="A1476" s="4" t="s">
        <v>44</v>
      </c>
      <c r="B1476" s="4" t="s">
        <v>373</v>
      </c>
      <c r="C1476" s="47" t="n">
        <v>5755.91</v>
      </c>
      <c r="D1476" s="48" t="n">
        <v>1565.88</v>
      </c>
      <c r="E1476" s="49" t="n">
        <f aca="false">D1476-cover</f>
        <v>1564.68</v>
      </c>
      <c r="F1476" s="50" t="n">
        <f aca="false">'Z6 Nkangamo-Uhuru'!S18-'Z6 Nkangamo-Uhuru'!P18*C1476/'Z6 Nkangamo-Uhuru'!G18</f>
        <v>1729.26260896378</v>
      </c>
      <c r="G1476" s="51" t="n">
        <f aca="false">'Z6 Nkangamo-Uhuru'!$B$8-E1476</f>
        <v>141.82</v>
      </c>
      <c r="H1476" s="52" t="n">
        <f aca="false">F1476-E1476</f>
        <v>164.582608963783</v>
      </c>
      <c r="I1476" s="52" t="n">
        <f aca="false">MAX(H1476,G1476)</f>
        <v>164.582608963783</v>
      </c>
      <c r="J1476" s="4" t="str">
        <f aca="false">IFERROR("PN"&amp;SMALL(PN_list,COUNTIF(PN_list,"&lt;"&amp;I1476*bar_per_m)+1),"&gt; max PN")</f>
        <v>PN25</v>
      </c>
      <c r="K1476" s="4" t="str">
        <f aca="false">IF(L1476="no","end at tank",IF(H1476&lt;0,"NEGATIVE",IF(H1476&lt;p_min-0.005,"low","OK")))</f>
        <v>OK</v>
      </c>
      <c r="L1476" s="4" t="s">
        <v>414</v>
      </c>
    </row>
    <row r="1477" customFormat="false" ht="15" hidden="false" customHeight="false" outlineLevel="0" collapsed="false">
      <c r="A1477" s="4" t="s">
        <v>44</v>
      </c>
      <c r="B1477" s="4" t="s">
        <v>373</v>
      </c>
      <c r="C1477" s="47" t="n">
        <v>5776.05</v>
      </c>
      <c r="D1477" s="48" t="n">
        <v>1568.24</v>
      </c>
      <c r="E1477" s="49" t="n">
        <f aca="false">D1477-cover</f>
        <v>1567.04</v>
      </c>
      <c r="F1477" s="50" t="n">
        <f aca="false">'Z6 Nkangamo-Uhuru'!S18-'Z6 Nkangamo-Uhuru'!P18*C1477/'Z6 Nkangamo-Uhuru'!G18</f>
        <v>1729.23123758772</v>
      </c>
      <c r="G1477" s="51" t="n">
        <f aca="false">'Z6 Nkangamo-Uhuru'!$B$8-E1477</f>
        <v>139.46</v>
      </c>
      <c r="H1477" s="52" t="n">
        <f aca="false">F1477-E1477</f>
        <v>162.191237587716</v>
      </c>
      <c r="I1477" s="52" t="n">
        <f aca="false">MAX(H1477,G1477)</f>
        <v>162.191237587716</v>
      </c>
      <c r="J1477" s="4" t="str">
        <f aca="false">IFERROR("PN"&amp;SMALL(PN_list,COUNTIF(PN_list,"&lt;"&amp;I1477*bar_per_m)+1),"&gt; max PN")</f>
        <v>PN16</v>
      </c>
      <c r="K1477" s="4" t="str">
        <f aca="false">IF(L1477="no","end at tank",IF(H1477&lt;0,"NEGATIVE",IF(H1477&lt;p_min-0.005,"low","OK")))</f>
        <v>OK</v>
      </c>
      <c r="L1477" s="4" t="s">
        <v>414</v>
      </c>
    </row>
    <row r="1478" customFormat="false" ht="15" hidden="false" customHeight="false" outlineLevel="0" collapsed="false">
      <c r="A1478" s="4" t="s">
        <v>44</v>
      </c>
      <c r="B1478" s="4" t="s">
        <v>373</v>
      </c>
      <c r="C1478" s="47" t="n">
        <v>5796.05</v>
      </c>
      <c r="D1478" s="48" t="n">
        <v>1568.01</v>
      </c>
      <c r="E1478" s="49" t="n">
        <f aca="false">D1478-cover</f>
        <v>1566.81</v>
      </c>
      <c r="F1478" s="50" t="n">
        <f aca="false">'Z6 Nkangamo-Uhuru'!S18-'Z6 Nkangamo-Uhuru'!P18*C1478/'Z6 Nkangamo-Uhuru'!G18</f>
        <v>1729.20008428477</v>
      </c>
      <c r="G1478" s="51" t="n">
        <f aca="false">'Z6 Nkangamo-Uhuru'!$B$8-E1478</f>
        <v>139.69</v>
      </c>
      <c r="H1478" s="52" t="n">
        <f aca="false">F1478-E1478</f>
        <v>162.390084284769</v>
      </c>
      <c r="I1478" s="52" t="n">
        <f aca="false">MAX(H1478,G1478)</f>
        <v>162.390084284769</v>
      </c>
      <c r="J1478" s="4" t="str">
        <f aca="false">IFERROR("PN"&amp;SMALL(PN_list,COUNTIF(PN_list,"&lt;"&amp;I1478*bar_per_m)+1),"&gt; max PN")</f>
        <v>PN16</v>
      </c>
      <c r="K1478" s="4" t="str">
        <f aca="false">IF(L1478="no","end at tank",IF(H1478&lt;0,"NEGATIVE",IF(H1478&lt;p_min-0.005,"low","OK")))</f>
        <v>OK</v>
      </c>
      <c r="L1478" s="4" t="s">
        <v>414</v>
      </c>
    </row>
    <row r="1479" customFormat="false" ht="15" hidden="false" customHeight="false" outlineLevel="0" collapsed="false">
      <c r="A1479" s="4" t="s">
        <v>44</v>
      </c>
      <c r="B1479" s="4" t="s">
        <v>373</v>
      </c>
      <c r="C1479" s="47" t="n">
        <v>5816.07</v>
      </c>
      <c r="D1479" s="48" t="n">
        <v>1568.94</v>
      </c>
      <c r="E1479" s="49" t="n">
        <f aca="false">D1479-cover</f>
        <v>1567.74</v>
      </c>
      <c r="F1479" s="50" t="n">
        <f aca="false">'Z6 Nkangamo-Uhuru'!S18-'Z6 Nkangamo-Uhuru'!P18*C1479/'Z6 Nkangamo-Uhuru'!G18</f>
        <v>1729.16889982852</v>
      </c>
      <c r="G1479" s="51" t="n">
        <f aca="false">'Z6 Nkangamo-Uhuru'!$B$8-E1479</f>
        <v>138.76</v>
      </c>
      <c r="H1479" s="52" t="n">
        <f aca="false">F1479-E1479</f>
        <v>161.428899828519</v>
      </c>
      <c r="I1479" s="52" t="n">
        <f aca="false">MAX(H1479,G1479)</f>
        <v>161.428899828519</v>
      </c>
      <c r="J1479" s="4" t="str">
        <f aca="false">IFERROR("PN"&amp;SMALL(PN_list,COUNTIF(PN_list,"&lt;"&amp;I1479*bar_per_m)+1),"&gt; max PN")</f>
        <v>PN16</v>
      </c>
      <c r="K1479" s="4" t="str">
        <f aca="false">IF(L1479="no","end at tank",IF(H1479&lt;0,"NEGATIVE",IF(H1479&lt;p_min-0.005,"low","OK")))</f>
        <v>OK</v>
      </c>
      <c r="L1479" s="4" t="s">
        <v>414</v>
      </c>
    </row>
    <row r="1480" customFormat="false" ht="15" hidden="false" customHeight="false" outlineLevel="0" collapsed="false">
      <c r="A1480" s="4" t="s">
        <v>44</v>
      </c>
      <c r="B1480" s="4" t="s">
        <v>373</v>
      </c>
      <c r="C1480" s="47" t="n">
        <v>5836.1</v>
      </c>
      <c r="D1480" s="48" t="n">
        <v>1569.86</v>
      </c>
      <c r="E1480" s="49" t="n">
        <f aca="false">D1480-cover</f>
        <v>1568.66</v>
      </c>
      <c r="F1480" s="50" t="n">
        <f aca="false">'Z6 Nkangamo-Uhuru'!S18-'Z6 Nkangamo-Uhuru'!P18*C1480/'Z6 Nkangamo-Uhuru'!G18</f>
        <v>1729.13769979562</v>
      </c>
      <c r="G1480" s="51" t="n">
        <f aca="false">'Z6 Nkangamo-Uhuru'!$B$8-E1480</f>
        <v>137.84</v>
      </c>
      <c r="H1480" s="52" t="n">
        <f aca="false">F1480-E1480</f>
        <v>160.477699795618</v>
      </c>
      <c r="I1480" s="52" t="n">
        <f aca="false">MAX(H1480,G1480)</f>
        <v>160.477699795618</v>
      </c>
      <c r="J1480" s="4" t="str">
        <f aca="false">IFERROR("PN"&amp;SMALL(PN_list,COUNTIF(PN_list,"&lt;"&amp;I1480*bar_per_m)+1),"&gt; max PN")</f>
        <v>PN16</v>
      </c>
      <c r="K1480" s="4" t="str">
        <f aca="false">IF(L1480="no","end at tank",IF(H1480&lt;0,"NEGATIVE",IF(H1480&lt;p_min-0.005,"low","OK")))</f>
        <v>OK</v>
      </c>
      <c r="L1480" s="4" t="s">
        <v>414</v>
      </c>
    </row>
    <row r="1481" customFormat="false" ht="15" hidden="false" customHeight="false" outlineLevel="0" collapsed="false">
      <c r="A1481" s="4" t="s">
        <v>44</v>
      </c>
      <c r="B1481" s="4" t="s">
        <v>373</v>
      </c>
      <c r="C1481" s="47" t="n">
        <v>5856.1</v>
      </c>
      <c r="D1481" s="48" t="n">
        <v>1570.3</v>
      </c>
      <c r="E1481" s="49" t="n">
        <f aca="false">D1481-cover</f>
        <v>1569.1</v>
      </c>
      <c r="F1481" s="50" t="n">
        <f aca="false">'Z6 Nkangamo-Uhuru'!S18-'Z6 Nkangamo-Uhuru'!P18*C1481/'Z6 Nkangamo-Uhuru'!G18</f>
        <v>1729.10654649267</v>
      </c>
      <c r="G1481" s="51" t="n">
        <f aca="false">'Z6 Nkangamo-Uhuru'!$B$8-E1481</f>
        <v>137.4</v>
      </c>
      <c r="H1481" s="52" t="n">
        <f aca="false">F1481-E1481</f>
        <v>160.006546492671</v>
      </c>
      <c r="I1481" s="52" t="n">
        <f aca="false">MAX(H1481,G1481)</f>
        <v>160.006546492671</v>
      </c>
      <c r="J1481" s="4" t="str">
        <f aca="false">IFERROR("PN"&amp;SMALL(PN_list,COUNTIF(PN_list,"&lt;"&amp;I1481*bar_per_m)+1),"&gt; max PN")</f>
        <v>PN16</v>
      </c>
      <c r="K1481" s="4" t="str">
        <f aca="false">IF(L1481="no","end at tank",IF(H1481&lt;0,"NEGATIVE",IF(H1481&lt;p_min-0.005,"low","OK")))</f>
        <v>OK</v>
      </c>
      <c r="L1481" s="4" t="s">
        <v>414</v>
      </c>
    </row>
    <row r="1482" customFormat="false" ht="15" hidden="false" customHeight="false" outlineLevel="0" collapsed="false">
      <c r="A1482" s="4" t="s">
        <v>44</v>
      </c>
      <c r="B1482" s="4" t="s">
        <v>373</v>
      </c>
      <c r="C1482" s="47" t="n">
        <v>5876.13</v>
      </c>
      <c r="D1482" s="48" t="n">
        <v>1571.32</v>
      </c>
      <c r="E1482" s="49" t="n">
        <f aca="false">D1482-cover</f>
        <v>1570.12</v>
      </c>
      <c r="F1482" s="50" t="n">
        <f aca="false">'Z6 Nkangamo-Uhuru'!S18-'Z6 Nkangamo-Uhuru'!P18*C1482/'Z6 Nkangamo-Uhuru'!G18</f>
        <v>1729.07534645977</v>
      </c>
      <c r="G1482" s="51" t="n">
        <f aca="false">'Z6 Nkangamo-Uhuru'!$B$8-E1482</f>
        <v>136.38</v>
      </c>
      <c r="H1482" s="52" t="n">
        <f aca="false">F1482-E1482</f>
        <v>158.95534645977</v>
      </c>
      <c r="I1482" s="52" t="n">
        <f aca="false">MAX(H1482,G1482)</f>
        <v>158.95534645977</v>
      </c>
      <c r="J1482" s="4" t="str">
        <f aca="false">IFERROR("PN"&amp;SMALL(PN_list,COUNTIF(PN_list,"&lt;"&amp;I1482*bar_per_m)+1),"&gt; max PN")</f>
        <v>PN16</v>
      </c>
      <c r="K1482" s="4" t="str">
        <f aca="false">IF(L1482="no","end at tank",IF(H1482&lt;0,"NEGATIVE",IF(H1482&lt;p_min-0.005,"low","OK")))</f>
        <v>OK</v>
      </c>
      <c r="L1482" s="4" t="s">
        <v>414</v>
      </c>
    </row>
    <row r="1483" customFormat="false" ht="15" hidden="false" customHeight="false" outlineLevel="0" collapsed="false">
      <c r="A1483" s="4" t="s">
        <v>44</v>
      </c>
      <c r="B1483" s="4" t="s">
        <v>373</v>
      </c>
      <c r="C1483" s="47" t="n">
        <v>5896.16</v>
      </c>
      <c r="D1483" s="48" t="n">
        <v>1570.12</v>
      </c>
      <c r="E1483" s="49" t="n">
        <f aca="false">D1483-cover</f>
        <v>1568.92</v>
      </c>
      <c r="F1483" s="50" t="n">
        <f aca="false">'Z6 Nkangamo-Uhuru'!S18-'Z6 Nkangamo-Uhuru'!P18*C1483/'Z6 Nkangamo-Uhuru'!G18</f>
        <v>1729.04414642687</v>
      </c>
      <c r="G1483" s="51" t="n">
        <f aca="false">'Z6 Nkangamo-Uhuru'!$B$8-E1483</f>
        <v>137.58</v>
      </c>
      <c r="H1483" s="52" t="n">
        <f aca="false">F1483-E1483</f>
        <v>160.124146426869</v>
      </c>
      <c r="I1483" s="52" t="n">
        <f aca="false">MAX(H1483,G1483)</f>
        <v>160.124146426869</v>
      </c>
      <c r="J1483" s="4" t="str">
        <f aca="false">IFERROR("PN"&amp;SMALL(PN_list,COUNTIF(PN_list,"&lt;"&amp;I1483*bar_per_m)+1),"&gt; max PN")</f>
        <v>PN16</v>
      </c>
      <c r="K1483" s="4" t="str">
        <f aca="false">IF(L1483="no","end at tank",IF(H1483&lt;0,"NEGATIVE",IF(H1483&lt;p_min-0.005,"low","OK")))</f>
        <v>OK</v>
      </c>
      <c r="L1483" s="4" t="s">
        <v>414</v>
      </c>
    </row>
    <row r="1484" customFormat="false" ht="15" hidden="false" customHeight="false" outlineLevel="0" collapsed="false">
      <c r="A1484" s="4" t="s">
        <v>44</v>
      </c>
      <c r="B1484" s="4" t="s">
        <v>373</v>
      </c>
      <c r="C1484" s="47" t="n">
        <v>5916.23</v>
      </c>
      <c r="D1484" s="48" t="n">
        <v>1571.73</v>
      </c>
      <c r="E1484" s="49" t="n">
        <f aca="false">D1484-cover</f>
        <v>1570.53</v>
      </c>
      <c r="F1484" s="50" t="n">
        <f aca="false">'Z6 Nkangamo-Uhuru'!S18-'Z6 Nkangamo-Uhuru'!P18*C1484/'Z6 Nkangamo-Uhuru'!G18</f>
        <v>1729.01288408736</v>
      </c>
      <c r="G1484" s="51" t="n">
        <f aca="false">'Z6 Nkangamo-Uhuru'!$B$8-E1484</f>
        <v>135.97</v>
      </c>
      <c r="H1484" s="52" t="n">
        <f aca="false">F1484-E1484</f>
        <v>158.482884087361</v>
      </c>
      <c r="I1484" s="52" t="n">
        <f aca="false">MAX(H1484,G1484)</f>
        <v>158.482884087361</v>
      </c>
      <c r="J1484" s="4" t="str">
        <f aca="false">IFERROR("PN"&amp;SMALL(PN_list,COUNTIF(PN_list,"&lt;"&amp;I1484*bar_per_m)+1),"&gt; max PN")</f>
        <v>PN16</v>
      </c>
      <c r="K1484" s="4" t="str">
        <f aca="false">IF(L1484="no","end at tank",IF(H1484&lt;0,"NEGATIVE",IF(H1484&lt;p_min-0.005,"low","OK")))</f>
        <v>OK</v>
      </c>
      <c r="L1484" s="4" t="s">
        <v>414</v>
      </c>
    </row>
    <row r="1485" customFormat="false" ht="15" hidden="false" customHeight="false" outlineLevel="0" collapsed="false">
      <c r="A1485" s="4" t="s">
        <v>44</v>
      </c>
      <c r="B1485" s="4" t="s">
        <v>373</v>
      </c>
      <c r="C1485" s="47" t="n">
        <v>5936.23</v>
      </c>
      <c r="D1485" s="48" t="n">
        <v>1572</v>
      </c>
      <c r="E1485" s="49" t="n">
        <f aca="false">D1485-cover</f>
        <v>1570.8</v>
      </c>
      <c r="F1485" s="50" t="n">
        <f aca="false">'Z6 Nkangamo-Uhuru'!S18-'Z6 Nkangamo-Uhuru'!P18*C1485/'Z6 Nkangamo-Uhuru'!G18</f>
        <v>1728.98173078441</v>
      </c>
      <c r="G1485" s="51" t="n">
        <f aca="false">'Z6 Nkangamo-Uhuru'!$B$8-E1485</f>
        <v>135.7</v>
      </c>
      <c r="H1485" s="52" t="n">
        <f aca="false">F1485-E1485</f>
        <v>158.181730784414</v>
      </c>
      <c r="I1485" s="52" t="n">
        <f aca="false">MAX(H1485,G1485)</f>
        <v>158.181730784414</v>
      </c>
      <c r="J1485" s="4" t="str">
        <f aca="false">IFERROR("PN"&amp;SMALL(PN_list,COUNTIF(PN_list,"&lt;"&amp;I1485*bar_per_m)+1),"&gt; max PN")</f>
        <v>PN16</v>
      </c>
      <c r="K1485" s="4" t="str">
        <f aca="false">IF(L1485="no","end at tank",IF(H1485&lt;0,"NEGATIVE",IF(H1485&lt;p_min-0.005,"low","OK")))</f>
        <v>OK</v>
      </c>
      <c r="L1485" s="4" t="s">
        <v>414</v>
      </c>
    </row>
    <row r="1486" customFormat="false" ht="15" hidden="false" customHeight="false" outlineLevel="0" collapsed="false">
      <c r="A1486" s="4" t="s">
        <v>44</v>
      </c>
      <c r="B1486" s="4" t="s">
        <v>373</v>
      </c>
      <c r="C1486" s="47" t="n">
        <v>5956.25</v>
      </c>
      <c r="D1486" s="48" t="n">
        <v>1572.96</v>
      </c>
      <c r="E1486" s="49" t="n">
        <f aca="false">D1486-cover</f>
        <v>1571.76</v>
      </c>
      <c r="F1486" s="50" t="n">
        <f aca="false">'Z6 Nkangamo-Uhuru'!S18-'Z6 Nkangamo-Uhuru'!P18*C1486/'Z6 Nkangamo-Uhuru'!G18</f>
        <v>1728.95054632816</v>
      </c>
      <c r="G1486" s="51" t="n">
        <f aca="false">'Z6 Nkangamo-Uhuru'!$B$8-E1486</f>
        <v>134.74</v>
      </c>
      <c r="H1486" s="52" t="n">
        <f aca="false">F1486-E1486</f>
        <v>157.190546328165</v>
      </c>
      <c r="I1486" s="52" t="n">
        <f aca="false">MAX(H1486,G1486)</f>
        <v>157.190546328165</v>
      </c>
      <c r="J1486" s="4" t="str">
        <f aca="false">IFERROR("PN"&amp;SMALL(PN_list,COUNTIF(PN_list,"&lt;"&amp;I1486*bar_per_m)+1),"&gt; max PN")</f>
        <v>PN16</v>
      </c>
      <c r="K1486" s="4" t="str">
        <f aca="false">IF(L1486="no","end at tank",IF(H1486&lt;0,"NEGATIVE",IF(H1486&lt;p_min-0.005,"low","OK")))</f>
        <v>OK</v>
      </c>
      <c r="L1486" s="4" t="s">
        <v>414</v>
      </c>
    </row>
    <row r="1487" customFormat="false" ht="15" hidden="false" customHeight="false" outlineLevel="0" collapsed="false">
      <c r="A1487" s="4" t="s">
        <v>44</v>
      </c>
      <c r="B1487" s="4" t="s">
        <v>373</v>
      </c>
      <c r="C1487" s="47" t="n">
        <v>5976.26</v>
      </c>
      <c r="D1487" s="48" t="n">
        <v>1573.53</v>
      </c>
      <c r="E1487" s="49" t="n">
        <f aca="false">D1487-cover</f>
        <v>1572.33</v>
      </c>
      <c r="F1487" s="50" t="n">
        <f aca="false">'Z6 Nkangamo-Uhuru'!S18-'Z6 Nkangamo-Uhuru'!P18*C1487/'Z6 Nkangamo-Uhuru'!G18</f>
        <v>1728.91937744857</v>
      </c>
      <c r="G1487" s="51" t="n">
        <f aca="false">'Z6 Nkangamo-Uhuru'!$B$8-E1487</f>
        <v>134.17</v>
      </c>
      <c r="H1487" s="52" t="n">
        <f aca="false">F1487-E1487</f>
        <v>156.589377448566</v>
      </c>
      <c r="I1487" s="52" t="n">
        <f aca="false">MAX(H1487,G1487)</f>
        <v>156.589377448566</v>
      </c>
      <c r="J1487" s="4" t="str">
        <f aca="false">IFERROR("PN"&amp;SMALL(PN_list,COUNTIF(PN_list,"&lt;"&amp;I1487*bar_per_m)+1),"&gt; max PN")</f>
        <v>PN16</v>
      </c>
      <c r="K1487" s="4" t="str">
        <f aca="false">IF(L1487="no","end at tank",IF(H1487&lt;0,"NEGATIVE",IF(H1487&lt;p_min-0.005,"low","OK")))</f>
        <v>OK</v>
      </c>
      <c r="L1487" s="4" t="s">
        <v>414</v>
      </c>
    </row>
    <row r="1488" customFormat="false" ht="15" hidden="false" customHeight="false" outlineLevel="0" collapsed="false">
      <c r="A1488" s="4" t="s">
        <v>44</v>
      </c>
      <c r="B1488" s="4" t="s">
        <v>373</v>
      </c>
      <c r="C1488" s="47" t="n">
        <v>5996.27</v>
      </c>
      <c r="D1488" s="48" t="n">
        <v>1574.07</v>
      </c>
      <c r="E1488" s="49" t="n">
        <f aca="false">D1488-cover</f>
        <v>1572.87</v>
      </c>
      <c r="F1488" s="50" t="n">
        <f aca="false">'Z6 Nkangamo-Uhuru'!S18-'Z6 Nkangamo-Uhuru'!P18*C1488/'Z6 Nkangamo-Uhuru'!G18</f>
        <v>1728.88820856897</v>
      </c>
      <c r="G1488" s="51" t="n">
        <f aca="false">'Z6 Nkangamo-Uhuru'!$B$8-E1488</f>
        <v>133.63</v>
      </c>
      <c r="H1488" s="52" t="n">
        <f aca="false">F1488-E1488</f>
        <v>156.018208568968</v>
      </c>
      <c r="I1488" s="52" t="n">
        <f aca="false">MAX(H1488,G1488)</f>
        <v>156.018208568968</v>
      </c>
      <c r="J1488" s="4" t="str">
        <f aca="false">IFERROR("PN"&amp;SMALL(PN_list,COUNTIF(PN_list,"&lt;"&amp;I1488*bar_per_m)+1),"&gt; max PN")</f>
        <v>PN16</v>
      </c>
      <c r="K1488" s="4" t="str">
        <f aca="false">IF(L1488="no","end at tank",IF(H1488&lt;0,"NEGATIVE",IF(H1488&lt;p_min-0.005,"low","OK")))</f>
        <v>OK</v>
      </c>
      <c r="L1488" s="4" t="s">
        <v>414</v>
      </c>
    </row>
    <row r="1489" customFormat="false" ht="15" hidden="false" customHeight="false" outlineLevel="0" collapsed="false">
      <c r="A1489" s="4" t="s">
        <v>44</v>
      </c>
      <c r="B1489" s="4" t="s">
        <v>373</v>
      </c>
      <c r="C1489" s="47" t="n">
        <v>6016.27</v>
      </c>
      <c r="D1489" s="48" t="n">
        <v>1573.9</v>
      </c>
      <c r="E1489" s="49" t="n">
        <f aca="false">D1489-cover</f>
        <v>1572.7</v>
      </c>
      <c r="F1489" s="50" t="n">
        <f aca="false">'Z6 Nkangamo-Uhuru'!S18-'Z6 Nkangamo-Uhuru'!P18*C1489/'Z6 Nkangamo-Uhuru'!G18</f>
        <v>1728.85705526602</v>
      </c>
      <c r="G1489" s="51" t="n">
        <f aca="false">'Z6 Nkangamo-Uhuru'!$B$8-E1489</f>
        <v>133.8</v>
      </c>
      <c r="H1489" s="52" t="n">
        <f aca="false">F1489-E1489</f>
        <v>156.157055266021</v>
      </c>
      <c r="I1489" s="52" t="n">
        <f aca="false">MAX(H1489,G1489)</f>
        <v>156.157055266021</v>
      </c>
      <c r="J1489" s="4" t="str">
        <f aca="false">IFERROR("PN"&amp;SMALL(PN_list,COUNTIF(PN_list,"&lt;"&amp;I1489*bar_per_m)+1),"&gt; max PN")</f>
        <v>PN16</v>
      </c>
      <c r="K1489" s="4" t="str">
        <f aca="false">IF(L1489="no","end at tank",IF(H1489&lt;0,"NEGATIVE",IF(H1489&lt;p_min-0.005,"low","OK")))</f>
        <v>OK</v>
      </c>
      <c r="L1489" s="4" t="s">
        <v>414</v>
      </c>
    </row>
    <row r="1490" customFormat="false" ht="15" hidden="false" customHeight="false" outlineLevel="0" collapsed="false">
      <c r="A1490" s="4" t="s">
        <v>44</v>
      </c>
      <c r="B1490" s="4" t="s">
        <v>373</v>
      </c>
      <c r="C1490" s="47" t="n">
        <v>6036.27</v>
      </c>
      <c r="D1490" s="48" t="n">
        <v>1573.97</v>
      </c>
      <c r="E1490" s="49" t="n">
        <f aca="false">D1490-cover</f>
        <v>1572.77</v>
      </c>
      <c r="F1490" s="50" t="n">
        <f aca="false">'Z6 Nkangamo-Uhuru'!S18-'Z6 Nkangamo-Uhuru'!P18*C1490/'Z6 Nkangamo-Uhuru'!G18</f>
        <v>1728.82590196307</v>
      </c>
      <c r="G1490" s="51" t="n">
        <f aca="false">'Z6 Nkangamo-Uhuru'!$B$8-E1490</f>
        <v>133.73</v>
      </c>
      <c r="H1490" s="52" t="n">
        <f aca="false">F1490-E1490</f>
        <v>156.055901963074</v>
      </c>
      <c r="I1490" s="52" t="n">
        <f aca="false">MAX(H1490,G1490)</f>
        <v>156.055901963074</v>
      </c>
      <c r="J1490" s="4" t="str">
        <f aca="false">IFERROR("PN"&amp;SMALL(PN_list,COUNTIF(PN_list,"&lt;"&amp;I1490*bar_per_m)+1),"&gt; max PN")</f>
        <v>PN16</v>
      </c>
      <c r="K1490" s="4" t="str">
        <f aca="false">IF(L1490="no","end at tank",IF(H1490&lt;0,"NEGATIVE",IF(H1490&lt;p_min-0.005,"low","OK")))</f>
        <v>OK</v>
      </c>
      <c r="L1490" s="4" t="s">
        <v>414</v>
      </c>
    </row>
    <row r="1491" customFormat="false" ht="15" hidden="false" customHeight="false" outlineLevel="0" collapsed="false">
      <c r="A1491" s="4" t="s">
        <v>44</v>
      </c>
      <c r="B1491" s="4" t="s">
        <v>373</v>
      </c>
      <c r="C1491" s="47" t="n">
        <v>6056.29</v>
      </c>
      <c r="D1491" s="48" t="n">
        <v>1574.87</v>
      </c>
      <c r="E1491" s="49" t="n">
        <f aca="false">D1491-cover</f>
        <v>1573.67</v>
      </c>
      <c r="F1491" s="50" t="n">
        <f aca="false">'Z6 Nkangamo-Uhuru'!S18-'Z6 Nkangamo-Uhuru'!P18*C1491/'Z6 Nkangamo-Uhuru'!G18</f>
        <v>1728.79471750682</v>
      </c>
      <c r="G1491" s="51" t="n">
        <f aca="false">'Z6 Nkangamo-Uhuru'!$B$8-E1491</f>
        <v>132.83</v>
      </c>
      <c r="H1491" s="52" t="n">
        <f aca="false">F1491-E1491</f>
        <v>155.124717506825</v>
      </c>
      <c r="I1491" s="52" t="n">
        <f aca="false">MAX(H1491,G1491)</f>
        <v>155.124717506825</v>
      </c>
      <c r="J1491" s="4" t="str">
        <f aca="false">IFERROR("PN"&amp;SMALL(PN_list,COUNTIF(PN_list,"&lt;"&amp;I1491*bar_per_m)+1),"&gt; max PN")</f>
        <v>PN16</v>
      </c>
      <c r="K1491" s="4" t="str">
        <f aca="false">IF(L1491="no","end at tank",IF(H1491&lt;0,"NEGATIVE",IF(H1491&lt;p_min-0.005,"low","OK")))</f>
        <v>OK</v>
      </c>
      <c r="L1491" s="4" t="s">
        <v>414</v>
      </c>
    </row>
    <row r="1492" customFormat="false" ht="15" hidden="false" customHeight="false" outlineLevel="0" collapsed="false">
      <c r="A1492" s="4" t="s">
        <v>44</v>
      </c>
      <c r="B1492" s="4" t="s">
        <v>373</v>
      </c>
      <c r="C1492" s="47" t="n">
        <v>6076.39</v>
      </c>
      <c r="D1492" s="48" t="n">
        <v>1572.83</v>
      </c>
      <c r="E1492" s="49" t="n">
        <f aca="false">D1492-cover</f>
        <v>1571.63</v>
      </c>
      <c r="F1492" s="50" t="n">
        <f aca="false">'Z6 Nkangamo-Uhuru'!S18-'Z6 Nkangamo-Uhuru'!P18*C1492/'Z6 Nkangamo-Uhuru'!G18</f>
        <v>1728.76340843736</v>
      </c>
      <c r="G1492" s="51" t="n">
        <f aca="false">'Z6 Nkangamo-Uhuru'!$B$8-E1492</f>
        <v>134.87</v>
      </c>
      <c r="H1492" s="52" t="n">
        <f aca="false">F1492-E1492</f>
        <v>157.133408437363</v>
      </c>
      <c r="I1492" s="52" t="n">
        <f aca="false">MAX(H1492,G1492)</f>
        <v>157.133408437363</v>
      </c>
      <c r="J1492" s="4" t="str">
        <f aca="false">IFERROR("PN"&amp;SMALL(PN_list,COUNTIF(PN_list,"&lt;"&amp;I1492*bar_per_m)+1),"&gt; max PN")</f>
        <v>PN16</v>
      </c>
      <c r="K1492" s="4" t="str">
        <f aca="false">IF(L1492="no","end at tank",IF(H1492&lt;0,"NEGATIVE",IF(H1492&lt;p_min-0.005,"low","OK")))</f>
        <v>OK</v>
      </c>
      <c r="L1492" s="4" t="s">
        <v>414</v>
      </c>
    </row>
    <row r="1493" customFormat="false" ht="15" hidden="false" customHeight="false" outlineLevel="0" collapsed="false">
      <c r="A1493" s="4" t="s">
        <v>44</v>
      </c>
      <c r="B1493" s="4" t="s">
        <v>373</v>
      </c>
      <c r="C1493" s="47" t="n">
        <v>6096.52</v>
      </c>
      <c r="D1493" s="48" t="n">
        <v>1575.05</v>
      </c>
      <c r="E1493" s="49" t="n">
        <f aca="false">D1493-cover</f>
        <v>1573.85</v>
      </c>
      <c r="F1493" s="50" t="n">
        <f aca="false">'Z6 Nkangamo-Uhuru'!S18-'Z6 Nkangamo-Uhuru'!P18*C1493/'Z6 Nkangamo-Uhuru'!G18</f>
        <v>1728.73205263795</v>
      </c>
      <c r="G1493" s="51" t="n">
        <f aca="false">'Z6 Nkangamo-Uhuru'!$B$8-E1493</f>
        <v>132.65</v>
      </c>
      <c r="H1493" s="52" t="n">
        <f aca="false">F1493-E1493</f>
        <v>154.882052637947</v>
      </c>
      <c r="I1493" s="52" t="n">
        <f aca="false">MAX(H1493,G1493)</f>
        <v>154.882052637947</v>
      </c>
      <c r="J1493" s="4" t="str">
        <f aca="false">IFERROR("PN"&amp;SMALL(PN_list,COUNTIF(PN_list,"&lt;"&amp;I1493*bar_per_m)+1),"&gt; max PN")</f>
        <v>PN16</v>
      </c>
      <c r="K1493" s="4" t="str">
        <f aca="false">IF(L1493="no","end at tank",IF(H1493&lt;0,"NEGATIVE",IF(H1493&lt;p_min-0.005,"low","OK")))</f>
        <v>OK</v>
      </c>
      <c r="L1493" s="4" t="s">
        <v>414</v>
      </c>
    </row>
    <row r="1494" customFormat="false" ht="15" hidden="false" customHeight="false" outlineLevel="0" collapsed="false">
      <c r="A1494" s="4" t="s">
        <v>44</v>
      </c>
      <c r="B1494" s="4" t="s">
        <v>373</v>
      </c>
      <c r="C1494" s="47" t="n">
        <v>6116.53</v>
      </c>
      <c r="D1494" s="48" t="n">
        <v>1574.4</v>
      </c>
      <c r="E1494" s="49" t="n">
        <f aca="false">D1494-cover</f>
        <v>1573.2</v>
      </c>
      <c r="F1494" s="50" t="n">
        <f aca="false">'Z6 Nkangamo-Uhuru'!S18-'Z6 Nkangamo-Uhuru'!P18*C1494/'Z6 Nkangamo-Uhuru'!G18</f>
        <v>1728.70088375835</v>
      </c>
      <c r="G1494" s="51" t="n">
        <f aca="false">'Z6 Nkangamo-Uhuru'!$B$8-E1494</f>
        <v>133.3</v>
      </c>
      <c r="H1494" s="52" t="n">
        <f aca="false">F1494-E1494</f>
        <v>155.500883758349</v>
      </c>
      <c r="I1494" s="52" t="n">
        <f aca="false">MAX(H1494,G1494)</f>
        <v>155.500883758349</v>
      </c>
      <c r="J1494" s="4" t="str">
        <f aca="false">IFERROR("PN"&amp;SMALL(PN_list,COUNTIF(PN_list,"&lt;"&amp;I1494*bar_per_m)+1),"&gt; max PN")</f>
        <v>PN16</v>
      </c>
      <c r="K1494" s="4" t="str">
        <f aca="false">IF(L1494="no","end at tank",IF(H1494&lt;0,"NEGATIVE",IF(H1494&lt;p_min-0.005,"low","OK")))</f>
        <v>OK</v>
      </c>
      <c r="L1494" s="4" t="s">
        <v>414</v>
      </c>
    </row>
    <row r="1495" customFormat="false" ht="15" hidden="false" customHeight="false" outlineLevel="0" collapsed="false">
      <c r="A1495" s="4" t="s">
        <v>44</v>
      </c>
      <c r="B1495" s="4" t="s">
        <v>373</v>
      </c>
      <c r="C1495" s="47" t="n">
        <v>6136.6</v>
      </c>
      <c r="D1495" s="48" t="n">
        <v>1576.1</v>
      </c>
      <c r="E1495" s="49" t="n">
        <f aca="false">D1495-cover</f>
        <v>1574.9</v>
      </c>
      <c r="F1495" s="50" t="n">
        <f aca="false">'Z6 Nkangamo-Uhuru'!S18-'Z6 Nkangamo-Uhuru'!P18*C1495/'Z6 Nkangamo-Uhuru'!G18</f>
        <v>1728.66962141884</v>
      </c>
      <c r="G1495" s="51" t="n">
        <f aca="false">'Z6 Nkangamo-Uhuru'!$B$8-E1495</f>
        <v>131.6</v>
      </c>
      <c r="H1495" s="52" t="n">
        <f aca="false">F1495-E1495</f>
        <v>153.769621418842</v>
      </c>
      <c r="I1495" s="52" t="n">
        <f aca="false">MAX(H1495,G1495)</f>
        <v>153.769621418842</v>
      </c>
      <c r="J1495" s="4" t="str">
        <f aca="false">IFERROR("PN"&amp;SMALL(PN_list,COUNTIF(PN_list,"&lt;"&amp;I1495*bar_per_m)+1),"&gt; max PN")</f>
        <v>PN16</v>
      </c>
      <c r="K1495" s="4" t="str">
        <f aca="false">IF(L1495="no","end at tank",IF(H1495&lt;0,"NEGATIVE",IF(H1495&lt;p_min-0.005,"low","OK")))</f>
        <v>OK</v>
      </c>
      <c r="L1495" s="4" t="s">
        <v>414</v>
      </c>
    </row>
    <row r="1496" customFormat="false" ht="15" hidden="false" customHeight="false" outlineLevel="0" collapsed="false">
      <c r="A1496" s="4" t="s">
        <v>44</v>
      </c>
      <c r="B1496" s="4" t="s">
        <v>373</v>
      </c>
      <c r="C1496" s="47" t="n">
        <v>6156.6</v>
      </c>
      <c r="D1496" s="48" t="n">
        <v>1576.06</v>
      </c>
      <c r="E1496" s="49" t="n">
        <f aca="false">D1496-cover</f>
        <v>1574.86</v>
      </c>
      <c r="F1496" s="50" t="n">
        <f aca="false">'Z6 Nkangamo-Uhuru'!S18-'Z6 Nkangamo-Uhuru'!P18*C1496/'Z6 Nkangamo-Uhuru'!G18</f>
        <v>1728.63846811589</v>
      </c>
      <c r="G1496" s="51" t="n">
        <f aca="false">'Z6 Nkangamo-Uhuru'!$B$8-E1496</f>
        <v>131.64</v>
      </c>
      <c r="H1496" s="52" t="n">
        <f aca="false">F1496-E1496</f>
        <v>153.778468115895</v>
      </c>
      <c r="I1496" s="52" t="n">
        <f aca="false">MAX(H1496,G1496)</f>
        <v>153.778468115895</v>
      </c>
      <c r="J1496" s="4" t="str">
        <f aca="false">IFERROR("PN"&amp;SMALL(PN_list,COUNTIF(PN_list,"&lt;"&amp;I1496*bar_per_m)+1),"&gt; max PN")</f>
        <v>PN16</v>
      </c>
      <c r="K1496" s="4" t="str">
        <f aca="false">IF(L1496="no","end at tank",IF(H1496&lt;0,"NEGATIVE",IF(H1496&lt;p_min-0.005,"low","OK")))</f>
        <v>OK</v>
      </c>
      <c r="L1496" s="4" t="s">
        <v>414</v>
      </c>
    </row>
    <row r="1497" customFormat="false" ht="15" hidden="false" customHeight="false" outlineLevel="0" collapsed="false">
      <c r="A1497" s="4" t="s">
        <v>44</v>
      </c>
      <c r="B1497" s="4" t="s">
        <v>373</v>
      </c>
      <c r="C1497" s="47" t="n">
        <v>6176.6</v>
      </c>
      <c r="D1497" s="48" t="n">
        <v>1576.2</v>
      </c>
      <c r="E1497" s="49" t="n">
        <f aca="false">D1497-cover</f>
        <v>1575</v>
      </c>
      <c r="F1497" s="50" t="n">
        <f aca="false">'Z6 Nkangamo-Uhuru'!S18-'Z6 Nkangamo-Uhuru'!P18*C1497/'Z6 Nkangamo-Uhuru'!G18</f>
        <v>1728.60731481295</v>
      </c>
      <c r="G1497" s="51" t="n">
        <f aca="false">'Z6 Nkangamo-Uhuru'!$B$8-E1497</f>
        <v>131.5</v>
      </c>
      <c r="H1497" s="52" t="n">
        <f aca="false">F1497-E1497</f>
        <v>153.607314812948</v>
      </c>
      <c r="I1497" s="52" t="n">
        <f aca="false">MAX(H1497,G1497)</f>
        <v>153.607314812948</v>
      </c>
      <c r="J1497" s="4" t="str">
        <f aca="false">IFERROR("PN"&amp;SMALL(PN_list,COUNTIF(PN_list,"&lt;"&amp;I1497*bar_per_m)+1),"&gt; max PN")</f>
        <v>PN16</v>
      </c>
      <c r="K1497" s="4" t="str">
        <f aca="false">IF(L1497="no","end at tank",IF(H1497&lt;0,"NEGATIVE",IF(H1497&lt;p_min-0.005,"low","OK")))</f>
        <v>OK</v>
      </c>
      <c r="L1497" s="4" t="s">
        <v>414</v>
      </c>
    </row>
    <row r="1498" customFormat="false" ht="15" hidden="false" customHeight="false" outlineLevel="0" collapsed="false">
      <c r="A1498" s="4" t="s">
        <v>44</v>
      </c>
      <c r="B1498" s="4" t="s">
        <v>373</v>
      </c>
      <c r="C1498" s="47" t="n">
        <v>6196.6</v>
      </c>
      <c r="D1498" s="48" t="n">
        <v>1576.01</v>
      </c>
      <c r="E1498" s="49" t="n">
        <f aca="false">D1498-cover</f>
        <v>1574.81</v>
      </c>
      <c r="F1498" s="50" t="n">
        <f aca="false">'Z6 Nkangamo-Uhuru'!S18-'Z6 Nkangamo-Uhuru'!P18*C1498/'Z6 Nkangamo-Uhuru'!G18</f>
        <v>1728.57616151</v>
      </c>
      <c r="G1498" s="51" t="n">
        <f aca="false">'Z6 Nkangamo-Uhuru'!$B$8-E1498</f>
        <v>131.69</v>
      </c>
      <c r="H1498" s="52" t="n">
        <f aca="false">F1498-E1498</f>
        <v>153.766161510001</v>
      </c>
      <c r="I1498" s="52" t="n">
        <f aca="false">MAX(H1498,G1498)</f>
        <v>153.766161510001</v>
      </c>
      <c r="J1498" s="4" t="str">
        <f aca="false">IFERROR("PN"&amp;SMALL(PN_list,COUNTIF(PN_list,"&lt;"&amp;I1498*bar_per_m)+1),"&gt; max PN")</f>
        <v>PN16</v>
      </c>
      <c r="K1498" s="4" t="str">
        <f aca="false">IF(L1498="no","end at tank",IF(H1498&lt;0,"NEGATIVE",IF(H1498&lt;p_min-0.005,"low","OK")))</f>
        <v>OK</v>
      </c>
      <c r="L1498" s="4" t="s">
        <v>414</v>
      </c>
    </row>
    <row r="1499" customFormat="false" ht="15" hidden="false" customHeight="false" outlineLevel="0" collapsed="false">
      <c r="A1499" s="4" t="s">
        <v>44</v>
      </c>
      <c r="B1499" s="4" t="s">
        <v>373</v>
      </c>
      <c r="C1499" s="47" t="n">
        <v>6216.65</v>
      </c>
      <c r="D1499" s="48" t="n">
        <v>1577.36</v>
      </c>
      <c r="E1499" s="49" t="n">
        <f aca="false">D1499-cover</f>
        <v>1576.16</v>
      </c>
      <c r="F1499" s="50" t="n">
        <f aca="false">'Z6 Nkangamo-Uhuru'!S18-'Z6 Nkangamo-Uhuru'!P18*C1499/'Z6 Nkangamo-Uhuru'!G18</f>
        <v>1728.5449303238</v>
      </c>
      <c r="G1499" s="51" t="n">
        <f aca="false">'Z6 Nkangamo-Uhuru'!$B$8-E1499</f>
        <v>130.34</v>
      </c>
      <c r="H1499" s="52" t="n">
        <f aca="false">F1499-E1499</f>
        <v>152.384930323797</v>
      </c>
      <c r="I1499" s="52" t="n">
        <f aca="false">MAX(H1499,G1499)</f>
        <v>152.384930323797</v>
      </c>
      <c r="J1499" s="4" t="str">
        <f aca="false">IFERROR("PN"&amp;SMALL(PN_list,COUNTIF(PN_list,"&lt;"&amp;I1499*bar_per_m)+1),"&gt; max PN")</f>
        <v>PN16</v>
      </c>
      <c r="K1499" s="4" t="str">
        <f aca="false">IF(L1499="no","end at tank",IF(H1499&lt;0,"NEGATIVE",IF(H1499&lt;p_min-0.005,"low","OK")))</f>
        <v>OK</v>
      </c>
      <c r="L1499" s="4" t="s">
        <v>414</v>
      </c>
    </row>
    <row r="1500" customFormat="false" ht="15" hidden="false" customHeight="false" outlineLevel="0" collapsed="false">
      <c r="A1500" s="4" t="s">
        <v>44</v>
      </c>
      <c r="B1500" s="4" t="s">
        <v>373</v>
      </c>
      <c r="C1500" s="47" t="n">
        <v>6236.76</v>
      </c>
      <c r="D1500" s="48" t="n">
        <v>1575.24</v>
      </c>
      <c r="E1500" s="49" t="n">
        <f aca="false">D1500-cover</f>
        <v>1574.04</v>
      </c>
      <c r="F1500" s="50" t="n">
        <f aca="false">'Z6 Nkangamo-Uhuru'!S18-'Z6 Nkangamo-Uhuru'!P18*C1500/'Z6 Nkangamo-Uhuru'!G18</f>
        <v>1728.51360567768</v>
      </c>
      <c r="G1500" s="51" t="n">
        <f aca="false">'Z6 Nkangamo-Uhuru'!$B$8-E1500</f>
        <v>132.46</v>
      </c>
      <c r="H1500" s="52" t="n">
        <f aca="false">F1500-E1500</f>
        <v>154.473605677684</v>
      </c>
      <c r="I1500" s="52" t="n">
        <f aca="false">MAX(H1500,G1500)</f>
        <v>154.473605677684</v>
      </c>
      <c r="J1500" s="4" t="str">
        <f aca="false">IFERROR("PN"&amp;SMALL(PN_list,COUNTIF(PN_list,"&lt;"&amp;I1500*bar_per_m)+1),"&gt; max PN")</f>
        <v>PN16</v>
      </c>
      <c r="K1500" s="4" t="str">
        <f aca="false">IF(L1500="no","end at tank",IF(H1500&lt;0,"NEGATIVE",IF(H1500&lt;p_min-0.005,"low","OK")))</f>
        <v>OK</v>
      </c>
      <c r="L1500" s="4" t="s">
        <v>414</v>
      </c>
    </row>
    <row r="1501" customFormat="false" ht="15" hidden="false" customHeight="false" outlineLevel="0" collapsed="false">
      <c r="A1501" s="4" t="s">
        <v>44</v>
      </c>
      <c r="B1501" s="4" t="s">
        <v>373</v>
      </c>
      <c r="C1501" s="47" t="n">
        <v>6256.76</v>
      </c>
      <c r="D1501" s="48" t="n">
        <v>1575.44</v>
      </c>
      <c r="E1501" s="49" t="n">
        <f aca="false">D1501-cover</f>
        <v>1574.24</v>
      </c>
      <c r="F1501" s="50" t="n">
        <f aca="false">'Z6 Nkangamo-Uhuru'!S18-'Z6 Nkangamo-Uhuru'!P18*C1501/'Z6 Nkangamo-Uhuru'!G18</f>
        <v>1728.48245237474</v>
      </c>
      <c r="G1501" s="51" t="n">
        <f aca="false">'Z6 Nkangamo-Uhuru'!$B$8-E1501</f>
        <v>132.26</v>
      </c>
      <c r="H1501" s="52" t="n">
        <f aca="false">F1501-E1501</f>
        <v>154.242452374737</v>
      </c>
      <c r="I1501" s="52" t="n">
        <f aca="false">MAX(H1501,G1501)</f>
        <v>154.242452374737</v>
      </c>
      <c r="J1501" s="4" t="str">
        <f aca="false">IFERROR("PN"&amp;SMALL(PN_list,COUNTIF(PN_list,"&lt;"&amp;I1501*bar_per_m)+1),"&gt; max PN")</f>
        <v>PN16</v>
      </c>
      <c r="K1501" s="4" t="str">
        <f aca="false">IF(L1501="no","end at tank",IF(H1501&lt;0,"NEGATIVE",IF(H1501&lt;p_min-0.005,"low","OK")))</f>
        <v>OK</v>
      </c>
      <c r="L1501" s="4" t="s">
        <v>414</v>
      </c>
    </row>
    <row r="1502" customFormat="false" ht="15" hidden="false" customHeight="false" outlineLevel="0" collapsed="false">
      <c r="A1502" s="4" t="s">
        <v>44</v>
      </c>
      <c r="B1502" s="4" t="s">
        <v>373</v>
      </c>
      <c r="C1502" s="47" t="n">
        <v>6276.78</v>
      </c>
      <c r="D1502" s="48" t="n">
        <v>1574.56</v>
      </c>
      <c r="E1502" s="49" t="n">
        <f aca="false">D1502-cover</f>
        <v>1573.36</v>
      </c>
      <c r="F1502" s="50" t="n">
        <f aca="false">'Z6 Nkangamo-Uhuru'!S18-'Z6 Nkangamo-Uhuru'!P18*C1502/'Z6 Nkangamo-Uhuru'!G18</f>
        <v>1728.45126791849</v>
      </c>
      <c r="G1502" s="51" t="n">
        <f aca="false">'Z6 Nkangamo-Uhuru'!$B$8-E1502</f>
        <v>133.14</v>
      </c>
      <c r="H1502" s="52" t="n">
        <f aca="false">F1502-E1502</f>
        <v>155.091267918487</v>
      </c>
      <c r="I1502" s="52" t="n">
        <f aca="false">MAX(H1502,G1502)</f>
        <v>155.091267918487</v>
      </c>
      <c r="J1502" s="4" t="str">
        <f aca="false">IFERROR("PN"&amp;SMALL(PN_list,COUNTIF(PN_list,"&lt;"&amp;I1502*bar_per_m)+1),"&gt; max PN")</f>
        <v>PN16</v>
      </c>
      <c r="K1502" s="4" t="str">
        <f aca="false">IF(L1502="no","end at tank",IF(H1502&lt;0,"NEGATIVE",IF(H1502&lt;p_min-0.005,"low","OK")))</f>
        <v>OK</v>
      </c>
      <c r="L1502" s="4" t="s">
        <v>414</v>
      </c>
    </row>
    <row r="1503" customFormat="false" ht="15" hidden="false" customHeight="false" outlineLevel="0" collapsed="false">
      <c r="A1503" s="4" t="s">
        <v>44</v>
      </c>
      <c r="B1503" s="4" t="s">
        <v>373</v>
      </c>
      <c r="C1503" s="47" t="n">
        <v>6296.79</v>
      </c>
      <c r="D1503" s="48" t="n">
        <v>1575.26</v>
      </c>
      <c r="E1503" s="49" t="n">
        <f aca="false">D1503-cover</f>
        <v>1574.06</v>
      </c>
      <c r="F1503" s="50" t="n">
        <f aca="false">'Z6 Nkangamo-Uhuru'!S18-'Z6 Nkangamo-Uhuru'!P18*C1503/'Z6 Nkangamo-Uhuru'!G18</f>
        <v>1728.42009903889</v>
      </c>
      <c r="G1503" s="51" t="n">
        <f aca="false">'Z6 Nkangamo-Uhuru'!$B$8-E1503</f>
        <v>132.44</v>
      </c>
      <c r="H1503" s="52" t="n">
        <f aca="false">F1503-E1503</f>
        <v>154.360099038889</v>
      </c>
      <c r="I1503" s="52" t="n">
        <f aca="false">MAX(H1503,G1503)</f>
        <v>154.360099038889</v>
      </c>
      <c r="J1503" s="4" t="str">
        <f aca="false">IFERROR("PN"&amp;SMALL(PN_list,COUNTIF(PN_list,"&lt;"&amp;I1503*bar_per_m)+1),"&gt; max PN")</f>
        <v>PN16</v>
      </c>
      <c r="K1503" s="4" t="str">
        <f aca="false">IF(L1503="no","end at tank",IF(H1503&lt;0,"NEGATIVE",IF(H1503&lt;p_min-0.005,"low","OK")))</f>
        <v>OK</v>
      </c>
      <c r="L1503" s="4" t="s">
        <v>414</v>
      </c>
    </row>
    <row r="1504" customFormat="false" ht="15" hidden="false" customHeight="false" outlineLevel="0" collapsed="false">
      <c r="A1504" s="4" t="s">
        <v>44</v>
      </c>
      <c r="B1504" s="4" t="s">
        <v>373</v>
      </c>
      <c r="C1504" s="47" t="n">
        <v>6316.83</v>
      </c>
      <c r="D1504" s="48" t="n">
        <v>1576.48</v>
      </c>
      <c r="E1504" s="49" t="n">
        <f aca="false">D1504-cover</f>
        <v>1575.28</v>
      </c>
      <c r="F1504" s="50" t="n">
        <f aca="false">'Z6 Nkangamo-Uhuru'!S18-'Z6 Nkangamo-Uhuru'!P18*C1504/'Z6 Nkangamo-Uhuru'!G18</f>
        <v>1728.38888342934</v>
      </c>
      <c r="G1504" s="51" t="n">
        <f aca="false">'Z6 Nkangamo-Uhuru'!$B$8-E1504</f>
        <v>131.22</v>
      </c>
      <c r="H1504" s="52" t="n">
        <f aca="false">F1504-E1504</f>
        <v>153.108883429336</v>
      </c>
      <c r="I1504" s="52" t="n">
        <f aca="false">MAX(H1504,G1504)</f>
        <v>153.108883429336</v>
      </c>
      <c r="J1504" s="4" t="str">
        <f aca="false">IFERROR("PN"&amp;SMALL(PN_list,COUNTIF(PN_list,"&lt;"&amp;I1504*bar_per_m)+1),"&gt; max PN")</f>
        <v>PN16</v>
      </c>
      <c r="K1504" s="4" t="str">
        <f aca="false">IF(L1504="no","end at tank",IF(H1504&lt;0,"NEGATIVE",IF(H1504&lt;p_min-0.005,"low","OK")))</f>
        <v>OK</v>
      </c>
      <c r="L1504" s="4" t="s">
        <v>414</v>
      </c>
    </row>
    <row r="1505" customFormat="false" ht="15" hidden="false" customHeight="false" outlineLevel="0" collapsed="false">
      <c r="A1505" s="4" t="s">
        <v>44</v>
      </c>
      <c r="B1505" s="4" t="s">
        <v>373</v>
      </c>
      <c r="C1505" s="47" t="n">
        <v>6336.85</v>
      </c>
      <c r="D1505" s="48" t="n">
        <v>1577.46</v>
      </c>
      <c r="E1505" s="49" t="n">
        <f aca="false">D1505-cover</f>
        <v>1576.26</v>
      </c>
      <c r="F1505" s="50" t="n">
        <f aca="false">'Z6 Nkangamo-Uhuru'!S18-'Z6 Nkangamo-Uhuru'!P18*C1505/'Z6 Nkangamo-Uhuru'!G18</f>
        <v>1728.35769897309</v>
      </c>
      <c r="G1505" s="51" t="n">
        <f aca="false">'Z6 Nkangamo-Uhuru'!$B$8-E1505</f>
        <v>130.24</v>
      </c>
      <c r="H1505" s="52" t="n">
        <f aca="false">F1505-E1505</f>
        <v>152.097698973087</v>
      </c>
      <c r="I1505" s="52" t="n">
        <f aca="false">MAX(H1505,G1505)</f>
        <v>152.097698973087</v>
      </c>
      <c r="J1505" s="4" t="str">
        <f aca="false">IFERROR("PN"&amp;SMALL(PN_list,COUNTIF(PN_list,"&lt;"&amp;I1505*bar_per_m)+1),"&gt; max PN")</f>
        <v>PN16</v>
      </c>
      <c r="K1505" s="4" t="str">
        <f aca="false">IF(L1505="no","end at tank",IF(H1505&lt;0,"NEGATIVE",IF(H1505&lt;p_min-0.005,"low","OK")))</f>
        <v>OK</v>
      </c>
      <c r="L1505" s="4" t="s">
        <v>414</v>
      </c>
    </row>
    <row r="1506" customFormat="false" ht="15" hidden="false" customHeight="false" outlineLevel="0" collapsed="false">
      <c r="A1506" s="4" t="s">
        <v>44</v>
      </c>
      <c r="B1506" s="4" t="s">
        <v>373</v>
      </c>
      <c r="C1506" s="47" t="n">
        <v>6356.92</v>
      </c>
      <c r="D1506" s="48" t="n">
        <v>1579.12</v>
      </c>
      <c r="E1506" s="49" t="n">
        <f aca="false">D1506-cover</f>
        <v>1577.92</v>
      </c>
      <c r="F1506" s="50" t="n">
        <f aca="false">'Z6 Nkangamo-Uhuru'!S18-'Z6 Nkangamo-Uhuru'!P18*C1506/'Z6 Nkangamo-Uhuru'!G18</f>
        <v>1728.32643663358</v>
      </c>
      <c r="G1506" s="51" t="n">
        <f aca="false">'Z6 Nkangamo-Uhuru'!$B$8-E1506</f>
        <v>128.58</v>
      </c>
      <c r="H1506" s="52" t="n">
        <f aca="false">F1506-E1506</f>
        <v>150.406436633579</v>
      </c>
      <c r="I1506" s="52" t="n">
        <f aca="false">MAX(H1506,G1506)</f>
        <v>150.406436633579</v>
      </c>
      <c r="J1506" s="4" t="str">
        <f aca="false">IFERROR("PN"&amp;SMALL(PN_list,COUNTIF(PN_list,"&lt;"&amp;I1506*bar_per_m)+1),"&gt; max PN")</f>
        <v>PN16</v>
      </c>
      <c r="K1506" s="4" t="str">
        <f aca="false">IF(L1506="no","end at tank",IF(H1506&lt;0,"NEGATIVE",IF(H1506&lt;p_min-0.005,"low","OK")))</f>
        <v>OK</v>
      </c>
      <c r="L1506" s="4" t="s">
        <v>414</v>
      </c>
    </row>
    <row r="1507" customFormat="false" ht="15" hidden="false" customHeight="false" outlineLevel="0" collapsed="false">
      <c r="A1507" s="4" t="s">
        <v>44</v>
      </c>
      <c r="B1507" s="4" t="s">
        <v>373</v>
      </c>
      <c r="C1507" s="47" t="n">
        <v>6376.95</v>
      </c>
      <c r="D1507" s="48" t="n">
        <v>1580.15</v>
      </c>
      <c r="E1507" s="49" t="n">
        <f aca="false">D1507-cover</f>
        <v>1578.95</v>
      </c>
      <c r="F1507" s="50" t="n">
        <f aca="false">'Z6 Nkangamo-Uhuru'!S18-'Z6 Nkangamo-Uhuru'!P18*C1507/'Z6 Nkangamo-Uhuru'!G18</f>
        <v>1728.29523660068</v>
      </c>
      <c r="G1507" s="51" t="n">
        <f aca="false">'Z6 Nkangamo-Uhuru'!$B$8-E1507</f>
        <v>127.55</v>
      </c>
      <c r="H1507" s="52" t="n">
        <f aca="false">F1507-E1507</f>
        <v>149.345236600678</v>
      </c>
      <c r="I1507" s="52" t="n">
        <f aca="false">MAX(H1507,G1507)</f>
        <v>149.345236600678</v>
      </c>
      <c r="J1507" s="4" t="str">
        <f aca="false">IFERROR("PN"&amp;SMALL(PN_list,COUNTIF(PN_list,"&lt;"&amp;I1507*bar_per_m)+1),"&gt; max PN")</f>
        <v>PN16</v>
      </c>
      <c r="K1507" s="4" t="str">
        <f aca="false">IF(L1507="no","end at tank",IF(H1507&lt;0,"NEGATIVE",IF(H1507&lt;p_min-0.005,"low","OK")))</f>
        <v>OK</v>
      </c>
      <c r="L1507" s="4" t="s">
        <v>414</v>
      </c>
    </row>
    <row r="1508" customFormat="false" ht="15" hidden="false" customHeight="false" outlineLevel="0" collapsed="false">
      <c r="A1508" s="4" t="s">
        <v>44</v>
      </c>
      <c r="B1508" s="4" t="s">
        <v>373</v>
      </c>
      <c r="C1508" s="47" t="n">
        <v>6396.97</v>
      </c>
      <c r="D1508" s="48" t="n">
        <v>1581.16</v>
      </c>
      <c r="E1508" s="49" t="n">
        <f aca="false">D1508-cover</f>
        <v>1579.96</v>
      </c>
      <c r="F1508" s="50" t="n">
        <f aca="false">'Z6 Nkangamo-Uhuru'!S18-'Z6 Nkangamo-Uhuru'!P18*C1508/'Z6 Nkangamo-Uhuru'!G18</f>
        <v>1728.26405214443</v>
      </c>
      <c r="G1508" s="51" t="n">
        <f aca="false">'Z6 Nkangamo-Uhuru'!$B$8-E1508</f>
        <v>126.54</v>
      </c>
      <c r="H1508" s="52" t="n">
        <f aca="false">F1508-E1508</f>
        <v>148.304052144428</v>
      </c>
      <c r="I1508" s="52" t="n">
        <f aca="false">MAX(H1508,G1508)</f>
        <v>148.304052144428</v>
      </c>
      <c r="J1508" s="4" t="str">
        <f aca="false">IFERROR("PN"&amp;SMALL(PN_list,COUNTIF(PN_list,"&lt;"&amp;I1508*bar_per_m)+1),"&gt; max PN")</f>
        <v>PN16</v>
      </c>
      <c r="K1508" s="4" t="str">
        <f aca="false">IF(L1508="no","end at tank",IF(H1508&lt;0,"NEGATIVE",IF(H1508&lt;p_min-0.005,"low","OK")))</f>
        <v>OK</v>
      </c>
      <c r="L1508" s="4" t="s">
        <v>414</v>
      </c>
    </row>
    <row r="1509" customFormat="false" ht="15" hidden="false" customHeight="false" outlineLevel="0" collapsed="false">
      <c r="A1509" s="4" t="s">
        <v>44</v>
      </c>
      <c r="B1509" s="4" t="s">
        <v>373</v>
      </c>
      <c r="C1509" s="47" t="n">
        <v>6416.98</v>
      </c>
      <c r="D1509" s="48" t="n">
        <v>1580.67</v>
      </c>
      <c r="E1509" s="49" t="n">
        <f aca="false">D1509-cover</f>
        <v>1579.47</v>
      </c>
      <c r="F1509" s="50" t="n">
        <f aca="false">'Z6 Nkangamo-Uhuru'!S18-'Z6 Nkangamo-Uhuru'!P18*C1509/'Z6 Nkangamo-Uhuru'!G18</f>
        <v>1728.23288326483</v>
      </c>
      <c r="G1509" s="51" t="n">
        <f aca="false">'Z6 Nkangamo-Uhuru'!$B$8-E1509</f>
        <v>127.03</v>
      </c>
      <c r="H1509" s="52" t="n">
        <f aca="false">F1509-E1509</f>
        <v>148.76288326483</v>
      </c>
      <c r="I1509" s="52" t="n">
        <f aca="false">MAX(H1509,G1509)</f>
        <v>148.76288326483</v>
      </c>
      <c r="J1509" s="4" t="str">
        <f aca="false">IFERROR("PN"&amp;SMALL(PN_list,COUNTIF(PN_list,"&lt;"&amp;I1509*bar_per_m)+1),"&gt; max PN")</f>
        <v>PN16</v>
      </c>
      <c r="K1509" s="4" t="str">
        <f aca="false">IF(L1509="no","end at tank",IF(H1509&lt;0,"NEGATIVE",IF(H1509&lt;p_min-0.005,"low","OK")))</f>
        <v>OK</v>
      </c>
      <c r="L1509" s="4" t="s">
        <v>414</v>
      </c>
    </row>
    <row r="1510" customFormat="false" ht="15" hidden="false" customHeight="false" outlineLevel="0" collapsed="false">
      <c r="A1510" s="4" t="s">
        <v>44</v>
      </c>
      <c r="B1510" s="4" t="s">
        <v>373</v>
      </c>
      <c r="C1510" s="47" t="n">
        <v>6436.98</v>
      </c>
      <c r="D1510" s="48" t="n">
        <v>1580.8</v>
      </c>
      <c r="E1510" s="49" t="n">
        <f aca="false">D1510-cover</f>
        <v>1579.6</v>
      </c>
      <c r="F1510" s="50" t="n">
        <f aca="false">'Z6 Nkangamo-Uhuru'!S18-'Z6 Nkangamo-Uhuru'!P18*C1510/'Z6 Nkangamo-Uhuru'!G18</f>
        <v>1728.20172996188</v>
      </c>
      <c r="G1510" s="51" t="n">
        <f aca="false">'Z6 Nkangamo-Uhuru'!$B$8-E1510</f>
        <v>126.9</v>
      </c>
      <c r="H1510" s="52" t="n">
        <f aca="false">F1510-E1510</f>
        <v>148.601729961883</v>
      </c>
      <c r="I1510" s="52" t="n">
        <f aca="false">MAX(H1510,G1510)</f>
        <v>148.601729961883</v>
      </c>
      <c r="J1510" s="4" t="str">
        <f aca="false">IFERROR("PN"&amp;SMALL(PN_list,COUNTIF(PN_list,"&lt;"&amp;I1510*bar_per_m)+1),"&gt; max PN")</f>
        <v>PN16</v>
      </c>
      <c r="K1510" s="4" t="str">
        <f aca="false">IF(L1510="no","end at tank",IF(H1510&lt;0,"NEGATIVE",IF(H1510&lt;p_min-0.005,"low","OK")))</f>
        <v>OK</v>
      </c>
      <c r="L1510" s="4" t="s">
        <v>414</v>
      </c>
    </row>
    <row r="1511" customFormat="false" ht="15" hidden="false" customHeight="false" outlineLevel="0" collapsed="false">
      <c r="A1511" s="4" t="s">
        <v>44</v>
      </c>
      <c r="B1511" s="4" t="s">
        <v>373</v>
      </c>
      <c r="C1511" s="47" t="n">
        <v>6456.98</v>
      </c>
      <c r="D1511" s="48" t="n">
        <v>1580.62</v>
      </c>
      <c r="E1511" s="49" t="n">
        <f aca="false">D1511-cover</f>
        <v>1579.42</v>
      </c>
      <c r="F1511" s="50" t="n">
        <f aca="false">'Z6 Nkangamo-Uhuru'!S18-'Z6 Nkangamo-Uhuru'!P18*C1511/'Z6 Nkangamo-Uhuru'!G18</f>
        <v>1728.17057665894</v>
      </c>
      <c r="G1511" s="51" t="n">
        <f aca="false">'Z6 Nkangamo-Uhuru'!$B$8-E1511</f>
        <v>127.08</v>
      </c>
      <c r="H1511" s="52" t="n">
        <f aca="false">F1511-E1511</f>
        <v>148.750576658937</v>
      </c>
      <c r="I1511" s="52" t="n">
        <f aca="false">MAX(H1511,G1511)</f>
        <v>148.750576658937</v>
      </c>
      <c r="J1511" s="4" t="str">
        <f aca="false">IFERROR("PN"&amp;SMALL(PN_list,COUNTIF(PN_list,"&lt;"&amp;I1511*bar_per_m)+1),"&gt; max PN")</f>
        <v>PN16</v>
      </c>
      <c r="K1511" s="4" t="str">
        <f aca="false">IF(L1511="no","end at tank",IF(H1511&lt;0,"NEGATIVE",IF(H1511&lt;p_min-0.005,"low","OK")))</f>
        <v>OK</v>
      </c>
      <c r="L1511" s="4" t="s">
        <v>414</v>
      </c>
    </row>
    <row r="1512" customFormat="false" ht="15" hidden="false" customHeight="false" outlineLevel="0" collapsed="false">
      <c r="A1512" s="4" t="s">
        <v>44</v>
      </c>
      <c r="B1512" s="4" t="s">
        <v>373</v>
      </c>
      <c r="C1512" s="47" t="n">
        <v>6476.98</v>
      </c>
      <c r="D1512" s="48" t="n">
        <v>1580.55</v>
      </c>
      <c r="E1512" s="49" t="n">
        <f aca="false">D1512-cover</f>
        <v>1579.35</v>
      </c>
      <c r="F1512" s="50" t="n">
        <f aca="false">'Z6 Nkangamo-Uhuru'!S18-'Z6 Nkangamo-Uhuru'!P18*C1512/'Z6 Nkangamo-Uhuru'!G18</f>
        <v>1728.13942335599</v>
      </c>
      <c r="G1512" s="51" t="n">
        <f aca="false">'Z6 Nkangamo-Uhuru'!$B$8-E1512</f>
        <v>127.15</v>
      </c>
      <c r="H1512" s="52" t="n">
        <f aca="false">F1512-E1512</f>
        <v>148.78942335599</v>
      </c>
      <c r="I1512" s="52" t="n">
        <f aca="false">MAX(H1512,G1512)</f>
        <v>148.78942335599</v>
      </c>
      <c r="J1512" s="4" t="str">
        <f aca="false">IFERROR("PN"&amp;SMALL(PN_list,COUNTIF(PN_list,"&lt;"&amp;I1512*bar_per_m)+1),"&gt; max PN")</f>
        <v>PN16</v>
      </c>
      <c r="K1512" s="4" t="str">
        <f aca="false">IF(L1512="no","end at tank",IF(H1512&lt;0,"NEGATIVE",IF(H1512&lt;p_min-0.005,"low","OK")))</f>
        <v>OK</v>
      </c>
      <c r="L1512" s="4" t="s">
        <v>414</v>
      </c>
    </row>
    <row r="1513" customFormat="false" ht="15" hidden="false" customHeight="false" outlineLevel="0" collapsed="false">
      <c r="A1513" s="4" t="s">
        <v>44</v>
      </c>
      <c r="B1513" s="4" t="s">
        <v>373</v>
      </c>
      <c r="C1513" s="47" t="n">
        <v>6497</v>
      </c>
      <c r="D1513" s="48" t="n">
        <v>1581.38</v>
      </c>
      <c r="E1513" s="49" t="n">
        <f aca="false">D1513-cover</f>
        <v>1580.18</v>
      </c>
      <c r="F1513" s="50" t="n">
        <f aca="false">'Z6 Nkangamo-Uhuru'!S18-'Z6 Nkangamo-Uhuru'!P18*C1513/'Z6 Nkangamo-Uhuru'!G18</f>
        <v>1728.10823889974</v>
      </c>
      <c r="G1513" s="51" t="n">
        <f aca="false">'Z6 Nkangamo-Uhuru'!$B$8-E1513</f>
        <v>126.32</v>
      </c>
      <c r="H1513" s="52" t="n">
        <f aca="false">F1513-E1513</f>
        <v>147.92823889974</v>
      </c>
      <c r="I1513" s="52" t="n">
        <f aca="false">MAX(H1513,G1513)</f>
        <v>147.92823889974</v>
      </c>
      <c r="J1513" s="4" t="str">
        <f aca="false">IFERROR("PN"&amp;SMALL(PN_list,COUNTIF(PN_list,"&lt;"&amp;I1513*bar_per_m)+1),"&gt; max PN")</f>
        <v>PN16</v>
      </c>
      <c r="K1513" s="4" t="str">
        <f aca="false">IF(L1513="no","end at tank",IF(H1513&lt;0,"NEGATIVE",IF(H1513&lt;p_min-0.005,"low","OK")))</f>
        <v>OK</v>
      </c>
      <c r="L1513" s="4" t="s">
        <v>414</v>
      </c>
    </row>
    <row r="1514" customFormat="false" ht="15" hidden="false" customHeight="false" outlineLevel="0" collapsed="false">
      <c r="A1514" s="4" t="s">
        <v>44</v>
      </c>
      <c r="B1514" s="4" t="s">
        <v>373</v>
      </c>
      <c r="C1514" s="47" t="n">
        <v>6517.08</v>
      </c>
      <c r="D1514" s="48" t="n">
        <v>1583.25</v>
      </c>
      <c r="E1514" s="49" t="n">
        <f aca="false">D1514-cover</f>
        <v>1582.05</v>
      </c>
      <c r="F1514" s="50" t="n">
        <f aca="false">'Z6 Nkangamo-Uhuru'!S18-'Z6 Nkangamo-Uhuru'!P18*C1514/'Z6 Nkangamo-Uhuru'!G18</f>
        <v>1728.07696098358</v>
      </c>
      <c r="G1514" s="51" t="n">
        <f aca="false">'Z6 Nkangamo-Uhuru'!$B$8-E1514</f>
        <v>124.45</v>
      </c>
      <c r="H1514" s="52" t="n">
        <f aca="false">F1514-E1514</f>
        <v>146.026960983581</v>
      </c>
      <c r="I1514" s="52" t="n">
        <f aca="false">MAX(H1514,G1514)</f>
        <v>146.026960983581</v>
      </c>
      <c r="J1514" s="4" t="str">
        <f aca="false">IFERROR("PN"&amp;SMALL(PN_list,COUNTIF(PN_list,"&lt;"&amp;I1514*bar_per_m)+1),"&gt; max PN")</f>
        <v>PN16</v>
      </c>
      <c r="K1514" s="4" t="str">
        <f aca="false">IF(L1514="no","end at tank",IF(H1514&lt;0,"NEGATIVE",IF(H1514&lt;p_min-0.005,"low","OK")))</f>
        <v>OK</v>
      </c>
      <c r="L1514" s="4" t="s">
        <v>414</v>
      </c>
    </row>
    <row r="1515" customFormat="false" ht="15" hidden="false" customHeight="false" outlineLevel="0" collapsed="false">
      <c r="A1515" s="4" t="s">
        <v>44</v>
      </c>
      <c r="B1515" s="4" t="s">
        <v>373</v>
      </c>
      <c r="C1515" s="47" t="n">
        <v>6537.11</v>
      </c>
      <c r="D1515" s="48" t="n">
        <v>1584.27</v>
      </c>
      <c r="E1515" s="49" t="n">
        <f aca="false">D1515-cover</f>
        <v>1583.07</v>
      </c>
      <c r="F1515" s="50" t="n">
        <f aca="false">'Z6 Nkangamo-Uhuru'!S18-'Z6 Nkangamo-Uhuru'!P18*C1515/'Z6 Nkangamo-Uhuru'!G18</f>
        <v>1728.04576095068</v>
      </c>
      <c r="G1515" s="51" t="n">
        <f aca="false">'Z6 Nkangamo-Uhuru'!$B$8-E1515</f>
        <v>123.43</v>
      </c>
      <c r="H1515" s="52" t="n">
        <f aca="false">F1515-E1515</f>
        <v>144.97576095068</v>
      </c>
      <c r="I1515" s="52" t="n">
        <f aca="false">MAX(H1515,G1515)</f>
        <v>144.97576095068</v>
      </c>
      <c r="J1515" s="4" t="str">
        <f aca="false">IFERROR("PN"&amp;SMALL(PN_list,COUNTIF(PN_list,"&lt;"&amp;I1515*bar_per_m)+1),"&gt; max PN")</f>
        <v>PN16</v>
      </c>
      <c r="K1515" s="4" t="str">
        <f aca="false">IF(L1515="no","end at tank",IF(H1515&lt;0,"NEGATIVE",IF(H1515&lt;p_min-0.005,"low","OK")))</f>
        <v>OK</v>
      </c>
      <c r="L1515" s="4" t="s">
        <v>414</v>
      </c>
    </row>
    <row r="1516" customFormat="false" ht="15" hidden="false" customHeight="false" outlineLevel="0" collapsed="false">
      <c r="A1516" s="4" t="s">
        <v>44</v>
      </c>
      <c r="B1516" s="4" t="s">
        <v>373</v>
      </c>
      <c r="C1516" s="47" t="n">
        <v>6557.17</v>
      </c>
      <c r="D1516" s="48" t="n">
        <v>1585.85</v>
      </c>
      <c r="E1516" s="49" t="n">
        <f aca="false">D1516-cover</f>
        <v>1584.65</v>
      </c>
      <c r="F1516" s="50" t="n">
        <f aca="false">'Z6 Nkangamo-Uhuru'!S18-'Z6 Nkangamo-Uhuru'!P18*C1516/'Z6 Nkangamo-Uhuru'!G18</f>
        <v>1728.01451418782</v>
      </c>
      <c r="G1516" s="51" t="n">
        <f aca="false">'Z6 Nkangamo-Uhuru'!$B$8-E1516</f>
        <v>121.85</v>
      </c>
      <c r="H1516" s="52" t="n">
        <f aca="false">F1516-E1516</f>
        <v>143.364514187824</v>
      </c>
      <c r="I1516" s="52" t="n">
        <f aca="false">MAX(H1516,G1516)</f>
        <v>143.364514187824</v>
      </c>
      <c r="J1516" s="4" t="str">
        <f aca="false">IFERROR("PN"&amp;SMALL(PN_list,COUNTIF(PN_list,"&lt;"&amp;I1516*bar_per_m)+1),"&gt; max PN")</f>
        <v>PN16</v>
      </c>
      <c r="K1516" s="4" t="str">
        <f aca="false">IF(L1516="no","end at tank",IF(H1516&lt;0,"NEGATIVE",IF(H1516&lt;p_min-0.005,"low","OK")))</f>
        <v>OK</v>
      </c>
      <c r="L1516" s="4" t="s">
        <v>414</v>
      </c>
    </row>
    <row r="1517" customFormat="false" ht="15" hidden="false" customHeight="false" outlineLevel="0" collapsed="false">
      <c r="A1517" s="4" t="s">
        <v>44</v>
      </c>
      <c r="B1517" s="4" t="s">
        <v>373</v>
      </c>
      <c r="C1517" s="47" t="n">
        <v>6577.24</v>
      </c>
      <c r="D1517" s="48" t="n">
        <v>1587.5</v>
      </c>
      <c r="E1517" s="49" t="n">
        <f aca="false">D1517-cover</f>
        <v>1586.3</v>
      </c>
      <c r="F1517" s="50" t="n">
        <f aca="false">'Z6 Nkangamo-Uhuru'!S18-'Z6 Nkangamo-Uhuru'!P18*C1517/'Z6 Nkangamo-Uhuru'!G18</f>
        <v>1727.98325184832</v>
      </c>
      <c r="G1517" s="51" t="n">
        <f aca="false">'Z6 Nkangamo-Uhuru'!$B$8-E1517</f>
        <v>120.2</v>
      </c>
      <c r="H1517" s="52" t="n">
        <f aca="false">F1517-E1517</f>
        <v>141.683251848317</v>
      </c>
      <c r="I1517" s="52" t="n">
        <f aca="false">MAX(H1517,G1517)</f>
        <v>141.683251848317</v>
      </c>
      <c r="J1517" s="4" t="str">
        <f aca="false">IFERROR("PN"&amp;SMALL(PN_list,COUNTIF(PN_list,"&lt;"&amp;I1517*bar_per_m)+1),"&gt; max PN")</f>
        <v>PN16</v>
      </c>
      <c r="K1517" s="4" t="str">
        <f aca="false">IF(L1517="no","end at tank",IF(H1517&lt;0,"NEGATIVE",IF(H1517&lt;p_min-0.005,"low","OK")))</f>
        <v>OK</v>
      </c>
      <c r="L1517" s="4" t="s">
        <v>414</v>
      </c>
    </row>
    <row r="1518" customFormat="false" ht="15" hidden="false" customHeight="false" outlineLevel="0" collapsed="false">
      <c r="A1518" s="4" t="s">
        <v>44</v>
      </c>
      <c r="B1518" s="4" t="s">
        <v>373</v>
      </c>
      <c r="C1518" s="47" t="n">
        <v>6597.29</v>
      </c>
      <c r="D1518" s="48" t="n">
        <v>1588.85</v>
      </c>
      <c r="E1518" s="49" t="n">
        <f aca="false">D1518-cover</f>
        <v>1587.65</v>
      </c>
      <c r="F1518" s="50" t="n">
        <f aca="false">'Z6 Nkangamo-Uhuru'!S18-'Z6 Nkangamo-Uhuru'!P18*C1518/'Z6 Nkangamo-Uhuru'!G18</f>
        <v>1727.95202066211</v>
      </c>
      <c r="G1518" s="51" t="n">
        <f aca="false">'Z6 Nkangamo-Uhuru'!$B$8-E1518</f>
        <v>118.85</v>
      </c>
      <c r="H1518" s="52" t="n">
        <f aca="false">F1518-E1518</f>
        <v>140.302020662113</v>
      </c>
      <c r="I1518" s="52" t="n">
        <f aca="false">MAX(H1518,G1518)</f>
        <v>140.302020662113</v>
      </c>
      <c r="J1518" s="4" t="str">
        <f aca="false">IFERROR("PN"&amp;SMALL(PN_list,COUNTIF(PN_list,"&lt;"&amp;I1518*bar_per_m)+1),"&gt; max PN")</f>
        <v>PN16</v>
      </c>
      <c r="K1518" s="4" t="str">
        <f aca="false">IF(L1518="no","end at tank",IF(H1518&lt;0,"NEGATIVE",IF(H1518&lt;p_min-0.005,"low","OK")))</f>
        <v>OK</v>
      </c>
      <c r="L1518" s="4" t="s">
        <v>414</v>
      </c>
    </row>
    <row r="1519" customFormat="false" ht="15" hidden="false" customHeight="false" outlineLevel="0" collapsed="false">
      <c r="A1519" s="4" t="s">
        <v>44</v>
      </c>
      <c r="B1519" s="4" t="s">
        <v>373</v>
      </c>
      <c r="C1519" s="47" t="n">
        <v>6617.41</v>
      </c>
      <c r="D1519" s="48" t="n">
        <v>1591.05</v>
      </c>
      <c r="E1519" s="49" t="n">
        <f aca="false">D1519-cover</f>
        <v>1589.85</v>
      </c>
      <c r="F1519" s="50" t="n">
        <f aca="false">'Z6 Nkangamo-Uhuru'!S18-'Z6 Nkangamo-Uhuru'!P18*C1519/'Z6 Nkangamo-Uhuru'!G18</f>
        <v>1727.92068043935</v>
      </c>
      <c r="G1519" s="51" t="n">
        <f aca="false">'Z6 Nkangamo-Uhuru'!$B$8-E1519</f>
        <v>116.65</v>
      </c>
      <c r="H1519" s="52" t="n">
        <f aca="false">F1519-E1519</f>
        <v>138.070680439349</v>
      </c>
      <c r="I1519" s="52" t="n">
        <f aca="false">MAX(H1519,G1519)</f>
        <v>138.070680439349</v>
      </c>
      <c r="J1519" s="4" t="str">
        <f aca="false">IFERROR("PN"&amp;SMALL(PN_list,COUNTIF(PN_list,"&lt;"&amp;I1519*bar_per_m)+1),"&gt; max PN")</f>
        <v>PN16</v>
      </c>
      <c r="K1519" s="4" t="str">
        <f aca="false">IF(L1519="no","end at tank",IF(H1519&lt;0,"NEGATIVE",IF(H1519&lt;p_min-0.005,"low","OK")))</f>
        <v>OK</v>
      </c>
      <c r="L1519" s="4" t="s">
        <v>414</v>
      </c>
    </row>
    <row r="1520" customFormat="false" ht="15" hidden="false" customHeight="false" outlineLevel="0" collapsed="false">
      <c r="A1520" s="4" t="s">
        <v>44</v>
      </c>
      <c r="B1520" s="4" t="s">
        <v>373</v>
      </c>
      <c r="C1520" s="47" t="n">
        <v>6637.44</v>
      </c>
      <c r="D1520" s="48" t="n">
        <v>1592.24</v>
      </c>
      <c r="E1520" s="49" t="n">
        <f aca="false">D1520-cover</f>
        <v>1591.04</v>
      </c>
      <c r="F1520" s="50" t="n">
        <f aca="false">'Z6 Nkangamo-Uhuru'!S18-'Z6 Nkangamo-Uhuru'!P18*C1520/'Z6 Nkangamo-Uhuru'!G18</f>
        <v>1727.88948040645</v>
      </c>
      <c r="G1520" s="51" t="n">
        <f aca="false">'Z6 Nkangamo-Uhuru'!$B$8-E1520</f>
        <v>115.46</v>
      </c>
      <c r="H1520" s="52" t="n">
        <f aca="false">F1520-E1520</f>
        <v>136.849480406447</v>
      </c>
      <c r="I1520" s="52" t="n">
        <f aca="false">MAX(H1520,G1520)</f>
        <v>136.849480406447</v>
      </c>
      <c r="J1520" s="4" t="str">
        <f aca="false">IFERROR("PN"&amp;SMALL(PN_list,COUNTIF(PN_list,"&lt;"&amp;I1520*bar_per_m)+1),"&gt; max PN")</f>
        <v>PN16</v>
      </c>
      <c r="K1520" s="4" t="str">
        <f aca="false">IF(L1520="no","end at tank",IF(H1520&lt;0,"NEGATIVE",IF(H1520&lt;p_min-0.005,"low","OK")))</f>
        <v>OK</v>
      </c>
      <c r="L1520" s="4" t="s">
        <v>414</v>
      </c>
    </row>
    <row r="1521" customFormat="false" ht="15" hidden="false" customHeight="false" outlineLevel="0" collapsed="false">
      <c r="A1521" s="4" t="s">
        <v>44</v>
      </c>
      <c r="B1521" s="4" t="s">
        <v>373</v>
      </c>
      <c r="C1521" s="47" t="n">
        <v>6657.47</v>
      </c>
      <c r="D1521" s="48" t="n">
        <v>1593.39</v>
      </c>
      <c r="E1521" s="49" t="n">
        <f aca="false">D1521-cover</f>
        <v>1592.19</v>
      </c>
      <c r="F1521" s="50" t="n">
        <f aca="false">'Z6 Nkangamo-Uhuru'!S18-'Z6 Nkangamo-Uhuru'!P18*C1521/'Z6 Nkangamo-Uhuru'!G18</f>
        <v>1727.85828037355</v>
      </c>
      <c r="G1521" s="51" t="n">
        <f aca="false">'Z6 Nkangamo-Uhuru'!$B$8-E1521</f>
        <v>114.31</v>
      </c>
      <c r="H1521" s="52" t="n">
        <f aca="false">F1521-E1521</f>
        <v>135.668280373546</v>
      </c>
      <c r="I1521" s="52" t="n">
        <f aca="false">MAX(H1521,G1521)</f>
        <v>135.668280373546</v>
      </c>
      <c r="J1521" s="4" t="str">
        <f aca="false">IFERROR("PN"&amp;SMALL(PN_list,COUNTIF(PN_list,"&lt;"&amp;I1521*bar_per_m)+1),"&gt; max PN")</f>
        <v>PN16</v>
      </c>
      <c r="K1521" s="4" t="str">
        <f aca="false">IF(L1521="no","end at tank",IF(H1521&lt;0,"NEGATIVE",IF(H1521&lt;p_min-0.005,"low","OK")))</f>
        <v>OK</v>
      </c>
      <c r="L1521" s="4" t="s">
        <v>414</v>
      </c>
    </row>
    <row r="1522" customFormat="false" ht="15" hidden="false" customHeight="false" outlineLevel="0" collapsed="false">
      <c r="A1522" s="4" t="s">
        <v>44</v>
      </c>
      <c r="B1522" s="4" t="s">
        <v>373</v>
      </c>
      <c r="C1522" s="47" t="n">
        <v>6677.66</v>
      </c>
      <c r="D1522" s="48" t="n">
        <v>1596.15</v>
      </c>
      <c r="E1522" s="49" t="n">
        <f aca="false">D1522-cover</f>
        <v>1594.95</v>
      </c>
      <c r="F1522" s="50" t="n">
        <f aca="false">'Z6 Nkangamo-Uhuru'!S18-'Z6 Nkangamo-Uhuru'!P18*C1522/'Z6 Nkangamo-Uhuru'!G18</f>
        <v>1727.82683111422</v>
      </c>
      <c r="G1522" s="51" t="n">
        <f aca="false">'Z6 Nkangamo-Uhuru'!$B$8-E1522</f>
        <v>111.55</v>
      </c>
      <c r="H1522" s="52" t="n">
        <f aca="false">F1522-E1522</f>
        <v>132.876831114221</v>
      </c>
      <c r="I1522" s="52" t="n">
        <f aca="false">MAX(H1522,G1522)</f>
        <v>132.876831114221</v>
      </c>
      <c r="J1522" s="4" t="str">
        <f aca="false">IFERROR("PN"&amp;SMALL(PN_list,COUNTIF(PN_list,"&lt;"&amp;I1522*bar_per_m)+1),"&gt; max PN")</f>
        <v>PN16</v>
      </c>
      <c r="K1522" s="4" t="str">
        <f aca="false">IF(L1522="no","end at tank",IF(H1522&lt;0,"NEGATIVE",IF(H1522&lt;p_min-0.005,"low","OK")))</f>
        <v>OK</v>
      </c>
      <c r="L1522" s="4" t="s">
        <v>414</v>
      </c>
    </row>
    <row r="1523" customFormat="false" ht="15" hidden="false" customHeight="false" outlineLevel="0" collapsed="false">
      <c r="A1523" s="4" t="s">
        <v>44</v>
      </c>
      <c r="B1523" s="4" t="s">
        <v>373</v>
      </c>
      <c r="C1523" s="47" t="n">
        <v>6697.72</v>
      </c>
      <c r="D1523" s="48" t="n">
        <v>1594.68</v>
      </c>
      <c r="E1523" s="49" t="n">
        <f aca="false">D1523-cover</f>
        <v>1593.48</v>
      </c>
      <c r="F1523" s="50" t="n">
        <f aca="false">'Z6 Nkangamo-Uhuru'!S18-'Z6 Nkangamo-Uhuru'!P18*C1523/'Z6 Nkangamo-Uhuru'!G18</f>
        <v>1727.79558435137</v>
      </c>
      <c r="G1523" s="51" t="n">
        <f aca="false">'Z6 Nkangamo-Uhuru'!$B$8-E1523</f>
        <v>113.02</v>
      </c>
      <c r="H1523" s="52" t="n">
        <f aca="false">F1523-E1523</f>
        <v>134.315584351366</v>
      </c>
      <c r="I1523" s="52" t="n">
        <f aca="false">MAX(H1523,G1523)</f>
        <v>134.315584351366</v>
      </c>
      <c r="J1523" s="4" t="str">
        <f aca="false">IFERROR("PN"&amp;SMALL(PN_list,COUNTIF(PN_list,"&lt;"&amp;I1523*bar_per_m)+1),"&gt; max PN")</f>
        <v>PN16</v>
      </c>
      <c r="K1523" s="4" t="str">
        <f aca="false">IF(L1523="no","end at tank",IF(H1523&lt;0,"NEGATIVE",IF(H1523&lt;p_min-0.005,"low","OK")))</f>
        <v>OK</v>
      </c>
      <c r="L1523" s="4" t="s">
        <v>414</v>
      </c>
    </row>
    <row r="1524" customFormat="false" ht="15" hidden="false" customHeight="false" outlineLevel="0" collapsed="false">
      <c r="A1524" s="4" t="s">
        <v>44</v>
      </c>
      <c r="B1524" s="4" t="s">
        <v>373</v>
      </c>
      <c r="C1524" s="47" t="n">
        <v>6717.76</v>
      </c>
      <c r="D1524" s="48" t="n">
        <v>1595.93</v>
      </c>
      <c r="E1524" s="49" t="n">
        <f aca="false">D1524-cover</f>
        <v>1594.73</v>
      </c>
      <c r="F1524" s="50" t="n">
        <f aca="false">'Z6 Nkangamo-Uhuru'!S18-'Z6 Nkangamo-Uhuru'!P18*C1524/'Z6 Nkangamo-Uhuru'!G18</f>
        <v>1727.76436874181</v>
      </c>
      <c r="G1524" s="51" t="n">
        <f aca="false">'Z6 Nkangamo-Uhuru'!$B$8-E1524</f>
        <v>111.77</v>
      </c>
      <c r="H1524" s="52" t="n">
        <f aca="false">F1524-E1524</f>
        <v>133.034368741813</v>
      </c>
      <c r="I1524" s="52" t="n">
        <f aca="false">MAX(H1524,G1524)</f>
        <v>133.034368741813</v>
      </c>
      <c r="J1524" s="4" t="str">
        <f aca="false">IFERROR("PN"&amp;SMALL(PN_list,COUNTIF(PN_list,"&lt;"&amp;I1524*bar_per_m)+1),"&gt; max PN")</f>
        <v>PN16</v>
      </c>
      <c r="K1524" s="4" t="str">
        <f aca="false">IF(L1524="no","end at tank",IF(H1524&lt;0,"NEGATIVE",IF(H1524&lt;p_min-0.005,"low","OK")))</f>
        <v>OK</v>
      </c>
      <c r="L1524" s="4" t="s">
        <v>414</v>
      </c>
    </row>
    <row r="1525" customFormat="false" ht="15" hidden="false" customHeight="false" outlineLevel="0" collapsed="false">
      <c r="A1525" s="4" t="s">
        <v>44</v>
      </c>
      <c r="B1525" s="4" t="s">
        <v>373</v>
      </c>
      <c r="C1525" s="47" t="n">
        <v>6737.76</v>
      </c>
      <c r="D1525" s="48" t="n">
        <v>1596.36</v>
      </c>
      <c r="E1525" s="49" t="n">
        <f aca="false">D1525-cover</f>
        <v>1595.16</v>
      </c>
      <c r="F1525" s="50" t="n">
        <f aca="false">'Z6 Nkangamo-Uhuru'!S18-'Z6 Nkangamo-Uhuru'!P18*C1525/'Z6 Nkangamo-Uhuru'!G18</f>
        <v>1727.73321543887</v>
      </c>
      <c r="G1525" s="51" t="n">
        <f aca="false">'Z6 Nkangamo-Uhuru'!$B$8-E1525</f>
        <v>111.34</v>
      </c>
      <c r="H1525" s="52" t="n">
        <f aca="false">F1525-E1525</f>
        <v>132.573215438866</v>
      </c>
      <c r="I1525" s="52" t="n">
        <f aca="false">MAX(H1525,G1525)</f>
        <v>132.573215438866</v>
      </c>
      <c r="J1525" s="4" t="str">
        <f aca="false">IFERROR("PN"&amp;SMALL(PN_list,COUNTIF(PN_list,"&lt;"&amp;I1525*bar_per_m)+1),"&gt; max PN")</f>
        <v>PN16</v>
      </c>
      <c r="K1525" s="4" t="str">
        <f aca="false">IF(L1525="no","end at tank",IF(H1525&lt;0,"NEGATIVE",IF(H1525&lt;p_min-0.005,"low","OK")))</f>
        <v>OK</v>
      </c>
      <c r="L1525" s="4" t="s">
        <v>414</v>
      </c>
    </row>
    <row r="1526" customFormat="false" ht="15" hidden="false" customHeight="false" outlineLevel="0" collapsed="false">
      <c r="A1526" s="4" t="s">
        <v>44</v>
      </c>
      <c r="B1526" s="4" t="s">
        <v>373</v>
      </c>
      <c r="C1526" s="47" t="n">
        <v>6757.77</v>
      </c>
      <c r="D1526" s="48" t="n">
        <v>1597.04</v>
      </c>
      <c r="E1526" s="49" t="n">
        <f aca="false">D1526-cover</f>
        <v>1595.84</v>
      </c>
      <c r="F1526" s="50" t="n">
        <f aca="false">'Z6 Nkangamo-Uhuru'!S18-'Z6 Nkangamo-Uhuru'!P18*C1526/'Z6 Nkangamo-Uhuru'!G18</f>
        <v>1727.70204655927</v>
      </c>
      <c r="G1526" s="51" t="n">
        <f aca="false">'Z6 Nkangamo-Uhuru'!$B$8-E1526</f>
        <v>110.66</v>
      </c>
      <c r="H1526" s="52" t="n">
        <f aca="false">F1526-E1526</f>
        <v>131.862046559268</v>
      </c>
      <c r="I1526" s="52" t="n">
        <f aca="false">MAX(H1526,G1526)</f>
        <v>131.862046559268</v>
      </c>
      <c r="J1526" s="4" t="str">
        <f aca="false">IFERROR("PN"&amp;SMALL(PN_list,COUNTIF(PN_list,"&lt;"&amp;I1526*bar_per_m)+1),"&gt; max PN")</f>
        <v>PN16</v>
      </c>
      <c r="K1526" s="4" t="str">
        <f aca="false">IF(L1526="no","end at tank",IF(H1526&lt;0,"NEGATIVE",IF(H1526&lt;p_min-0.005,"low","OK")))</f>
        <v>OK</v>
      </c>
      <c r="L1526" s="4" t="s">
        <v>414</v>
      </c>
    </row>
    <row r="1527" customFormat="false" ht="15" hidden="false" customHeight="false" outlineLevel="0" collapsed="false">
      <c r="A1527" s="4" t="s">
        <v>44</v>
      </c>
      <c r="B1527" s="4" t="s">
        <v>373</v>
      </c>
      <c r="C1527" s="47" t="n">
        <v>6777.79</v>
      </c>
      <c r="D1527" s="48" t="n">
        <v>1597.97</v>
      </c>
      <c r="E1527" s="49" t="n">
        <f aca="false">D1527-cover</f>
        <v>1596.77</v>
      </c>
      <c r="F1527" s="50" t="n">
        <f aca="false">'Z6 Nkangamo-Uhuru'!S18-'Z6 Nkangamo-Uhuru'!P18*C1527/'Z6 Nkangamo-Uhuru'!G18</f>
        <v>1727.67086210302</v>
      </c>
      <c r="G1527" s="51" t="n">
        <f aca="false">'Z6 Nkangamo-Uhuru'!$B$8-E1527</f>
        <v>109.73</v>
      </c>
      <c r="H1527" s="52" t="n">
        <f aca="false">F1527-E1527</f>
        <v>130.900862103018</v>
      </c>
      <c r="I1527" s="52" t="n">
        <f aca="false">MAX(H1527,G1527)</f>
        <v>130.900862103018</v>
      </c>
      <c r="J1527" s="4" t="str">
        <f aca="false">IFERROR("PN"&amp;SMALL(PN_list,COUNTIF(PN_list,"&lt;"&amp;I1527*bar_per_m)+1),"&gt; max PN")</f>
        <v>PN16</v>
      </c>
      <c r="K1527" s="4" t="str">
        <f aca="false">IF(L1527="no","end at tank",IF(H1527&lt;0,"NEGATIVE",IF(H1527&lt;p_min-0.005,"low","OK")))</f>
        <v>OK</v>
      </c>
      <c r="L1527" s="4" t="s">
        <v>414</v>
      </c>
    </row>
    <row r="1528" customFormat="false" ht="15" hidden="false" customHeight="false" outlineLevel="0" collapsed="false">
      <c r="A1528" s="4" t="s">
        <v>44</v>
      </c>
      <c r="B1528" s="4" t="s">
        <v>373</v>
      </c>
      <c r="C1528" s="47" t="n">
        <v>6797.8</v>
      </c>
      <c r="D1528" s="48" t="n">
        <v>1598.3</v>
      </c>
      <c r="E1528" s="49" t="n">
        <f aca="false">D1528-cover</f>
        <v>1597.1</v>
      </c>
      <c r="F1528" s="50" t="n">
        <f aca="false">'Z6 Nkangamo-Uhuru'!S18-'Z6 Nkangamo-Uhuru'!P18*C1528/'Z6 Nkangamo-Uhuru'!G18</f>
        <v>1727.63969322342</v>
      </c>
      <c r="G1528" s="51" t="n">
        <f aca="false">'Z6 Nkangamo-Uhuru'!$B$8-E1528</f>
        <v>109.4</v>
      </c>
      <c r="H1528" s="52" t="n">
        <f aca="false">F1528-E1528</f>
        <v>130.53969322342</v>
      </c>
      <c r="I1528" s="52" t="n">
        <f aca="false">MAX(H1528,G1528)</f>
        <v>130.53969322342</v>
      </c>
      <c r="J1528" s="4" t="str">
        <f aca="false">IFERROR("PN"&amp;SMALL(PN_list,COUNTIF(PN_list,"&lt;"&amp;I1528*bar_per_m)+1),"&gt; max PN")</f>
        <v>PN16</v>
      </c>
      <c r="K1528" s="4" t="str">
        <f aca="false">IF(L1528="no","end at tank",IF(H1528&lt;0,"NEGATIVE",IF(H1528&lt;p_min-0.005,"low","OK")))</f>
        <v>OK</v>
      </c>
      <c r="L1528" s="4" t="s">
        <v>414</v>
      </c>
    </row>
    <row r="1529" customFormat="false" ht="15" hidden="false" customHeight="false" outlineLevel="0" collapsed="false">
      <c r="A1529" s="4" t="s">
        <v>44</v>
      </c>
      <c r="B1529" s="4" t="s">
        <v>373</v>
      </c>
      <c r="C1529" s="47" t="n">
        <v>6817.81</v>
      </c>
      <c r="D1529" s="48" t="n">
        <v>1598.93</v>
      </c>
      <c r="E1529" s="49" t="n">
        <f aca="false">D1529-cover</f>
        <v>1597.73</v>
      </c>
      <c r="F1529" s="50" t="n">
        <f aca="false">'Z6 Nkangamo-Uhuru'!S18-'Z6 Nkangamo-Uhuru'!P18*C1529/'Z6 Nkangamo-Uhuru'!G18</f>
        <v>1727.60852434382</v>
      </c>
      <c r="G1529" s="51" t="n">
        <f aca="false">'Z6 Nkangamo-Uhuru'!$B$8-E1529</f>
        <v>108.77</v>
      </c>
      <c r="H1529" s="52" t="n">
        <f aca="false">F1529-E1529</f>
        <v>129.878524343821</v>
      </c>
      <c r="I1529" s="52" t="n">
        <f aca="false">MAX(H1529,G1529)</f>
        <v>129.878524343821</v>
      </c>
      <c r="J1529" s="4" t="str">
        <f aca="false">IFERROR("PN"&amp;SMALL(PN_list,COUNTIF(PN_list,"&lt;"&amp;I1529*bar_per_m)+1),"&gt; max PN")</f>
        <v>PN16</v>
      </c>
      <c r="K1529" s="4" t="str">
        <f aca="false">IF(L1529="no","end at tank",IF(H1529&lt;0,"NEGATIVE",IF(H1529&lt;p_min-0.005,"low","OK")))</f>
        <v>OK</v>
      </c>
      <c r="L1529" s="4" t="s">
        <v>414</v>
      </c>
    </row>
    <row r="1530" customFormat="false" ht="15" hidden="false" customHeight="false" outlineLevel="0" collapsed="false">
      <c r="A1530" s="4" t="s">
        <v>44</v>
      </c>
      <c r="B1530" s="4" t="s">
        <v>373</v>
      </c>
      <c r="C1530" s="47" t="n">
        <v>6837.81</v>
      </c>
      <c r="D1530" s="48" t="n">
        <v>1599.32</v>
      </c>
      <c r="E1530" s="49" t="n">
        <f aca="false">D1530-cover</f>
        <v>1598.12</v>
      </c>
      <c r="F1530" s="50" t="n">
        <f aca="false">'Z6 Nkangamo-Uhuru'!S18-'Z6 Nkangamo-Uhuru'!P18*C1530/'Z6 Nkangamo-Uhuru'!G18</f>
        <v>1727.57737104087</v>
      </c>
      <c r="G1530" s="51" t="n">
        <f aca="false">'Z6 Nkangamo-Uhuru'!$B$8-E1530</f>
        <v>108.38</v>
      </c>
      <c r="H1530" s="52" t="n">
        <f aca="false">F1530-E1530</f>
        <v>129.457371040874</v>
      </c>
      <c r="I1530" s="52" t="n">
        <f aca="false">MAX(H1530,G1530)</f>
        <v>129.457371040874</v>
      </c>
      <c r="J1530" s="4" t="str">
        <f aca="false">IFERROR("PN"&amp;SMALL(PN_list,COUNTIF(PN_list,"&lt;"&amp;I1530*bar_per_m)+1),"&gt; max PN")</f>
        <v>PN16</v>
      </c>
      <c r="K1530" s="4" t="str">
        <f aca="false">IF(L1530="no","end at tank",IF(H1530&lt;0,"NEGATIVE",IF(H1530&lt;p_min-0.005,"low","OK")))</f>
        <v>OK</v>
      </c>
      <c r="L1530" s="4" t="s">
        <v>414</v>
      </c>
    </row>
    <row r="1531" customFormat="false" ht="15" hidden="false" customHeight="false" outlineLevel="0" collapsed="false">
      <c r="A1531" s="4" t="s">
        <v>44</v>
      </c>
      <c r="B1531" s="4" t="s">
        <v>373</v>
      </c>
      <c r="C1531" s="47" t="n">
        <v>6857.82</v>
      </c>
      <c r="D1531" s="48" t="n">
        <v>1599.86</v>
      </c>
      <c r="E1531" s="49" t="n">
        <f aca="false">D1531-cover</f>
        <v>1598.66</v>
      </c>
      <c r="F1531" s="50" t="n">
        <f aca="false">'Z6 Nkangamo-Uhuru'!S18-'Z6 Nkangamo-Uhuru'!P18*C1531/'Z6 Nkangamo-Uhuru'!G18</f>
        <v>1727.54620216128</v>
      </c>
      <c r="G1531" s="51" t="n">
        <f aca="false">'Z6 Nkangamo-Uhuru'!$B$8-E1531</f>
        <v>107.84</v>
      </c>
      <c r="H1531" s="52" t="n">
        <f aca="false">F1531-E1531</f>
        <v>128.886202161276</v>
      </c>
      <c r="I1531" s="52" t="n">
        <f aca="false">MAX(H1531,G1531)</f>
        <v>128.886202161276</v>
      </c>
      <c r="J1531" s="4" t="str">
        <f aca="false">IFERROR("PN"&amp;SMALL(PN_list,COUNTIF(PN_list,"&lt;"&amp;I1531*bar_per_m)+1),"&gt; max PN")</f>
        <v>PN16</v>
      </c>
      <c r="K1531" s="4" t="str">
        <f aca="false">IF(L1531="no","end at tank",IF(H1531&lt;0,"NEGATIVE",IF(H1531&lt;p_min-0.005,"low","OK")))</f>
        <v>OK</v>
      </c>
      <c r="L1531" s="4" t="s">
        <v>414</v>
      </c>
    </row>
    <row r="1532" customFormat="false" ht="15" hidden="false" customHeight="false" outlineLevel="0" collapsed="false">
      <c r="A1532" s="4" t="s">
        <v>44</v>
      </c>
      <c r="B1532" s="4" t="s">
        <v>373</v>
      </c>
      <c r="C1532" s="47" t="n">
        <v>6877.82</v>
      </c>
      <c r="D1532" s="48" t="n">
        <v>1600.26</v>
      </c>
      <c r="E1532" s="49" t="n">
        <f aca="false">D1532-cover</f>
        <v>1599.06</v>
      </c>
      <c r="F1532" s="50" t="n">
        <f aca="false">'Z6 Nkangamo-Uhuru'!S18-'Z6 Nkangamo-Uhuru'!P18*C1532/'Z6 Nkangamo-Uhuru'!G18</f>
        <v>1727.51504885833</v>
      </c>
      <c r="G1532" s="51" t="n">
        <f aca="false">'Z6 Nkangamo-Uhuru'!$B$8-E1532</f>
        <v>107.44</v>
      </c>
      <c r="H1532" s="52" t="n">
        <f aca="false">F1532-E1532</f>
        <v>128.455048858329</v>
      </c>
      <c r="I1532" s="52" t="n">
        <f aca="false">MAX(H1532,G1532)</f>
        <v>128.455048858329</v>
      </c>
      <c r="J1532" s="4" t="str">
        <f aca="false">IFERROR("PN"&amp;SMALL(PN_list,COUNTIF(PN_list,"&lt;"&amp;I1532*bar_per_m)+1),"&gt; max PN")</f>
        <v>PN16</v>
      </c>
      <c r="K1532" s="4" t="str">
        <f aca="false">IF(L1532="no","end at tank",IF(H1532&lt;0,"NEGATIVE",IF(H1532&lt;p_min-0.005,"low","OK")))</f>
        <v>OK</v>
      </c>
      <c r="L1532" s="4" t="s">
        <v>414</v>
      </c>
    </row>
    <row r="1533" customFormat="false" ht="15" hidden="false" customHeight="false" outlineLevel="0" collapsed="false">
      <c r="A1533" s="4" t="s">
        <v>44</v>
      </c>
      <c r="B1533" s="4" t="s">
        <v>373</v>
      </c>
      <c r="C1533" s="47" t="n">
        <v>6898.06</v>
      </c>
      <c r="D1533" s="48" t="n">
        <v>1600.6</v>
      </c>
      <c r="E1533" s="49" t="n">
        <f aca="false">D1533-cover</f>
        <v>1599.4</v>
      </c>
      <c r="F1533" s="50" t="n">
        <f aca="false">'Z6 Nkangamo-Uhuru'!S18-'Z6 Nkangamo-Uhuru'!P18*C1533/'Z6 Nkangamo-Uhuru'!G18</f>
        <v>1727.48352171575</v>
      </c>
      <c r="G1533" s="51" t="n">
        <f aca="false">'Z6 Nkangamo-Uhuru'!$B$8-E1533</f>
        <v>107.1</v>
      </c>
      <c r="H1533" s="52" t="n">
        <f aca="false">F1533-E1533</f>
        <v>128.083521715747</v>
      </c>
      <c r="I1533" s="52" t="n">
        <f aca="false">MAX(H1533,G1533)</f>
        <v>128.083521715747</v>
      </c>
      <c r="J1533" s="4" t="str">
        <f aca="false">IFERROR("PN"&amp;SMALL(PN_list,COUNTIF(PN_list,"&lt;"&amp;I1533*bar_per_m)+1),"&gt; max PN")</f>
        <v>PN16</v>
      </c>
      <c r="K1533" s="4" t="str">
        <f aca="false">IF(L1533="no","end at tank",IF(H1533&lt;0,"NEGATIVE",IF(H1533&lt;p_min-0.005,"low","OK")))</f>
        <v>OK</v>
      </c>
      <c r="L1533" s="4" t="s">
        <v>414</v>
      </c>
    </row>
    <row r="1534" customFormat="false" ht="15" hidden="false" customHeight="false" outlineLevel="0" collapsed="false">
      <c r="A1534" s="4" t="s">
        <v>44</v>
      </c>
      <c r="B1534" s="4" t="s">
        <v>373</v>
      </c>
      <c r="C1534" s="47" t="n">
        <v>6918.06</v>
      </c>
      <c r="D1534" s="48" t="n">
        <v>1600.25</v>
      </c>
      <c r="E1534" s="49" t="n">
        <f aca="false">D1534-cover</f>
        <v>1599.05</v>
      </c>
      <c r="F1534" s="50" t="n">
        <f aca="false">'Z6 Nkangamo-Uhuru'!S18-'Z6 Nkangamo-Uhuru'!P18*C1534/'Z6 Nkangamo-Uhuru'!G18</f>
        <v>1727.4523684128</v>
      </c>
      <c r="G1534" s="51" t="n">
        <f aca="false">'Z6 Nkangamo-Uhuru'!$B$8-E1534</f>
        <v>107.45</v>
      </c>
      <c r="H1534" s="52" t="n">
        <f aca="false">F1534-E1534</f>
        <v>128.4023684128</v>
      </c>
      <c r="I1534" s="52" t="n">
        <f aca="false">MAX(H1534,G1534)</f>
        <v>128.4023684128</v>
      </c>
      <c r="J1534" s="4" t="str">
        <f aca="false">IFERROR("PN"&amp;SMALL(PN_list,COUNTIF(PN_list,"&lt;"&amp;I1534*bar_per_m)+1),"&gt; max PN")</f>
        <v>PN16</v>
      </c>
      <c r="K1534" s="4" t="str">
        <f aca="false">IF(L1534="no","end at tank",IF(H1534&lt;0,"NEGATIVE",IF(H1534&lt;p_min-0.005,"low","OK")))</f>
        <v>OK</v>
      </c>
      <c r="L1534" s="4" t="s">
        <v>414</v>
      </c>
    </row>
    <row r="1535" customFormat="false" ht="15" hidden="false" customHeight="false" outlineLevel="0" collapsed="false">
      <c r="A1535" s="4" t="s">
        <v>44</v>
      </c>
      <c r="B1535" s="4" t="s">
        <v>373</v>
      </c>
      <c r="C1535" s="47" t="n">
        <v>6938.06</v>
      </c>
      <c r="D1535" s="48" t="n">
        <v>1600.35</v>
      </c>
      <c r="E1535" s="49" t="n">
        <f aca="false">D1535-cover</f>
        <v>1599.15</v>
      </c>
      <c r="F1535" s="50" t="n">
        <f aca="false">'Z6 Nkangamo-Uhuru'!S18-'Z6 Nkangamo-Uhuru'!P18*C1535/'Z6 Nkangamo-Uhuru'!G18</f>
        <v>1727.42121510985</v>
      </c>
      <c r="G1535" s="51" t="n">
        <f aca="false">'Z6 Nkangamo-Uhuru'!$B$8-E1535</f>
        <v>107.35</v>
      </c>
      <c r="H1535" s="52" t="n">
        <f aca="false">F1535-E1535</f>
        <v>128.271215109854</v>
      </c>
      <c r="I1535" s="52" t="n">
        <f aca="false">MAX(H1535,G1535)</f>
        <v>128.271215109854</v>
      </c>
      <c r="J1535" s="4" t="str">
        <f aca="false">IFERROR("PN"&amp;SMALL(PN_list,COUNTIF(PN_list,"&lt;"&amp;I1535*bar_per_m)+1),"&gt; max PN")</f>
        <v>PN16</v>
      </c>
      <c r="K1535" s="4" t="str">
        <f aca="false">IF(L1535="no","end at tank",IF(H1535&lt;0,"NEGATIVE",IF(H1535&lt;p_min-0.005,"low","OK")))</f>
        <v>OK</v>
      </c>
      <c r="L1535" s="4" t="s">
        <v>414</v>
      </c>
    </row>
    <row r="1536" customFormat="false" ht="15" hidden="false" customHeight="false" outlineLevel="0" collapsed="false">
      <c r="A1536" s="4" t="s">
        <v>44</v>
      </c>
      <c r="B1536" s="4" t="s">
        <v>373</v>
      </c>
      <c r="C1536" s="47" t="n">
        <v>6958.06</v>
      </c>
      <c r="D1536" s="48" t="n">
        <v>1600.39</v>
      </c>
      <c r="E1536" s="49" t="n">
        <f aca="false">D1536-cover</f>
        <v>1599.19</v>
      </c>
      <c r="F1536" s="50" t="n">
        <f aca="false">'Z6 Nkangamo-Uhuru'!S18-'Z6 Nkangamo-Uhuru'!P18*C1536/'Z6 Nkangamo-Uhuru'!G18</f>
        <v>1727.39006180691</v>
      </c>
      <c r="G1536" s="51" t="n">
        <f aca="false">'Z6 Nkangamo-Uhuru'!$B$8-E1536</f>
        <v>107.31</v>
      </c>
      <c r="H1536" s="52" t="n">
        <f aca="false">F1536-E1536</f>
        <v>128.200061806907</v>
      </c>
      <c r="I1536" s="52" t="n">
        <f aca="false">MAX(H1536,G1536)</f>
        <v>128.200061806907</v>
      </c>
      <c r="J1536" s="4" t="str">
        <f aca="false">IFERROR("PN"&amp;SMALL(PN_list,COUNTIF(PN_list,"&lt;"&amp;I1536*bar_per_m)+1),"&gt; max PN")</f>
        <v>PN16</v>
      </c>
      <c r="K1536" s="4" t="str">
        <f aca="false">IF(L1536="no","end at tank",IF(H1536&lt;0,"NEGATIVE",IF(H1536&lt;p_min-0.005,"low","OK")))</f>
        <v>OK</v>
      </c>
      <c r="L1536" s="4" t="s">
        <v>414</v>
      </c>
    </row>
    <row r="1537" customFormat="false" ht="15" hidden="false" customHeight="false" outlineLevel="0" collapsed="false">
      <c r="A1537" s="4" t="s">
        <v>44</v>
      </c>
      <c r="B1537" s="4" t="s">
        <v>373</v>
      </c>
      <c r="C1537" s="47" t="n">
        <v>6978.06</v>
      </c>
      <c r="D1537" s="48" t="n">
        <v>1600.71</v>
      </c>
      <c r="E1537" s="49" t="n">
        <f aca="false">D1537-cover</f>
        <v>1599.51</v>
      </c>
      <c r="F1537" s="50" t="n">
        <f aca="false">'Z6 Nkangamo-Uhuru'!S18-'Z6 Nkangamo-Uhuru'!P18*C1537/'Z6 Nkangamo-Uhuru'!G18</f>
        <v>1727.35890850396</v>
      </c>
      <c r="G1537" s="51" t="n">
        <f aca="false">'Z6 Nkangamo-Uhuru'!$B$8-E1537</f>
        <v>106.99</v>
      </c>
      <c r="H1537" s="52" t="n">
        <f aca="false">F1537-E1537</f>
        <v>127.84890850396</v>
      </c>
      <c r="I1537" s="52" t="n">
        <f aca="false">MAX(H1537,G1537)</f>
        <v>127.84890850396</v>
      </c>
      <c r="J1537" s="4" t="str">
        <f aca="false">IFERROR("PN"&amp;SMALL(PN_list,COUNTIF(PN_list,"&lt;"&amp;I1537*bar_per_m)+1),"&gt; max PN")</f>
        <v>PN16</v>
      </c>
      <c r="K1537" s="4" t="str">
        <f aca="false">IF(L1537="no","end at tank",IF(H1537&lt;0,"NEGATIVE",IF(H1537&lt;p_min-0.005,"low","OK")))</f>
        <v>OK</v>
      </c>
      <c r="L1537" s="4" t="s">
        <v>414</v>
      </c>
    </row>
    <row r="1538" customFormat="false" ht="15" hidden="false" customHeight="false" outlineLevel="0" collapsed="false">
      <c r="A1538" s="4" t="s">
        <v>44</v>
      </c>
      <c r="B1538" s="4" t="s">
        <v>373</v>
      </c>
      <c r="C1538" s="47" t="n">
        <v>6998.06</v>
      </c>
      <c r="D1538" s="48" t="n">
        <v>1600.7</v>
      </c>
      <c r="E1538" s="49" t="n">
        <f aca="false">D1538-cover</f>
        <v>1599.5</v>
      </c>
      <c r="F1538" s="50" t="n">
        <f aca="false">'Z6 Nkangamo-Uhuru'!S18-'Z6 Nkangamo-Uhuru'!P18*C1538/'Z6 Nkangamo-Uhuru'!G18</f>
        <v>1727.32775520101</v>
      </c>
      <c r="G1538" s="51" t="n">
        <f aca="false">'Z6 Nkangamo-Uhuru'!$B$8-E1538</f>
        <v>107</v>
      </c>
      <c r="H1538" s="52" t="n">
        <f aca="false">F1538-E1538</f>
        <v>127.827755201013</v>
      </c>
      <c r="I1538" s="52" t="n">
        <f aca="false">MAX(H1538,G1538)</f>
        <v>127.827755201013</v>
      </c>
      <c r="J1538" s="4" t="str">
        <f aca="false">IFERROR("PN"&amp;SMALL(PN_list,COUNTIF(PN_list,"&lt;"&amp;I1538*bar_per_m)+1),"&gt; max PN")</f>
        <v>PN16</v>
      </c>
      <c r="K1538" s="4" t="str">
        <f aca="false">IF(L1538="no","end at tank",IF(H1538&lt;0,"NEGATIVE",IF(H1538&lt;p_min-0.005,"low","OK")))</f>
        <v>OK</v>
      </c>
      <c r="L1538" s="4" t="s">
        <v>414</v>
      </c>
    </row>
    <row r="1539" customFormat="false" ht="15" hidden="false" customHeight="false" outlineLevel="0" collapsed="false">
      <c r="A1539" s="4" t="s">
        <v>44</v>
      </c>
      <c r="B1539" s="4" t="s">
        <v>373</v>
      </c>
      <c r="C1539" s="47" t="n">
        <v>7017.3</v>
      </c>
      <c r="D1539" s="48" t="n">
        <v>1601.45</v>
      </c>
      <c r="E1539" s="49" t="n">
        <f aca="false">D1539-cover</f>
        <v>1600.25</v>
      </c>
      <c r="F1539" s="50" t="n">
        <f aca="false">'Z6 Nkangamo-Uhuru'!S18-'Z6 Nkangamo-Uhuru'!P18*C1539/'Z6 Nkangamo-Uhuru'!G18</f>
        <v>1727.29778572358</v>
      </c>
      <c r="G1539" s="51" t="n">
        <f aca="false">'Z6 Nkangamo-Uhuru'!$B$8-E1539</f>
        <v>106.25</v>
      </c>
      <c r="H1539" s="52" t="n">
        <f aca="false">F1539-E1539</f>
        <v>127.047785723578</v>
      </c>
      <c r="I1539" s="52" t="n">
        <f aca="false">MAX(H1539,G1539)</f>
        <v>127.047785723578</v>
      </c>
      <c r="J1539" s="4" t="str">
        <f aca="false">IFERROR("PN"&amp;SMALL(PN_list,COUNTIF(PN_list,"&lt;"&amp;I1539*bar_per_m)+1),"&gt; max PN")</f>
        <v>PN16</v>
      </c>
      <c r="K1539" s="4" t="str">
        <f aca="false">IF(L1539="no","end at tank",IF(H1539&lt;0,"NEGATIVE",IF(H1539&lt;p_min-0.005,"low","OK")))</f>
        <v>OK</v>
      </c>
      <c r="L1539" s="4" t="s">
        <v>414</v>
      </c>
    </row>
    <row r="1540" customFormat="false" ht="15" hidden="false" customHeight="false" outlineLevel="0" collapsed="false">
      <c r="A1540" s="4" t="s">
        <v>44</v>
      </c>
      <c r="B1540" s="4" t="s">
        <v>373</v>
      </c>
      <c r="C1540" s="47" t="n">
        <v>7037.34</v>
      </c>
      <c r="D1540" s="48" t="n">
        <v>1602.8</v>
      </c>
      <c r="E1540" s="49" t="n">
        <f aca="false">D1540-cover</f>
        <v>1601.6</v>
      </c>
      <c r="F1540" s="50" t="n">
        <f aca="false">'Z6 Nkangamo-Uhuru'!S18-'Z6 Nkangamo-Uhuru'!P18*C1540/'Z6 Nkangamo-Uhuru'!G18</f>
        <v>1727.26657011403</v>
      </c>
      <c r="G1540" s="51" t="n">
        <f aca="false">'Z6 Nkangamo-Uhuru'!$B$8-E1540</f>
        <v>104.9</v>
      </c>
      <c r="H1540" s="52" t="n">
        <f aca="false">F1540-E1540</f>
        <v>125.666570114025</v>
      </c>
      <c r="I1540" s="52" t="n">
        <f aca="false">MAX(H1540,G1540)</f>
        <v>125.666570114025</v>
      </c>
      <c r="J1540" s="4" t="str">
        <f aca="false">IFERROR("PN"&amp;SMALL(PN_list,COUNTIF(PN_list,"&lt;"&amp;I1540*bar_per_m)+1),"&gt; max PN")</f>
        <v>PN16</v>
      </c>
      <c r="K1540" s="4" t="str">
        <f aca="false">IF(L1540="no","end at tank",IF(H1540&lt;0,"NEGATIVE",IF(H1540&lt;p_min-0.005,"low","OK")))</f>
        <v>OK</v>
      </c>
      <c r="L1540" s="4" t="s">
        <v>414</v>
      </c>
    </row>
    <row r="1541" customFormat="false" ht="15" hidden="false" customHeight="false" outlineLevel="0" collapsed="false">
      <c r="A1541" s="4" t="s">
        <v>44</v>
      </c>
      <c r="B1541" s="4" t="s">
        <v>373</v>
      </c>
      <c r="C1541" s="47" t="n">
        <v>7057.34</v>
      </c>
      <c r="D1541" s="48" t="n">
        <v>1602.88</v>
      </c>
      <c r="E1541" s="49" t="n">
        <f aca="false">D1541-cover</f>
        <v>1601.68</v>
      </c>
      <c r="F1541" s="50" t="n">
        <f aca="false">'Z6 Nkangamo-Uhuru'!S18-'Z6 Nkangamo-Uhuru'!P18*C1541/'Z6 Nkangamo-Uhuru'!G18</f>
        <v>1727.23541681108</v>
      </c>
      <c r="G1541" s="51" t="n">
        <f aca="false">'Z6 Nkangamo-Uhuru'!$B$8-E1541</f>
        <v>104.82</v>
      </c>
      <c r="H1541" s="52" t="n">
        <f aca="false">F1541-E1541</f>
        <v>125.555416811078</v>
      </c>
      <c r="I1541" s="52" t="n">
        <f aca="false">MAX(H1541,G1541)</f>
        <v>125.555416811078</v>
      </c>
      <c r="J1541" s="4" t="str">
        <f aca="false">IFERROR("PN"&amp;SMALL(PN_list,COUNTIF(PN_list,"&lt;"&amp;I1541*bar_per_m)+1),"&gt; max PN")</f>
        <v>PN16</v>
      </c>
      <c r="K1541" s="4" t="str">
        <f aca="false">IF(L1541="no","end at tank",IF(H1541&lt;0,"NEGATIVE",IF(H1541&lt;p_min-0.005,"low","OK")))</f>
        <v>OK</v>
      </c>
      <c r="L1541" s="4" t="s">
        <v>414</v>
      </c>
    </row>
    <row r="1542" customFormat="false" ht="15" hidden="false" customHeight="false" outlineLevel="0" collapsed="false">
      <c r="A1542" s="4" t="s">
        <v>44</v>
      </c>
      <c r="B1542" s="4" t="s">
        <v>373</v>
      </c>
      <c r="C1542" s="47" t="n">
        <v>7077.4</v>
      </c>
      <c r="D1542" s="48" t="n">
        <v>1604.4</v>
      </c>
      <c r="E1542" s="49" t="n">
        <f aca="false">D1542-cover</f>
        <v>1603.2</v>
      </c>
      <c r="F1542" s="50" t="n">
        <f aca="false">'Z6 Nkangamo-Uhuru'!S18-'Z6 Nkangamo-Uhuru'!P18*C1542/'Z6 Nkangamo-Uhuru'!G18</f>
        <v>1727.20417004822</v>
      </c>
      <c r="G1542" s="51" t="n">
        <f aca="false">'Z6 Nkangamo-Uhuru'!$B$8-E1542</f>
        <v>103.3</v>
      </c>
      <c r="H1542" s="52" t="n">
        <f aca="false">F1542-E1542</f>
        <v>124.004170048223</v>
      </c>
      <c r="I1542" s="52" t="n">
        <f aca="false">MAX(H1542,G1542)</f>
        <v>124.004170048223</v>
      </c>
      <c r="J1542" s="4" t="str">
        <f aca="false">IFERROR("PN"&amp;SMALL(PN_list,COUNTIF(PN_list,"&lt;"&amp;I1542*bar_per_m)+1),"&gt; max PN")</f>
        <v>PN16</v>
      </c>
      <c r="K1542" s="4" t="str">
        <f aca="false">IF(L1542="no","end at tank",IF(H1542&lt;0,"NEGATIVE",IF(H1542&lt;p_min-0.005,"low","OK")))</f>
        <v>OK</v>
      </c>
      <c r="L1542" s="4" t="s">
        <v>414</v>
      </c>
    </row>
    <row r="1543" customFormat="false" ht="15" hidden="false" customHeight="false" outlineLevel="0" collapsed="false">
      <c r="A1543" s="4" t="s">
        <v>44</v>
      </c>
      <c r="B1543" s="4" t="s">
        <v>373</v>
      </c>
      <c r="C1543" s="47" t="n">
        <v>7097.41</v>
      </c>
      <c r="D1543" s="48" t="n">
        <v>1605.05</v>
      </c>
      <c r="E1543" s="49" t="n">
        <f aca="false">D1543-cover</f>
        <v>1603.85</v>
      </c>
      <c r="F1543" s="50" t="n">
        <f aca="false">'Z6 Nkangamo-Uhuru'!S18-'Z6 Nkangamo-Uhuru'!P18*C1543/'Z6 Nkangamo-Uhuru'!G18</f>
        <v>1727.17300116862</v>
      </c>
      <c r="G1543" s="51" t="n">
        <f aca="false">'Z6 Nkangamo-Uhuru'!$B$8-E1543</f>
        <v>102.65</v>
      </c>
      <c r="H1543" s="52" t="n">
        <f aca="false">F1543-E1543</f>
        <v>123.323001168625</v>
      </c>
      <c r="I1543" s="52" t="n">
        <f aca="false">MAX(H1543,G1543)</f>
        <v>123.323001168625</v>
      </c>
      <c r="J1543" s="4" t="str">
        <f aca="false">IFERROR("PN"&amp;SMALL(PN_list,COUNTIF(PN_list,"&lt;"&amp;I1543*bar_per_m)+1),"&gt; max PN")</f>
        <v>PN16</v>
      </c>
      <c r="K1543" s="4" t="str">
        <f aca="false">IF(L1543="no","end at tank",IF(H1543&lt;0,"NEGATIVE",IF(H1543&lt;p_min-0.005,"low","OK")))</f>
        <v>OK</v>
      </c>
      <c r="L1543" s="4" t="s">
        <v>414</v>
      </c>
    </row>
    <row r="1544" customFormat="false" ht="15" hidden="false" customHeight="false" outlineLevel="0" collapsed="false">
      <c r="A1544" s="4" t="s">
        <v>44</v>
      </c>
      <c r="B1544" s="4" t="s">
        <v>373</v>
      </c>
      <c r="C1544" s="47" t="n">
        <v>7117.42</v>
      </c>
      <c r="D1544" s="48" t="n">
        <v>1605.75</v>
      </c>
      <c r="E1544" s="49" t="n">
        <f aca="false">D1544-cover</f>
        <v>1604.55</v>
      </c>
      <c r="F1544" s="50" t="n">
        <f aca="false">'Z6 Nkangamo-Uhuru'!S18-'Z6 Nkangamo-Uhuru'!P18*C1544/'Z6 Nkangamo-Uhuru'!G18</f>
        <v>1727.14183228903</v>
      </c>
      <c r="G1544" s="51" t="n">
        <f aca="false">'Z6 Nkangamo-Uhuru'!$B$8-E1544</f>
        <v>101.95</v>
      </c>
      <c r="H1544" s="52" t="n">
        <f aca="false">F1544-E1544</f>
        <v>122.591832289026</v>
      </c>
      <c r="I1544" s="52" t="n">
        <f aca="false">MAX(H1544,G1544)</f>
        <v>122.591832289026</v>
      </c>
      <c r="J1544" s="4" t="str">
        <f aca="false">IFERROR("PN"&amp;SMALL(PN_list,COUNTIF(PN_list,"&lt;"&amp;I1544*bar_per_m)+1),"&gt; max PN")</f>
        <v>PN16</v>
      </c>
      <c r="K1544" s="4" t="str">
        <f aca="false">IF(L1544="no","end at tank",IF(H1544&lt;0,"NEGATIVE",IF(H1544&lt;p_min-0.005,"low","OK")))</f>
        <v>OK</v>
      </c>
      <c r="L1544" s="4" t="s">
        <v>414</v>
      </c>
    </row>
    <row r="1545" customFormat="false" ht="15" hidden="false" customHeight="false" outlineLevel="0" collapsed="false">
      <c r="A1545" s="4" t="s">
        <v>44</v>
      </c>
      <c r="B1545" s="4" t="s">
        <v>373</v>
      </c>
      <c r="C1545" s="47" t="n">
        <v>7137.44</v>
      </c>
      <c r="D1545" s="48" t="n">
        <v>1606.62</v>
      </c>
      <c r="E1545" s="49" t="n">
        <f aca="false">D1545-cover</f>
        <v>1605.42</v>
      </c>
      <c r="F1545" s="50" t="n">
        <f aca="false">'Z6 Nkangamo-Uhuru'!S18-'Z6 Nkangamo-Uhuru'!P18*C1545/'Z6 Nkangamo-Uhuru'!G18</f>
        <v>1727.11064783278</v>
      </c>
      <c r="G1545" s="51" t="n">
        <f aca="false">'Z6 Nkangamo-Uhuru'!$B$8-E1545</f>
        <v>101.08</v>
      </c>
      <c r="H1545" s="52" t="n">
        <f aca="false">F1545-E1545</f>
        <v>121.690647832777</v>
      </c>
      <c r="I1545" s="52" t="n">
        <f aca="false">MAX(H1545,G1545)</f>
        <v>121.690647832777</v>
      </c>
      <c r="J1545" s="4" t="str">
        <f aca="false">IFERROR("PN"&amp;SMALL(PN_list,COUNTIF(PN_list,"&lt;"&amp;I1545*bar_per_m)+1),"&gt; max PN")</f>
        <v>PN16</v>
      </c>
      <c r="K1545" s="4" t="str">
        <f aca="false">IF(L1545="no","end at tank",IF(H1545&lt;0,"NEGATIVE",IF(H1545&lt;p_min-0.005,"low","OK")))</f>
        <v>OK</v>
      </c>
      <c r="L1545" s="4" t="s">
        <v>414</v>
      </c>
    </row>
    <row r="1546" customFormat="false" ht="15" hidden="false" customHeight="false" outlineLevel="0" collapsed="false">
      <c r="A1546" s="4" t="s">
        <v>44</v>
      </c>
      <c r="B1546" s="4" t="s">
        <v>373</v>
      </c>
      <c r="C1546" s="47" t="n">
        <v>7157.45</v>
      </c>
      <c r="D1546" s="48" t="n">
        <v>1607.17</v>
      </c>
      <c r="E1546" s="49" t="n">
        <f aca="false">D1546-cover</f>
        <v>1605.97</v>
      </c>
      <c r="F1546" s="50" t="n">
        <f aca="false">'Z6 Nkangamo-Uhuru'!S18-'Z6 Nkangamo-Uhuru'!P18*C1546/'Z6 Nkangamo-Uhuru'!G18</f>
        <v>1727.07947895318</v>
      </c>
      <c r="G1546" s="51" t="n">
        <f aca="false">'Z6 Nkangamo-Uhuru'!$B$8-E1546</f>
        <v>100.53</v>
      </c>
      <c r="H1546" s="52" t="n">
        <f aca="false">F1546-E1546</f>
        <v>121.109478953178</v>
      </c>
      <c r="I1546" s="52" t="n">
        <f aca="false">MAX(H1546,G1546)</f>
        <v>121.109478953178</v>
      </c>
      <c r="J1546" s="4" t="str">
        <f aca="false">IFERROR("PN"&amp;SMALL(PN_list,COUNTIF(PN_list,"&lt;"&amp;I1546*bar_per_m)+1),"&gt; max PN")</f>
        <v>PN16</v>
      </c>
      <c r="K1546" s="4" t="str">
        <f aca="false">IF(L1546="no","end at tank",IF(H1546&lt;0,"NEGATIVE",IF(H1546&lt;p_min-0.005,"low","OK")))</f>
        <v>OK</v>
      </c>
      <c r="L1546" s="4" t="s">
        <v>414</v>
      </c>
    </row>
    <row r="1547" customFormat="false" ht="15" hidden="false" customHeight="false" outlineLevel="0" collapsed="false">
      <c r="A1547" s="4" t="s">
        <v>44</v>
      </c>
      <c r="B1547" s="4" t="s">
        <v>373</v>
      </c>
      <c r="C1547" s="47" t="n">
        <v>7177.49</v>
      </c>
      <c r="D1547" s="48" t="n">
        <v>1608.45</v>
      </c>
      <c r="E1547" s="49" t="n">
        <f aca="false">D1547-cover</f>
        <v>1607.25</v>
      </c>
      <c r="F1547" s="50" t="n">
        <f aca="false">'Z6 Nkangamo-Uhuru'!S18-'Z6 Nkangamo-Uhuru'!P18*C1547/'Z6 Nkangamo-Uhuru'!G18</f>
        <v>1727.04826334363</v>
      </c>
      <c r="G1547" s="51" t="n">
        <f aca="false">'Z6 Nkangamo-Uhuru'!$B$8-E1547</f>
        <v>99.25</v>
      </c>
      <c r="H1547" s="52" t="n">
        <f aca="false">F1547-E1547</f>
        <v>119.798263343625</v>
      </c>
      <c r="I1547" s="52" t="n">
        <f aca="false">MAX(H1547,G1547)</f>
        <v>119.798263343625</v>
      </c>
      <c r="J1547" s="4" t="str">
        <f aca="false">IFERROR("PN"&amp;SMALL(PN_list,COUNTIF(PN_list,"&lt;"&amp;I1547*bar_per_m)+1),"&gt; max PN")</f>
        <v>PN16</v>
      </c>
      <c r="K1547" s="4" t="str">
        <f aca="false">IF(L1547="no","end at tank",IF(H1547&lt;0,"NEGATIVE",IF(H1547&lt;p_min-0.005,"low","OK")))</f>
        <v>OK</v>
      </c>
      <c r="L1547" s="4" t="s">
        <v>414</v>
      </c>
    </row>
    <row r="1548" customFormat="false" ht="15" hidden="false" customHeight="false" outlineLevel="0" collapsed="false">
      <c r="A1548" s="4" t="s">
        <v>44</v>
      </c>
      <c r="B1548" s="4" t="s">
        <v>373</v>
      </c>
      <c r="C1548" s="47" t="n">
        <v>7197.5</v>
      </c>
      <c r="D1548" s="48" t="n">
        <v>1608.97</v>
      </c>
      <c r="E1548" s="49" t="n">
        <f aca="false">D1548-cover</f>
        <v>1607.77</v>
      </c>
      <c r="F1548" s="50" t="n">
        <f aca="false">'Z6 Nkangamo-Uhuru'!S18-'Z6 Nkangamo-Uhuru'!P18*C1548/'Z6 Nkangamo-Uhuru'!G18</f>
        <v>1727.01709446403</v>
      </c>
      <c r="G1548" s="51" t="n">
        <f aca="false">'Z6 Nkangamo-Uhuru'!$B$8-E1548</f>
        <v>98.73</v>
      </c>
      <c r="H1548" s="52" t="n">
        <f aca="false">F1548-E1548</f>
        <v>119.247094464027</v>
      </c>
      <c r="I1548" s="52" t="n">
        <f aca="false">MAX(H1548,G1548)</f>
        <v>119.247094464027</v>
      </c>
      <c r="J1548" s="4" t="str">
        <f aca="false">IFERROR("PN"&amp;SMALL(PN_list,COUNTIF(PN_list,"&lt;"&amp;I1548*bar_per_m)+1),"&gt; max PN")</f>
        <v>PN16</v>
      </c>
      <c r="K1548" s="4" t="str">
        <f aca="false">IF(L1548="no","end at tank",IF(H1548&lt;0,"NEGATIVE",IF(H1548&lt;p_min-0.005,"low","OK")))</f>
        <v>OK</v>
      </c>
      <c r="L1548" s="4" t="s">
        <v>414</v>
      </c>
    </row>
    <row r="1549" customFormat="false" ht="15" hidden="false" customHeight="false" outlineLevel="0" collapsed="false">
      <c r="A1549" s="4" t="s">
        <v>44</v>
      </c>
      <c r="B1549" s="4" t="s">
        <v>373</v>
      </c>
      <c r="C1549" s="47" t="n">
        <v>7217.52</v>
      </c>
      <c r="D1549" s="48" t="n">
        <v>1609.97</v>
      </c>
      <c r="E1549" s="49" t="n">
        <f aca="false">D1549-cover</f>
        <v>1608.77</v>
      </c>
      <c r="F1549" s="50" t="n">
        <f aca="false">'Z6 Nkangamo-Uhuru'!S18-'Z6 Nkangamo-Uhuru'!P18*C1549/'Z6 Nkangamo-Uhuru'!G18</f>
        <v>1726.98591000778</v>
      </c>
      <c r="G1549" s="51" t="n">
        <f aca="false">'Z6 Nkangamo-Uhuru'!$B$8-E1549</f>
        <v>97.73</v>
      </c>
      <c r="H1549" s="52" t="n">
        <f aca="false">F1549-E1549</f>
        <v>118.215910007777</v>
      </c>
      <c r="I1549" s="52" t="n">
        <f aca="false">MAX(H1549,G1549)</f>
        <v>118.215910007777</v>
      </c>
      <c r="J1549" s="4" t="str">
        <f aca="false">IFERROR("PN"&amp;SMALL(PN_list,COUNTIF(PN_list,"&lt;"&amp;I1549*bar_per_m)+1),"&gt; max PN")</f>
        <v>PN16</v>
      </c>
      <c r="K1549" s="4" t="str">
        <f aca="false">IF(L1549="no","end at tank",IF(H1549&lt;0,"NEGATIVE",IF(H1549&lt;p_min-0.005,"low","OK")))</f>
        <v>OK</v>
      </c>
      <c r="L1549" s="4" t="s">
        <v>414</v>
      </c>
    </row>
    <row r="1550" customFormat="false" ht="15" hidden="false" customHeight="false" outlineLevel="0" collapsed="false">
      <c r="A1550" s="4" t="s">
        <v>44</v>
      </c>
      <c r="B1550" s="4" t="s">
        <v>373</v>
      </c>
      <c r="C1550" s="47" t="n">
        <v>7237.52</v>
      </c>
      <c r="D1550" s="48" t="n">
        <v>1610.33</v>
      </c>
      <c r="E1550" s="49" t="n">
        <f aca="false">D1550-cover</f>
        <v>1609.13</v>
      </c>
      <c r="F1550" s="50" t="n">
        <f aca="false">'Z6 Nkangamo-Uhuru'!S18-'Z6 Nkangamo-Uhuru'!P18*C1550/'Z6 Nkangamo-Uhuru'!G18</f>
        <v>1726.95475670483</v>
      </c>
      <c r="G1550" s="51" t="n">
        <f aca="false">'Z6 Nkangamo-Uhuru'!$B$8-E1550</f>
        <v>97.3700000000001</v>
      </c>
      <c r="H1550" s="52" t="n">
        <f aca="false">F1550-E1550</f>
        <v>117.824756704831</v>
      </c>
      <c r="I1550" s="52" t="n">
        <f aca="false">MAX(H1550,G1550)</f>
        <v>117.824756704831</v>
      </c>
      <c r="J1550" s="4" t="str">
        <f aca="false">IFERROR("PN"&amp;SMALL(PN_list,COUNTIF(PN_list,"&lt;"&amp;I1550*bar_per_m)+1),"&gt; max PN")</f>
        <v>PN16</v>
      </c>
      <c r="K1550" s="4" t="str">
        <f aca="false">IF(L1550="no","end at tank",IF(H1550&lt;0,"NEGATIVE",IF(H1550&lt;p_min-0.005,"low","OK")))</f>
        <v>OK</v>
      </c>
      <c r="L1550" s="4" t="s">
        <v>414</v>
      </c>
    </row>
    <row r="1551" customFormat="false" ht="15" hidden="false" customHeight="false" outlineLevel="0" collapsed="false">
      <c r="A1551" s="4" t="s">
        <v>44</v>
      </c>
      <c r="B1551" s="4" t="s">
        <v>373</v>
      </c>
      <c r="C1551" s="47" t="n">
        <v>7257.54</v>
      </c>
      <c r="D1551" s="48" t="n">
        <v>1611.07</v>
      </c>
      <c r="E1551" s="49" t="n">
        <f aca="false">D1551-cover</f>
        <v>1609.87</v>
      </c>
      <c r="F1551" s="50" t="n">
        <f aca="false">'Z6 Nkangamo-Uhuru'!S18-'Z6 Nkangamo-Uhuru'!P18*C1551/'Z6 Nkangamo-Uhuru'!G18</f>
        <v>1726.92357224858</v>
      </c>
      <c r="G1551" s="51" t="n">
        <f aca="false">'Z6 Nkangamo-Uhuru'!$B$8-E1551</f>
        <v>96.6300000000001</v>
      </c>
      <c r="H1551" s="52" t="n">
        <f aca="false">F1551-E1551</f>
        <v>117.053572248581</v>
      </c>
      <c r="I1551" s="52" t="n">
        <f aca="false">MAX(H1551,G1551)</f>
        <v>117.053572248581</v>
      </c>
      <c r="J1551" s="4" t="str">
        <f aca="false">IFERROR("PN"&amp;SMALL(PN_list,COUNTIF(PN_list,"&lt;"&amp;I1551*bar_per_m)+1),"&gt; max PN")</f>
        <v>PN16</v>
      </c>
      <c r="K1551" s="4" t="str">
        <f aca="false">IF(L1551="no","end at tank",IF(H1551&lt;0,"NEGATIVE",IF(H1551&lt;p_min-0.005,"low","OK")))</f>
        <v>OK</v>
      </c>
      <c r="L1551" s="4" t="s">
        <v>414</v>
      </c>
    </row>
    <row r="1552" customFormat="false" ht="15" hidden="false" customHeight="false" outlineLevel="0" collapsed="false">
      <c r="A1552" s="4" t="s">
        <v>44</v>
      </c>
      <c r="B1552" s="4" t="s">
        <v>373</v>
      </c>
      <c r="C1552" s="47" t="n">
        <v>7277.54</v>
      </c>
      <c r="D1552" s="48" t="n">
        <v>1611.39</v>
      </c>
      <c r="E1552" s="49" t="n">
        <f aca="false">D1552-cover</f>
        <v>1610.19</v>
      </c>
      <c r="F1552" s="50" t="n">
        <f aca="false">'Z6 Nkangamo-Uhuru'!S18-'Z6 Nkangamo-Uhuru'!P18*C1552/'Z6 Nkangamo-Uhuru'!G18</f>
        <v>1726.89241894563</v>
      </c>
      <c r="G1552" s="51" t="n">
        <f aca="false">'Z6 Nkangamo-Uhuru'!$B$8-E1552</f>
        <v>96.31</v>
      </c>
      <c r="H1552" s="52" t="n">
        <f aca="false">F1552-E1552</f>
        <v>116.702418945634</v>
      </c>
      <c r="I1552" s="52" t="n">
        <f aca="false">MAX(H1552,G1552)</f>
        <v>116.702418945634</v>
      </c>
      <c r="J1552" s="4" t="str">
        <f aca="false">IFERROR("PN"&amp;SMALL(PN_list,COUNTIF(PN_list,"&lt;"&amp;I1552*bar_per_m)+1),"&gt; max PN")</f>
        <v>PN16</v>
      </c>
      <c r="K1552" s="4" t="str">
        <f aca="false">IF(L1552="no","end at tank",IF(H1552&lt;0,"NEGATIVE",IF(H1552&lt;p_min-0.005,"low","OK")))</f>
        <v>OK</v>
      </c>
      <c r="L1552" s="4" t="s">
        <v>414</v>
      </c>
    </row>
    <row r="1553" customFormat="false" ht="15" hidden="false" customHeight="false" outlineLevel="0" collapsed="false">
      <c r="A1553" s="4" t="s">
        <v>44</v>
      </c>
      <c r="B1553" s="4" t="s">
        <v>373</v>
      </c>
      <c r="C1553" s="47" t="n">
        <v>7297.56</v>
      </c>
      <c r="D1553" s="48" t="n">
        <v>1612.26</v>
      </c>
      <c r="E1553" s="49" t="n">
        <f aca="false">D1553-cover</f>
        <v>1611.06</v>
      </c>
      <c r="F1553" s="50" t="n">
        <f aca="false">'Z6 Nkangamo-Uhuru'!S18-'Z6 Nkangamo-Uhuru'!P18*C1553/'Z6 Nkangamo-Uhuru'!G18</f>
        <v>1726.86123448938</v>
      </c>
      <c r="G1553" s="51" t="n">
        <f aca="false">'Z6 Nkangamo-Uhuru'!$B$8-E1553</f>
        <v>95.4400000000001</v>
      </c>
      <c r="H1553" s="52" t="n">
        <f aca="false">F1553-E1553</f>
        <v>115.801234489384</v>
      </c>
      <c r="I1553" s="52" t="n">
        <f aca="false">MAX(H1553,G1553)</f>
        <v>115.801234489384</v>
      </c>
      <c r="J1553" s="4" t="str">
        <f aca="false">IFERROR("PN"&amp;SMALL(PN_list,COUNTIF(PN_list,"&lt;"&amp;I1553*bar_per_m)+1),"&gt; max PN")</f>
        <v>PN16</v>
      </c>
      <c r="K1553" s="4" t="str">
        <f aca="false">IF(L1553="no","end at tank",IF(H1553&lt;0,"NEGATIVE",IF(H1553&lt;p_min-0.005,"low","OK")))</f>
        <v>OK</v>
      </c>
      <c r="L1553" s="4" t="s">
        <v>414</v>
      </c>
    </row>
    <row r="1554" customFormat="false" ht="15" hidden="false" customHeight="false" outlineLevel="0" collapsed="false">
      <c r="A1554" s="4" t="s">
        <v>44</v>
      </c>
      <c r="B1554" s="4" t="s">
        <v>373</v>
      </c>
      <c r="C1554" s="47" t="n">
        <v>7317.56</v>
      </c>
      <c r="D1554" s="48" t="n">
        <v>1612.17</v>
      </c>
      <c r="E1554" s="49" t="n">
        <f aca="false">D1554-cover</f>
        <v>1610.97</v>
      </c>
      <c r="F1554" s="50" t="n">
        <f aca="false">'Z6 Nkangamo-Uhuru'!S18-'Z6 Nkangamo-Uhuru'!P18*C1554/'Z6 Nkangamo-Uhuru'!G18</f>
        <v>1726.83008118644</v>
      </c>
      <c r="G1554" s="51" t="n">
        <f aca="false">'Z6 Nkangamo-Uhuru'!$B$8-E1554</f>
        <v>95.53</v>
      </c>
      <c r="H1554" s="52" t="n">
        <f aca="false">F1554-E1554</f>
        <v>115.860081186437</v>
      </c>
      <c r="I1554" s="52" t="n">
        <f aca="false">MAX(H1554,G1554)</f>
        <v>115.860081186437</v>
      </c>
      <c r="J1554" s="4" t="str">
        <f aca="false">IFERROR("PN"&amp;SMALL(PN_list,COUNTIF(PN_list,"&lt;"&amp;I1554*bar_per_m)+1),"&gt; max PN")</f>
        <v>PN16</v>
      </c>
      <c r="K1554" s="4" t="str">
        <f aca="false">IF(L1554="no","end at tank",IF(H1554&lt;0,"NEGATIVE",IF(H1554&lt;p_min-0.005,"low","OK")))</f>
        <v>OK</v>
      </c>
      <c r="L1554" s="4" t="s">
        <v>414</v>
      </c>
    </row>
    <row r="1555" customFormat="false" ht="15" hidden="false" customHeight="false" outlineLevel="0" collapsed="false">
      <c r="A1555" s="4" t="s">
        <v>44</v>
      </c>
      <c r="B1555" s="4" t="s">
        <v>373</v>
      </c>
      <c r="C1555" s="47" t="n">
        <v>7337.56</v>
      </c>
      <c r="D1555" s="48" t="n">
        <v>1612.57</v>
      </c>
      <c r="E1555" s="49" t="n">
        <f aca="false">D1555-cover</f>
        <v>1611.37</v>
      </c>
      <c r="F1555" s="50" t="n">
        <f aca="false">'Z6 Nkangamo-Uhuru'!S18-'Z6 Nkangamo-Uhuru'!P18*C1555/'Z6 Nkangamo-Uhuru'!G18</f>
        <v>1726.79892788349</v>
      </c>
      <c r="G1555" s="51" t="n">
        <f aca="false">'Z6 Nkangamo-Uhuru'!$B$8-E1555</f>
        <v>95.1300000000001</v>
      </c>
      <c r="H1555" s="52" t="n">
        <f aca="false">F1555-E1555</f>
        <v>115.428927883491</v>
      </c>
      <c r="I1555" s="52" t="n">
        <f aca="false">MAX(H1555,G1555)</f>
        <v>115.428927883491</v>
      </c>
      <c r="J1555" s="4" t="str">
        <f aca="false">IFERROR("PN"&amp;SMALL(PN_list,COUNTIF(PN_list,"&lt;"&amp;I1555*bar_per_m)+1),"&gt; max PN")</f>
        <v>PN16</v>
      </c>
      <c r="K1555" s="4" t="str">
        <f aca="false">IF(L1555="no","end at tank",IF(H1555&lt;0,"NEGATIVE",IF(H1555&lt;p_min-0.005,"low","OK")))</f>
        <v>OK</v>
      </c>
      <c r="L1555" s="4" t="s">
        <v>414</v>
      </c>
    </row>
    <row r="1556" customFormat="false" ht="15" hidden="false" customHeight="false" outlineLevel="0" collapsed="false">
      <c r="A1556" s="4" t="s">
        <v>44</v>
      </c>
      <c r="B1556" s="4" t="s">
        <v>373</v>
      </c>
      <c r="C1556" s="47" t="n">
        <v>7357.6</v>
      </c>
      <c r="D1556" s="48" t="n">
        <v>1613.8</v>
      </c>
      <c r="E1556" s="49" t="n">
        <f aca="false">D1556-cover</f>
        <v>1612.6</v>
      </c>
      <c r="F1556" s="50" t="n">
        <f aca="false">'Z6 Nkangamo-Uhuru'!S18-'Z6 Nkangamo-Uhuru'!P18*C1556/'Z6 Nkangamo-Uhuru'!G18</f>
        <v>1726.76771227394</v>
      </c>
      <c r="G1556" s="51" t="n">
        <f aca="false">'Z6 Nkangamo-Uhuru'!$B$8-E1556</f>
        <v>93.9000000000001</v>
      </c>
      <c r="H1556" s="52" t="n">
        <f aca="false">F1556-E1556</f>
        <v>114.167712273938</v>
      </c>
      <c r="I1556" s="52" t="n">
        <f aca="false">MAX(H1556,G1556)</f>
        <v>114.167712273938</v>
      </c>
      <c r="J1556" s="4" t="str">
        <f aca="false">IFERROR("PN"&amp;SMALL(PN_list,COUNTIF(PN_list,"&lt;"&amp;I1556*bar_per_m)+1),"&gt; max PN")</f>
        <v>PN16</v>
      </c>
      <c r="K1556" s="4" t="str">
        <f aca="false">IF(L1556="no","end at tank",IF(H1556&lt;0,"NEGATIVE",IF(H1556&lt;p_min-0.005,"low","OK")))</f>
        <v>OK</v>
      </c>
      <c r="L1556" s="4" t="s">
        <v>414</v>
      </c>
    </row>
    <row r="1557" customFormat="false" ht="15" hidden="false" customHeight="false" outlineLevel="0" collapsed="false">
      <c r="A1557" s="4" t="s">
        <v>44</v>
      </c>
      <c r="B1557" s="4" t="s">
        <v>373</v>
      </c>
      <c r="C1557" s="47" t="n">
        <v>7377.62</v>
      </c>
      <c r="D1557" s="48" t="n">
        <v>1614.6</v>
      </c>
      <c r="E1557" s="49" t="n">
        <f aca="false">D1557-cover</f>
        <v>1613.4</v>
      </c>
      <c r="F1557" s="50" t="n">
        <f aca="false">'Z6 Nkangamo-Uhuru'!S18-'Z6 Nkangamo-Uhuru'!P18*C1557/'Z6 Nkangamo-Uhuru'!G18</f>
        <v>1726.73652781769</v>
      </c>
      <c r="G1557" s="51" t="n">
        <f aca="false">'Z6 Nkangamo-Uhuru'!$B$8-E1557</f>
        <v>93.1000000000001</v>
      </c>
      <c r="H1557" s="52" t="n">
        <f aca="false">F1557-E1557</f>
        <v>113.336527817688</v>
      </c>
      <c r="I1557" s="52" t="n">
        <f aca="false">MAX(H1557,G1557)</f>
        <v>113.336527817688</v>
      </c>
      <c r="J1557" s="4" t="str">
        <f aca="false">IFERROR("PN"&amp;SMALL(PN_list,COUNTIF(PN_list,"&lt;"&amp;I1557*bar_per_m)+1),"&gt; max PN")</f>
        <v>PN16</v>
      </c>
      <c r="K1557" s="4" t="str">
        <f aca="false">IF(L1557="no","end at tank",IF(H1557&lt;0,"NEGATIVE",IF(H1557&lt;p_min-0.005,"low","OK")))</f>
        <v>OK</v>
      </c>
      <c r="L1557" s="4" t="s">
        <v>414</v>
      </c>
    </row>
    <row r="1558" customFormat="false" ht="15" hidden="false" customHeight="false" outlineLevel="0" collapsed="false">
      <c r="A1558" s="4" t="s">
        <v>44</v>
      </c>
      <c r="B1558" s="4" t="s">
        <v>373</v>
      </c>
      <c r="C1558" s="47" t="n">
        <v>7397.86</v>
      </c>
      <c r="D1558" s="48" t="n">
        <v>1616.22</v>
      </c>
      <c r="E1558" s="49" t="n">
        <f aca="false">D1558-cover</f>
        <v>1615.02</v>
      </c>
      <c r="F1558" s="50" t="n">
        <f aca="false">'Z6 Nkangamo-Uhuru'!S18-'Z6 Nkangamo-Uhuru'!P18*C1558/'Z6 Nkangamo-Uhuru'!G18</f>
        <v>1726.70500067511</v>
      </c>
      <c r="G1558" s="51" t="n">
        <f aca="false">'Z6 Nkangamo-Uhuru'!$B$8-E1558</f>
        <v>91.48</v>
      </c>
      <c r="H1558" s="52" t="n">
        <f aca="false">F1558-E1558</f>
        <v>111.685000675106</v>
      </c>
      <c r="I1558" s="52" t="n">
        <f aca="false">MAX(H1558,G1558)</f>
        <v>111.685000675106</v>
      </c>
      <c r="J1558" s="4" t="str">
        <f aca="false">IFERROR("PN"&amp;SMALL(PN_list,COUNTIF(PN_list,"&lt;"&amp;I1558*bar_per_m)+1),"&gt; max PN")</f>
        <v>PN16</v>
      </c>
      <c r="K1558" s="4" t="str">
        <f aca="false">IF(L1558="no","end at tank",IF(H1558&lt;0,"NEGATIVE",IF(H1558&lt;p_min-0.005,"low","OK")))</f>
        <v>OK</v>
      </c>
      <c r="L1558" s="4" t="s">
        <v>414</v>
      </c>
    </row>
    <row r="1559" customFormat="false" ht="15" hidden="false" customHeight="false" outlineLevel="0" collapsed="false">
      <c r="A1559" s="4" t="s">
        <v>44</v>
      </c>
      <c r="B1559" s="4" t="s">
        <v>373</v>
      </c>
      <c r="C1559" s="47" t="n">
        <v>7417.86</v>
      </c>
      <c r="D1559" s="48" t="n">
        <v>1616.1</v>
      </c>
      <c r="E1559" s="49" t="n">
        <f aca="false">D1559-cover</f>
        <v>1614.9</v>
      </c>
      <c r="F1559" s="50" t="n">
        <f aca="false">'Z6 Nkangamo-Uhuru'!S18-'Z6 Nkangamo-Uhuru'!P18*C1559/'Z6 Nkangamo-Uhuru'!G18</f>
        <v>1726.67384737216</v>
      </c>
      <c r="G1559" s="51" t="n">
        <f aca="false">'Z6 Nkangamo-Uhuru'!$B$8-E1559</f>
        <v>91.6000000000001</v>
      </c>
      <c r="H1559" s="52" t="n">
        <f aca="false">F1559-E1559</f>
        <v>111.773847372159</v>
      </c>
      <c r="I1559" s="52" t="n">
        <f aca="false">MAX(H1559,G1559)</f>
        <v>111.773847372159</v>
      </c>
      <c r="J1559" s="4" t="str">
        <f aca="false">IFERROR("PN"&amp;SMALL(PN_list,COUNTIF(PN_list,"&lt;"&amp;I1559*bar_per_m)+1),"&gt; max PN")</f>
        <v>PN16</v>
      </c>
      <c r="K1559" s="4" t="str">
        <f aca="false">IF(L1559="no","end at tank",IF(H1559&lt;0,"NEGATIVE",IF(H1559&lt;p_min-0.005,"low","OK")))</f>
        <v>OK</v>
      </c>
      <c r="L1559" s="4" t="s">
        <v>414</v>
      </c>
    </row>
    <row r="1560" customFormat="false" ht="15" hidden="false" customHeight="false" outlineLevel="0" collapsed="false">
      <c r="A1560" s="4" t="s">
        <v>44</v>
      </c>
      <c r="B1560" s="4" t="s">
        <v>373</v>
      </c>
      <c r="C1560" s="47" t="n">
        <v>7437.94</v>
      </c>
      <c r="D1560" s="48" t="n">
        <v>1617.87</v>
      </c>
      <c r="E1560" s="49" t="n">
        <f aca="false">D1560-cover</f>
        <v>1616.67</v>
      </c>
      <c r="F1560" s="50" t="n">
        <f aca="false">'Z6 Nkangamo-Uhuru'!S18-'Z6 Nkangamo-Uhuru'!P18*C1560/'Z6 Nkangamo-Uhuru'!G18</f>
        <v>1726.642569456</v>
      </c>
      <c r="G1560" s="51" t="n">
        <f aca="false">'Z6 Nkangamo-Uhuru'!$B$8-E1560</f>
        <v>89.8300000000002</v>
      </c>
      <c r="H1560" s="52" t="n">
        <f aca="false">F1560-E1560</f>
        <v>109.972569456001</v>
      </c>
      <c r="I1560" s="52" t="n">
        <f aca="false">MAX(H1560,G1560)</f>
        <v>109.972569456001</v>
      </c>
      <c r="J1560" s="4" t="str">
        <f aca="false">IFERROR("PN"&amp;SMALL(PN_list,COUNTIF(PN_list,"&lt;"&amp;I1560*bar_per_m)+1),"&gt; max PN")</f>
        <v>PN16</v>
      </c>
      <c r="K1560" s="4" t="str">
        <f aca="false">IF(L1560="no","end at tank",IF(H1560&lt;0,"NEGATIVE",IF(H1560&lt;p_min-0.005,"low","OK")))</f>
        <v>OK</v>
      </c>
      <c r="L1560" s="4" t="s">
        <v>414</v>
      </c>
    </row>
    <row r="1561" customFormat="false" ht="15" hidden="false" customHeight="false" outlineLevel="0" collapsed="false">
      <c r="A1561" s="4" t="s">
        <v>44</v>
      </c>
      <c r="B1561" s="4" t="s">
        <v>373</v>
      </c>
      <c r="C1561" s="47" t="n">
        <v>7458.04</v>
      </c>
      <c r="D1561" s="48" t="n">
        <v>1619.9</v>
      </c>
      <c r="E1561" s="49" t="n">
        <f aca="false">D1561-cover</f>
        <v>1618.7</v>
      </c>
      <c r="F1561" s="50" t="n">
        <f aca="false">'Z6 Nkangamo-Uhuru'!S18-'Z6 Nkangamo-Uhuru'!P18*C1561/'Z6 Nkangamo-Uhuru'!G18</f>
        <v>1726.61126038654</v>
      </c>
      <c r="G1561" s="51" t="n">
        <f aca="false">'Z6 Nkangamo-Uhuru'!$B$8-E1561</f>
        <v>87.8</v>
      </c>
      <c r="H1561" s="52" t="n">
        <f aca="false">F1561-E1561</f>
        <v>107.911260386539</v>
      </c>
      <c r="I1561" s="52" t="n">
        <f aca="false">MAX(H1561,G1561)</f>
        <v>107.911260386539</v>
      </c>
      <c r="J1561" s="4" t="str">
        <f aca="false">IFERROR("PN"&amp;SMALL(PN_list,COUNTIF(PN_list,"&lt;"&amp;I1561*bar_per_m)+1),"&gt; max PN")</f>
        <v>PN16</v>
      </c>
      <c r="K1561" s="4" t="str">
        <f aca="false">IF(L1561="no","end at tank",IF(H1561&lt;0,"NEGATIVE",IF(H1561&lt;p_min-0.005,"low","OK")))</f>
        <v>OK</v>
      </c>
      <c r="L1561" s="4" t="s">
        <v>414</v>
      </c>
    </row>
    <row r="1562" customFormat="false" ht="15" hidden="false" customHeight="false" outlineLevel="0" collapsed="false">
      <c r="A1562" s="4" t="s">
        <v>44</v>
      </c>
      <c r="B1562" s="4" t="s">
        <v>373</v>
      </c>
      <c r="C1562" s="47" t="n">
        <v>7478.09</v>
      </c>
      <c r="D1562" s="48" t="n">
        <v>1621.29</v>
      </c>
      <c r="E1562" s="49" t="n">
        <f aca="false">D1562-cover</f>
        <v>1620.09</v>
      </c>
      <c r="F1562" s="50" t="n">
        <f aca="false">'Z6 Nkangamo-Uhuru'!S18-'Z6 Nkangamo-Uhuru'!P18*C1562/'Z6 Nkangamo-Uhuru'!G18</f>
        <v>1726.58002920033</v>
      </c>
      <c r="G1562" s="51" t="n">
        <f aca="false">'Z6 Nkangamo-Uhuru'!$B$8-E1562</f>
        <v>86.4100000000001</v>
      </c>
      <c r="H1562" s="52" t="n">
        <f aca="false">F1562-E1562</f>
        <v>106.490029200335</v>
      </c>
      <c r="I1562" s="52" t="n">
        <f aca="false">MAX(H1562,G1562)</f>
        <v>106.490029200335</v>
      </c>
      <c r="J1562" s="4" t="str">
        <f aca="false">IFERROR("PN"&amp;SMALL(PN_list,COUNTIF(PN_list,"&lt;"&amp;I1562*bar_per_m)+1),"&gt; max PN")</f>
        <v>PN16</v>
      </c>
      <c r="K1562" s="4" t="str">
        <f aca="false">IF(L1562="no","end at tank",IF(H1562&lt;0,"NEGATIVE",IF(H1562&lt;p_min-0.005,"low","OK")))</f>
        <v>OK</v>
      </c>
      <c r="L1562" s="4" t="s">
        <v>414</v>
      </c>
    </row>
    <row r="1563" customFormat="false" ht="15" hidden="false" customHeight="false" outlineLevel="0" collapsed="false">
      <c r="A1563" s="4" t="s">
        <v>44</v>
      </c>
      <c r="B1563" s="4" t="s">
        <v>373</v>
      </c>
      <c r="C1563" s="47" t="n">
        <v>7498.14</v>
      </c>
      <c r="D1563" s="48" t="n">
        <v>1622.72</v>
      </c>
      <c r="E1563" s="49" t="n">
        <f aca="false">D1563-cover</f>
        <v>1621.52</v>
      </c>
      <c r="F1563" s="50" t="n">
        <f aca="false">'Z6 Nkangamo-Uhuru'!S18-'Z6 Nkangamo-Uhuru'!P18*C1563/'Z6 Nkangamo-Uhuru'!G18</f>
        <v>1726.54879801413</v>
      </c>
      <c r="G1563" s="51" t="n">
        <f aca="false">'Z6 Nkangamo-Uhuru'!$B$8-E1563</f>
        <v>84.98</v>
      </c>
      <c r="H1563" s="52" t="n">
        <f aca="false">F1563-E1563</f>
        <v>105.028798014131</v>
      </c>
      <c r="I1563" s="52" t="n">
        <f aca="false">MAX(H1563,G1563)</f>
        <v>105.028798014131</v>
      </c>
      <c r="J1563" s="4" t="str">
        <f aca="false">IFERROR("PN"&amp;SMALL(PN_list,COUNTIF(PN_list,"&lt;"&amp;I1563*bar_per_m)+1),"&gt; max PN")</f>
        <v>PN16</v>
      </c>
      <c r="K1563" s="4" t="str">
        <f aca="false">IF(L1563="no","end at tank",IF(H1563&lt;0,"NEGATIVE",IF(H1563&lt;p_min-0.005,"low","OK")))</f>
        <v>OK</v>
      </c>
      <c r="L1563" s="4" t="s">
        <v>414</v>
      </c>
    </row>
    <row r="1564" customFormat="false" ht="15" hidden="false" customHeight="false" outlineLevel="0" collapsed="false">
      <c r="A1564" s="4" t="s">
        <v>44</v>
      </c>
      <c r="B1564" s="4" t="s">
        <v>373</v>
      </c>
      <c r="C1564" s="47" t="n">
        <v>7518.16</v>
      </c>
      <c r="D1564" s="48" t="n">
        <v>1623.45</v>
      </c>
      <c r="E1564" s="49" t="n">
        <f aca="false">D1564-cover</f>
        <v>1622.25</v>
      </c>
      <c r="F1564" s="50" t="n">
        <f aca="false">'Z6 Nkangamo-Uhuru'!S18-'Z6 Nkangamo-Uhuru'!P18*C1564/'Z6 Nkangamo-Uhuru'!G18</f>
        <v>1726.51761355788</v>
      </c>
      <c r="G1564" s="51" t="n">
        <f aca="false">'Z6 Nkangamo-Uhuru'!$B$8-E1564</f>
        <v>84.25</v>
      </c>
      <c r="H1564" s="52" t="n">
        <f aca="false">F1564-E1564</f>
        <v>104.267613557881</v>
      </c>
      <c r="I1564" s="52" t="n">
        <f aca="false">MAX(H1564,G1564)</f>
        <v>104.267613557881</v>
      </c>
      <c r="J1564" s="4" t="str">
        <f aca="false">IFERROR("PN"&amp;SMALL(PN_list,COUNTIF(PN_list,"&lt;"&amp;I1564*bar_per_m)+1),"&gt; max PN")</f>
        <v>PN16</v>
      </c>
      <c r="K1564" s="4" t="str">
        <f aca="false">IF(L1564="no","end at tank",IF(H1564&lt;0,"NEGATIVE",IF(H1564&lt;p_min-0.005,"low","OK")))</f>
        <v>OK</v>
      </c>
      <c r="L1564" s="4" t="s">
        <v>414</v>
      </c>
    </row>
    <row r="1565" customFormat="false" ht="15" hidden="false" customHeight="false" outlineLevel="0" collapsed="false">
      <c r="A1565" s="4" t="s">
        <v>44</v>
      </c>
      <c r="B1565" s="4" t="s">
        <v>373</v>
      </c>
      <c r="C1565" s="47" t="n">
        <v>7538.2</v>
      </c>
      <c r="D1565" s="48" t="n">
        <v>1624.71</v>
      </c>
      <c r="E1565" s="49" t="n">
        <f aca="false">D1565-cover</f>
        <v>1623.51</v>
      </c>
      <c r="F1565" s="50" t="n">
        <f aca="false">'Z6 Nkangamo-Uhuru'!S18-'Z6 Nkangamo-Uhuru'!P18*C1565/'Z6 Nkangamo-Uhuru'!G18</f>
        <v>1726.48639794833</v>
      </c>
      <c r="G1565" s="51" t="n">
        <f aca="false">'Z6 Nkangamo-Uhuru'!$B$8-E1565</f>
        <v>82.99</v>
      </c>
      <c r="H1565" s="52" t="n">
        <f aca="false">F1565-E1565</f>
        <v>102.976397948328</v>
      </c>
      <c r="I1565" s="52" t="n">
        <f aca="false">MAX(H1565,G1565)</f>
        <v>102.976397948328</v>
      </c>
      <c r="J1565" s="4" t="str">
        <f aca="false">IFERROR("PN"&amp;SMALL(PN_list,COUNTIF(PN_list,"&lt;"&amp;I1565*bar_per_m)+1),"&gt; max PN")</f>
        <v>PN16</v>
      </c>
      <c r="K1565" s="4" t="str">
        <f aca="false">IF(L1565="no","end at tank",IF(H1565&lt;0,"NEGATIVE",IF(H1565&lt;p_min-0.005,"low","OK")))</f>
        <v>OK</v>
      </c>
      <c r="L1565" s="4" t="s">
        <v>414</v>
      </c>
    </row>
    <row r="1566" customFormat="false" ht="15" hidden="false" customHeight="false" outlineLevel="0" collapsed="false">
      <c r="A1566" s="4" t="s">
        <v>44</v>
      </c>
      <c r="B1566" s="4" t="s">
        <v>373</v>
      </c>
      <c r="C1566" s="47" t="n">
        <v>7558.33</v>
      </c>
      <c r="D1566" s="48" t="n">
        <v>1627</v>
      </c>
      <c r="E1566" s="49" t="n">
        <f aca="false">D1566-cover</f>
        <v>1625.8</v>
      </c>
      <c r="F1566" s="50" t="n">
        <f aca="false">'Z6 Nkangamo-Uhuru'!S18-'Z6 Nkangamo-Uhuru'!P18*C1566/'Z6 Nkangamo-Uhuru'!G18</f>
        <v>1726.45504214891</v>
      </c>
      <c r="G1566" s="51" t="n">
        <f aca="false">'Z6 Nkangamo-Uhuru'!$B$8-E1566</f>
        <v>80.7000000000001</v>
      </c>
      <c r="H1566" s="52" t="n">
        <f aca="false">F1566-E1566</f>
        <v>100.655042148912</v>
      </c>
      <c r="I1566" s="52" t="n">
        <f aca="false">MAX(H1566,G1566)</f>
        <v>100.655042148912</v>
      </c>
      <c r="J1566" s="4" t="str">
        <f aca="false">IFERROR("PN"&amp;SMALL(PN_list,COUNTIF(PN_list,"&lt;"&amp;I1566*bar_per_m)+1),"&gt; max PN")</f>
        <v>PN10</v>
      </c>
      <c r="K1566" s="4" t="str">
        <f aca="false">IF(L1566="no","end at tank",IF(H1566&lt;0,"NEGATIVE",IF(H1566&lt;p_min-0.005,"low","OK")))</f>
        <v>OK</v>
      </c>
      <c r="L1566" s="4" t="s">
        <v>414</v>
      </c>
    </row>
    <row r="1567" customFormat="false" ht="15" hidden="false" customHeight="false" outlineLevel="0" collapsed="false">
      <c r="A1567" s="4" t="s">
        <v>44</v>
      </c>
      <c r="B1567" s="4" t="s">
        <v>373</v>
      </c>
      <c r="C1567" s="47" t="n">
        <v>7578.36</v>
      </c>
      <c r="D1567" s="48" t="n">
        <v>1628.17</v>
      </c>
      <c r="E1567" s="49" t="n">
        <f aca="false">D1567-cover</f>
        <v>1626.97</v>
      </c>
      <c r="F1567" s="50" t="n">
        <f aca="false">'Z6 Nkangamo-Uhuru'!S18-'Z6 Nkangamo-Uhuru'!P18*C1567/'Z6 Nkangamo-Uhuru'!G18</f>
        <v>1726.42384211601</v>
      </c>
      <c r="G1567" s="51" t="n">
        <f aca="false">'Z6 Nkangamo-Uhuru'!$B$8-E1567</f>
        <v>79.53</v>
      </c>
      <c r="H1567" s="52" t="n">
        <f aca="false">F1567-E1567</f>
        <v>99.4538421160107</v>
      </c>
      <c r="I1567" s="52" t="n">
        <f aca="false">MAX(H1567,G1567)</f>
        <v>99.4538421160107</v>
      </c>
      <c r="J1567" s="4" t="str">
        <f aca="false">IFERROR("PN"&amp;SMALL(PN_list,COUNTIF(PN_list,"&lt;"&amp;I1567*bar_per_m)+1),"&gt; max PN")</f>
        <v>PN10</v>
      </c>
      <c r="K1567" s="4" t="str">
        <f aca="false">IF(L1567="no","end at tank",IF(H1567&lt;0,"NEGATIVE",IF(H1567&lt;p_min-0.005,"low","OK")))</f>
        <v>OK</v>
      </c>
      <c r="L1567" s="4" t="s">
        <v>414</v>
      </c>
    </row>
    <row r="1568" customFormat="false" ht="15" hidden="false" customHeight="false" outlineLevel="0" collapsed="false">
      <c r="A1568" s="4" t="s">
        <v>44</v>
      </c>
      <c r="B1568" s="4" t="s">
        <v>373</v>
      </c>
      <c r="C1568" s="47" t="n">
        <v>7598.44</v>
      </c>
      <c r="D1568" s="48" t="n">
        <v>1629.92</v>
      </c>
      <c r="E1568" s="49" t="n">
        <f aca="false">D1568-cover</f>
        <v>1628.72</v>
      </c>
      <c r="F1568" s="50" t="n">
        <f aca="false">'Z6 Nkangamo-Uhuru'!S18-'Z6 Nkangamo-Uhuru'!P18*C1568/'Z6 Nkangamo-Uhuru'!G18</f>
        <v>1726.39256419985</v>
      </c>
      <c r="G1568" s="51" t="n">
        <f aca="false">'Z6 Nkangamo-Uhuru'!$B$8-E1568</f>
        <v>77.78</v>
      </c>
      <c r="H1568" s="52" t="n">
        <f aca="false">F1568-E1568</f>
        <v>97.6725641998521</v>
      </c>
      <c r="I1568" s="52" t="n">
        <f aca="false">MAX(H1568,G1568)</f>
        <v>97.6725641998521</v>
      </c>
      <c r="J1568" s="4" t="str">
        <f aca="false">IFERROR("PN"&amp;SMALL(PN_list,COUNTIF(PN_list,"&lt;"&amp;I1568*bar_per_m)+1),"&gt; max PN")</f>
        <v>PN10</v>
      </c>
      <c r="K1568" s="4" t="str">
        <f aca="false">IF(L1568="no","end at tank",IF(H1568&lt;0,"NEGATIVE",IF(H1568&lt;p_min-0.005,"low","OK")))</f>
        <v>OK</v>
      </c>
      <c r="L1568" s="4" t="s">
        <v>414</v>
      </c>
    </row>
    <row r="1569" customFormat="false" ht="15" hidden="false" customHeight="false" outlineLevel="0" collapsed="false">
      <c r="A1569" s="4" t="s">
        <v>44</v>
      </c>
      <c r="B1569" s="4" t="s">
        <v>373</v>
      </c>
      <c r="C1569" s="47" t="n">
        <v>7618.55</v>
      </c>
      <c r="D1569" s="48" t="n">
        <v>1632.02</v>
      </c>
      <c r="E1569" s="49" t="n">
        <f aca="false">D1569-cover</f>
        <v>1630.82</v>
      </c>
      <c r="F1569" s="50" t="n">
        <f aca="false">'Z6 Nkangamo-Uhuru'!S18-'Z6 Nkangamo-Uhuru'!P18*C1569/'Z6 Nkangamo-Uhuru'!G18</f>
        <v>1726.36123955374</v>
      </c>
      <c r="G1569" s="51" t="n">
        <f aca="false">'Z6 Nkangamo-Uhuru'!$B$8-E1569</f>
        <v>75.6800000000001</v>
      </c>
      <c r="H1569" s="52" t="n">
        <f aca="false">F1569-E1569</f>
        <v>95.5412395537392</v>
      </c>
      <c r="I1569" s="52" t="n">
        <f aca="false">MAX(H1569,G1569)</f>
        <v>95.5412395537392</v>
      </c>
      <c r="J1569" s="4" t="str">
        <f aca="false">IFERROR("PN"&amp;SMALL(PN_list,COUNTIF(PN_list,"&lt;"&amp;I1569*bar_per_m)+1),"&gt; max PN")</f>
        <v>PN10</v>
      </c>
      <c r="K1569" s="4" t="str">
        <f aca="false">IF(L1569="no","end at tank",IF(H1569&lt;0,"NEGATIVE",IF(H1569&lt;p_min-0.005,"low","OK")))</f>
        <v>OK</v>
      </c>
      <c r="L1569" s="4" t="s">
        <v>414</v>
      </c>
    </row>
    <row r="1570" customFormat="false" ht="15" hidden="false" customHeight="false" outlineLevel="0" collapsed="false">
      <c r="A1570" s="4" t="s">
        <v>44</v>
      </c>
      <c r="B1570" s="4" t="s">
        <v>373</v>
      </c>
      <c r="C1570" s="47" t="n">
        <v>7638.58</v>
      </c>
      <c r="D1570" s="48" t="n">
        <v>1633.2</v>
      </c>
      <c r="E1570" s="49" t="n">
        <f aca="false">D1570-cover</f>
        <v>1632</v>
      </c>
      <c r="F1570" s="50" t="n">
        <f aca="false">'Z6 Nkangamo-Uhuru'!S18-'Z6 Nkangamo-Uhuru'!P18*C1570/'Z6 Nkangamo-Uhuru'!G18</f>
        <v>1726.33003952084</v>
      </c>
      <c r="G1570" s="51" t="n">
        <f aca="false">'Z6 Nkangamo-Uhuru'!$B$8-E1570</f>
        <v>74.5</v>
      </c>
      <c r="H1570" s="52" t="n">
        <f aca="false">F1570-E1570</f>
        <v>94.330039520838</v>
      </c>
      <c r="I1570" s="52" t="n">
        <f aca="false">MAX(H1570,G1570)</f>
        <v>94.330039520838</v>
      </c>
      <c r="J1570" s="4" t="str">
        <f aca="false">IFERROR("PN"&amp;SMALL(PN_list,COUNTIF(PN_list,"&lt;"&amp;I1570*bar_per_m)+1),"&gt; max PN")</f>
        <v>PN10</v>
      </c>
      <c r="K1570" s="4" t="str">
        <f aca="false">IF(L1570="no","end at tank",IF(H1570&lt;0,"NEGATIVE",IF(H1570&lt;p_min-0.005,"low","OK")))</f>
        <v>OK</v>
      </c>
      <c r="L1570" s="4" t="s">
        <v>414</v>
      </c>
    </row>
    <row r="1571" customFormat="false" ht="15" hidden="false" customHeight="false" outlineLevel="0" collapsed="false">
      <c r="A1571" s="4" t="s">
        <v>44</v>
      </c>
      <c r="B1571" s="4" t="s">
        <v>373</v>
      </c>
      <c r="C1571" s="47" t="n">
        <v>7658.63</v>
      </c>
      <c r="D1571" s="48" t="n">
        <v>1634.63</v>
      </c>
      <c r="E1571" s="49" t="n">
        <f aca="false">D1571-cover</f>
        <v>1633.43</v>
      </c>
      <c r="F1571" s="50" t="n">
        <f aca="false">'Z6 Nkangamo-Uhuru'!S18-'Z6 Nkangamo-Uhuru'!P18*C1571/'Z6 Nkangamo-Uhuru'!G18</f>
        <v>1726.29880833463</v>
      </c>
      <c r="G1571" s="51" t="n">
        <f aca="false">'Z6 Nkangamo-Uhuru'!$B$8-E1571</f>
        <v>73.0699999999999</v>
      </c>
      <c r="H1571" s="52" t="n">
        <f aca="false">F1571-E1571</f>
        <v>92.8688083346337</v>
      </c>
      <c r="I1571" s="52" t="n">
        <f aca="false">MAX(H1571,G1571)</f>
        <v>92.8688083346337</v>
      </c>
      <c r="J1571" s="4" t="str">
        <f aca="false">IFERROR("PN"&amp;SMALL(PN_list,COUNTIF(PN_list,"&lt;"&amp;I1571*bar_per_m)+1),"&gt; max PN")</f>
        <v>PN10</v>
      </c>
      <c r="K1571" s="4" t="str">
        <f aca="false">IF(L1571="no","end at tank",IF(H1571&lt;0,"NEGATIVE",IF(H1571&lt;p_min-0.005,"low","OK")))</f>
        <v>OK</v>
      </c>
      <c r="L1571" s="4" t="s">
        <v>414</v>
      </c>
    </row>
    <row r="1572" customFormat="false" ht="15" hidden="false" customHeight="false" outlineLevel="0" collapsed="false">
      <c r="A1572" s="4" t="s">
        <v>44</v>
      </c>
      <c r="B1572" s="4" t="s">
        <v>373</v>
      </c>
      <c r="C1572" s="47" t="n">
        <v>7678.65</v>
      </c>
      <c r="D1572" s="48" t="n">
        <v>1635.51</v>
      </c>
      <c r="E1572" s="49" t="n">
        <f aca="false">D1572-cover</f>
        <v>1634.31</v>
      </c>
      <c r="F1572" s="50" t="n">
        <f aca="false">'Z6 Nkangamo-Uhuru'!S18-'Z6 Nkangamo-Uhuru'!P18*C1572/'Z6 Nkangamo-Uhuru'!G18</f>
        <v>1726.26762387838</v>
      </c>
      <c r="G1572" s="51" t="n">
        <f aca="false">'Z6 Nkangamo-Uhuru'!$B$8-E1572</f>
        <v>72.1900000000001</v>
      </c>
      <c r="H1572" s="52" t="n">
        <f aca="false">F1572-E1572</f>
        <v>91.9576238783841</v>
      </c>
      <c r="I1572" s="52" t="n">
        <f aca="false">MAX(H1572,G1572)</f>
        <v>91.9576238783841</v>
      </c>
      <c r="J1572" s="4" t="str">
        <f aca="false">IFERROR("PN"&amp;SMALL(PN_list,COUNTIF(PN_list,"&lt;"&amp;I1572*bar_per_m)+1),"&gt; max PN")</f>
        <v>PN10</v>
      </c>
      <c r="K1572" s="4" t="str">
        <f aca="false">IF(L1572="no","end at tank",IF(H1572&lt;0,"NEGATIVE",IF(H1572&lt;p_min-0.005,"low","OK")))</f>
        <v>OK</v>
      </c>
      <c r="L1572" s="4" t="s">
        <v>414</v>
      </c>
    </row>
    <row r="1573" customFormat="false" ht="15" hidden="false" customHeight="false" outlineLevel="0" collapsed="false">
      <c r="A1573" s="4" t="s">
        <v>44</v>
      </c>
      <c r="B1573" s="4" t="s">
        <v>373</v>
      </c>
      <c r="C1573" s="47" t="n">
        <v>7698.71</v>
      </c>
      <c r="D1573" s="48" t="n">
        <v>1637.04</v>
      </c>
      <c r="E1573" s="49" t="n">
        <f aca="false">D1573-cover</f>
        <v>1635.84</v>
      </c>
      <c r="F1573" s="50" t="n">
        <f aca="false">'Z6 Nkangamo-Uhuru'!S18-'Z6 Nkangamo-Uhuru'!P18*C1573/'Z6 Nkangamo-Uhuru'!G18</f>
        <v>1726.23637711553</v>
      </c>
      <c r="G1573" s="51" t="n">
        <f aca="false">'Z6 Nkangamo-Uhuru'!$B$8-E1573</f>
        <v>70.6600000000001</v>
      </c>
      <c r="H1573" s="52" t="n">
        <f aca="false">F1573-E1573</f>
        <v>90.3963771155284</v>
      </c>
      <c r="I1573" s="52" t="n">
        <f aca="false">MAX(H1573,G1573)</f>
        <v>90.3963771155284</v>
      </c>
      <c r="J1573" s="4" t="str">
        <f aca="false">IFERROR("PN"&amp;SMALL(PN_list,COUNTIF(PN_list,"&lt;"&amp;I1573*bar_per_m)+1),"&gt; max PN")</f>
        <v>PN10</v>
      </c>
      <c r="K1573" s="4" t="str">
        <f aca="false">IF(L1573="no","end at tank",IF(H1573&lt;0,"NEGATIVE",IF(H1573&lt;p_min-0.005,"low","OK")))</f>
        <v>OK</v>
      </c>
      <c r="L1573" s="4" t="s">
        <v>414</v>
      </c>
    </row>
    <row r="1574" customFormat="false" ht="15" hidden="false" customHeight="false" outlineLevel="0" collapsed="false">
      <c r="A1574" s="4" t="s">
        <v>44</v>
      </c>
      <c r="B1574" s="4" t="s">
        <v>373</v>
      </c>
      <c r="C1574" s="47" t="n">
        <v>7718.72</v>
      </c>
      <c r="D1574" s="48" t="n">
        <v>1637.61</v>
      </c>
      <c r="E1574" s="49" t="n">
        <f aca="false">D1574-cover</f>
        <v>1636.41</v>
      </c>
      <c r="F1574" s="50" t="n">
        <f aca="false">'Z6 Nkangamo-Uhuru'!S18-'Z6 Nkangamo-Uhuru'!P18*C1574/'Z6 Nkangamo-Uhuru'!G18</f>
        <v>1726.20520823593</v>
      </c>
      <c r="G1574" s="51" t="n">
        <f aca="false">'Z6 Nkangamo-Uhuru'!$B$8-E1574</f>
        <v>70.0900000000002</v>
      </c>
      <c r="H1574" s="52" t="n">
        <f aca="false">F1574-E1574</f>
        <v>89.7952082359302</v>
      </c>
      <c r="I1574" s="52" t="n">
        <f aca="false">MAX(H1574,G1574)</f>
        <v>89.7952082359302</v>
      </c>
      <c r="J1574" s="4" t="str">
        <f aca="false">IFERROR("PN"&amp;SMALL(PN_list,COUNTIF(PN_list,"&lt;"&amp;I1574*bar_per_m)+1),"&gt; max PN")</f>
        <v>PN10</v>
      </c>
      <c r="K1574" s="4" t="str">
        <f aca="false">IF(L1574="no","end at tank",IF(H1574&lt;0,"NEGATIVE",IF(H1574&lt;p_min-0.005,"low","OK")))</f>
        <v>OK</v>
      </c>
      <c r="L1574" s="4" t="s">
        <v>414</v>
      </c>
    </row>
    <row r="1575" customFormat="false" ht="15" hidden="false" customHeight="false" outlineLevel="0" collapsed="false">
      <c r="A1575" s="4" t="s">
        <v>44</v>
      </c>
      <c r="B1575" s="4" t="s">
        <v>373</v>
      </c>
      <c r="C1575" s="47" t="n">
        <v>7738.75</v>
      </c>
      <c r="D1575" s="48" t="n">
        <v>1638.76</v>
      </c>
      <c r="E1575" s="49" t="n">
        <f aca="false">D1575-cover</f>
        <v>1637.56</v>
      </c>
      <c r="F1575" s="50" t="n">
        <f aca="false">'Z6 Nkangamo-Uhuru'!S18-'Z6 Nkangamo-Uhuru'!P18*C1575/'Z6 Nkangamo-Uhuru'!G18</f>
        <v>1726.17400820303</v>
      </c>
      <c r="G1575" s="51" t="n">
        <f aca="false">'Z6 Nkangamo-Uhuru'!$B$8-E1575</f>
        <v>68.9400000000001</v>
      </c>
      <c r="H1575" s="52" t="n">
        <f aca="false">F1575-E1575</f>
        <v>88.6140082030288</v>
      </c>
      <c r="I1575" s="52" t="n">
        <f aca="false">MAX(H1575,G1575)</f>
        <v>88.6140082030288</v>
      </c>
      <c r="J1575" s="4" t="str">
        <f aca="false">IFERROR("PN"&amp;SMALL(PN_list,COUNTIF(PN_list,"&lt;"&amp;I1575*bar_per_m)+1),"&gt; max PN")</f>
        <v>PN10</v>
      </c>
      <c r="K1575" s="4" t="str">
        <f aca="false">IF(L1575="no","end at tank",IF(H1575&lt;0,"NEGATIVE",IF(H1575&lt;p_min-0.005,"low","OK")))</f>
        <v>OK</v>
      </c>
      <c r="L1575" s="4" t="s">
        <v>414</v>
      </c>
    </row>
    <row r="1576" customFormat="false" ht="15" hidden="false" customHeight="false" outlineLevel="0" collapsed="false">
      <c r="A1576" s="4" t="s">
        <v>44</v>
      </c>
      <c r="B1576" s="4" t="s">
        <v>373</v>
      </c>
      <c r="C1576" s="47" t="n">
        <v>7758.77</v>
      </c>
      <c r="D1576" s="48" t="n">
        <v>1639.59</v>
      </c>
      <c r="E1576" s="49" t="n">
        <f aca="false">D1576-cover</f>
        <v>1638.39</v>
      </c>
      <c r="F1576" s="50" t="n">
        <f aca="false">'Z6 Nkangamo-Uhuru'!S18-'Z6 Nkangamo-Uhuru'!P18*C1576/'Z6 Nkangamo-Uhuru'!G18</f>
        <v>1726.14282374678</v>
      </c>
      <c r="G1576" s="51" t="n">
        <f aca="false">'Z6 Nkangamo-Uhuru'!$B$8-E1576</f>
        <v>68.1100000000001</v>
      </c>
      <c r="H1576" s="52" t="n">
        <f aca="false">F1576-E1576</f>
        <v>87.7528237467791</v>
      </c>
      <c r="I1576" s="52" t="n">
        <f aca="false">MAX(H1576,G1576)</f>
        <v>87.7528237467791</v>
      </c>
      <c r="J1576" s="4" t="str">
        <f aca="false">IFERROR("PN"&amp;SMALL(PN_list,COUNTIF(PN_list,"&lt;"&amp;I1576*bar_per_m)+1),"&gt; max PN")</f>
        <v>PN10</v>
      </c>
      <c r="K1576" s="4" t="str">
        <f aca="false">IF(L1576="no","end at tank",IF(H1576&lt;0,"NEGATIVE",IF(H1576&lt;p_min-0.005,"low","OK")))</f>
        <v>OK</v>
      </c>
      <c r="L1576" s="4" t="s">
        <v>414</v>
      </c>
    </row>
    <row r="1577" customFormat="false" ht="15" hidden="false" customHeight="false" outlineLevel="0" collapsed="false">
      <c r="A1577" s="4" t="s">
        <v>44</v>
      </c>
      <c r="B1577" s="4" t="s">
        <v>373</v>
      </c>
      <c r="C1577" s="47" t="n">
        <v>7778.79</v>
      </c>
      <c r="D1577" s="48" t="n">
        <v>1640.58</v>
      </c>
      <c r="E1577" s="49" t="n">
        <f aca="false">D1577-cover</f>
        <v>1639.38</v>
      </c>
      <c r="F1577" s="50" t="n">
        <f aca="false">'Z6 Nkangamo-Uhuru'!S18-'Z6 Nkangamo-Uhuru'!P18*C1577/'Z6 Nkangamo-Uhuru'!G18</f>
        <v>1726.11163929053</v>
      </c>
      <c r="G1577" s="51" t="n">
        <f aca="false">'Z6 Nkangamo-Uhuru'!$B$8-E1577</f>
        <v>67.1200000000001</v>
      </c>
      <c r="H1577" s="52" t="n">
        <f aca="false">F1577-E1577</f>
        <v>86.7316392905293</v>
      </c>
      <c r="I1577" s="52" t="n">
        <f aca="false">MAX(H1577,G1577)</f>
        <v>86.7316392905293</v>
      </c>
      <c r="J1577" s="4" t="str">
        <f aca="false">IFERROR("PN"&amp;SMALL(PN_list,COUNTIF(PN_list,"&lt;"&amp;I1577*bar_per_m)+1),"&gt; max PN")</f>
        <v>PN10</v>
      </c>
      <c r="K1577" s="4" t="str">
        <f aca="false">IF(L1577="no","end at tank",IF(H1577&lt;0,"NEGATIVE",IF(H1577&lt;p_min-0.005,"low","OK")))</f>
        <v>OK</v>
      </c>
      <c r="L1577" s="4" t="s">
        <v>414</v>
      </c>
    </row>
    <row r="1578" customFormat="false" ht="15" hidden="false" customHeight="false" outlineLevel="0" collapsed="false">
      <c r="A1578" s="4" t="s">
        <v>44</v>
      </c>
      <c r="B1578" s="4" t="s">
        <v>373</v>
      </c>
      <c r="C1578" s="47" t="n">
        <v>7798.8</v>
      </c>
      <c r="D1578" s="48" t="n">
        <v>1640.84</v>
      </c>
      <c r="E1578" s="49" t="n">
        <f aca="false">D1578-cover</f>
        <v>1639.64</v>
      </c>
      <c r="F1578" s="50" t="n">
        <f aca="false">'Z6 Nkangamo-Uhuru'!S18-'Z6 Nkangamo-Uhuru'!P18*C1578/'Z6 Nkangamo-Uhuru'!G18</f>
        <v>1726.08047041093</v>
      </c>
      <c r="G1578" s="51" t="n">
        <f aca="false">'Z6 Nkangamo-Uhuru'!$B$8-E1578</f>
        <v>66.8600000000001</v>
      </c>
      <c r="H1578" s="52" t="n">
        <f aca="false">F1578-E1578</f>
        <v>86.4404704109311</v>
      </c>
      <c r="I1578" s="52" t="n">
        <f aca="false">MAX(H1578,G1578)</f>
        <v>86.4404704109311</v>
      </c>
      <c r="J1578" s="4" t="str">
        <f aca="false">IFERROR("PN"&amp;SMALL(PN_list,COUNTIF(PN_list,"&lt;"&amp;I1578*bar_per_m)+1),"&gt; max PN")</f>
        <v>PN10</v>
      </c>
      <c r="K1578" s="4" t="str">
        <f aca="false">IF(L1578="no","end at tank",IF(H1578&lt;0,"NEGATIVE",IF(H1578&lt;p_min-0.005,"low","OK")))</f>
        <v>OK</v>
      </c>
      <c r="L1578" s="4" t="s">
        <v>414</v>
      </c>
    </row>
    <row r="1579" customFormat="false" ht="15" hidden="false" customHeight="false" outlineLevel="0" collapsed="false">
      <c r="A1579" s="4" t="s">
        <v>44</v>
      </c>
      <c r="B1579" s="4" t="s">
        <v>373</v>
      </c>
      <c r="C1579" s="47" t="n">
        <v>7818.82</v>
      </c>
      <c r="D1579" s="48" t="n">
        <v>1641.85</v>
      </c>
      <c r="E1579" s="49" t="n">
        <f aca="false">D1579-cover</f>
        <v>1640.65</v>
      </c>
      <c r="F1579" s="50" t="n">
        <f aca="false">'Z6 Nkangamo-Uhuru'!S18-'Z6 Nkangamo-Uhuru'!P18*C1579/'Z6 Nkangamo-Uhuru'!G18</f>
        <v>1726.04928595468</v>
      </c>
      <c r="G1579" s="51" t="n">
        <f aca="false">'Z6 Nkangamo-Uhuru'!$B$8-E1579</f>
        <v>65.8500000000001</v>
      </c>
      <c r="H1579" s="52" t="n">
        <f aca="false">F1579-E1579</f>
        <v>85.3992859546813</v>
      </c>
      <c r="I1579" s="52" t="n">
        <f aca="false">MAX(H1579,G1579)</f>
        <v>85.3992859546813</v>
      </c>
      <c r="J1579" s="4" t="str">
        <f aca="false">IFERROR("PN"&amp;SMALL(PN_list,COUNTIF(PN_list,"&lt;"&amp;I1579*bar_per_m)+1),"&gt; max PN")</f>
        <v>PN10</v>
      </c>
      <c r="K1579" s="4" t="str">
        <f aca="false">IF(L1579="no","end at tank",IF(H1579&lt;0,"NEGATIVE",IF(H1579&lt;p_min-0.005,"low","OK")))</f>
        <v>OK</v>
      </c>
      <c r="L1579" s="4" t="s">
        <v>414</v>
      </c>
    </row>
    <row r="1580" customFormat="false" ht="15" hidden="false" customHeight="false" outlineLevel="0" collapsed="false">
      <c r="A1580" s="4" t="s">
        <v>44</v>
      </c>
      <c r="B1580" s="4" t="s">
        <v>373</v>
      </c>
      <c r="C1580" s="47" t="n">
        <v>7838.82</v>
      </c>
      <c r="D1580" s="48" t="n">
        <v>1641.85</v>
      </c>
      <c r="E1580" s="49" t="n">
        <f aca="false">D1580-cover</f>
        <v>1640.65</v>
      </c>
      <c r="F1580" s="50" t="n">
        <f aca="false">'Z6 Nkangamo-Uhuru'!S18-'Z6 Nkangamo-Uhuru'!P18*C1580/'Z6 Nkangamo-Uhuru'!G18</f>
        <v>1726.01813265173</v>
      </c>
      <c r="G1580" s="51" t="n">
        <f aca="false">'Z6 Nkangamo-Uhuru'!$B$8-E1580</f>
        <v>65.8500000000001</v>
      </c>
      <c r="H1580" s="52" t="n">
        <f aca="false">F1580-E1580</f>
        <v>85.3681326517344</v>
      </c>
      <c r="I1580" s="52" t="n">
        <f aca="false">MAX(H1580,G1580)</f>
        <v>85.3681326517344</v>
      </c>
      <c r="J1580" s="4" t="str">
        <f aca="false">IFERROR("PN"&amp;SMALL(PN_list,COUNTIF(PN_list,"&lt;"&amp;I1580*bar_per_m)+1),"&gt; max PN")</f>
        <v>PN10</v>
      </c>
      <c r="K1580" s="4" t="str">
        <f aca="false">IF(L1580="no","end at tank",IF(H1580&lt;0,"NEGATIVE",IF(H1580&lt;p_min-0.005,"low","OK")))</f>
        <v>OK</v>
      </c>
      <c r="L1580" s="4" t="s">
        <v>414</v>
      </c>
    </row>
    <row r="1581" customFormat="false" ht="15" hidden="false" customHeight="false" outlineLevel="0" collapsed="false">
      <c r="A1581" s="4" t="s">
        <v>44</v>
      </c>
      <c r="B1581" s="4" t="s">
        <v>373</v>
      </c>
      <c r="C1581" s="47" t="n">
        <v>7858.84</v>
      </c>
      <c r="D1581" s="48" t="n">
        <v>1642.69</v>
      </c>
      <c r="E1581" s="49" t="n">
        <f aca="false">D1581-cover</f>
        <v>1641.49</v>
      </c>
      <c r="F1581" s="50" t="n">
        <f aca="false">'Z6 Nkangamo-Uhuru'!S18-'Z6 Nkangamo-Uhuru'!P18*C1581/'Z6 Nkangamo-Uhuru'!G18</f>
        <v>1725.98694819548</v>
      </c>
      <c r="G1581" s="51" t="n">
        <f aca="false">'Z6 Nkangamo-Uhuru'!$B$8-E1581</f>
        <v>65.01</v>
      </c>
      <c r="H1581" s="52" t="n">
        <f aca="false">F1581-E1581</f>
        <v>84.4969481954845</v>
      </c>
      <c r="I1581" s="52" t="n">
        <f aca="false">MAX(H1581,G1581)</f>
        <v>84.4969481954845</v>
      </c>
      <c r="J1581" s="4" t="str">
        <f aca="false">IFERROR("PN"&amp;SMALL(PN_list,COUNTIF(PN_list,"&lt;"&amp;I1581*bar_per_m)+1),"&gt; max PN")</f>
        <v>PN10</v>
      </c>
      <c r="K1581" s="4" t="str">
        <f aca="false">IF(L1581="no","end at tank",IF(H1581&lt;0,"NEGATIVE",IF(H1581&lt;p_min-0.005,"low","OK")))</f>
        <v>OK</v>
      </c>
      <c r="L1581" s="4" t="s">
        <v>414</v>
      </c>
    </row>
    <row r="1582" customFormat="false" ht="15" hidden="false" customHeight="false" outlineLevel="0" collapsed="false">
      <c r="A1582" s="4" t="s">
        <v>44</v>
      </c>
      <c r="B1582" s="4" t="s">
        <v>373</v>
      </c>
      <c r="C1582" s="47" t="n">
        <v>7878.85</v>
      </c>
      <c r="D1582" s="48" t="n">
        <v>1643.43</v>
      </c>
      <c r="E1582" s="49" t="n">
        <f aca="false">D1582-cover</f>
        <v>1642.23</v>
      </c>
      <c r="F1582" s="50" t="n">
        <f aca="false">'Z6 Nkangamo-Uhuru'!S18-'Z6 Nkangamo-Uhuru'!P18*C1582/'Z6 Nkangamo-Uhuru'!G18</f>
        <v>1725.95577931589</v>
      </c>
      <c r="G1582" s="51" t="n">
        <f aca="false">'Z6 Nkangamo-Uhuru'!$B$8-E1582</f>
        <v>64.27</v>
      </c>
      <c r="H1582" s="52" t="n">
        <f aca="false">F1582-E1582</f>
        <v>83.7257793158863</v>
      </c>
      <c r="I1582" s="52" t="n">
        <f aca="false">MAX(H1582,G1582)</f>
        <v>83.7257793158863</v>
      </c>
      <c r="J1582" s="4" t="str">
        <f aca="false">IFERROR("PN"&amp;SMALL(PN_list,COUNTIF(PN_list,"&lt;"&amp;I1582*bar_per_m)+1),"&gt; max PN")</f>
        <v>PN10</v>
      </c>
      <c r="K1582" s="4" t="str">
        <f aca="false">IF(L1582="no","end at tank",IF(H1582&lt;0,"NEGATIVE",IF(H1582&lt;p_min-0.005,"low","OK")))</f>
        <v>OK</v>
      </c>
      <c r="L1582" s="4" t="s">
        <v>414</v>
      </c>
    </row>
    <row r="1583" customFormat="false" ht="15" hidden="false" customHeight="false" outlineLevel="0" collapsed="false">
      <c r="A1583" s="4" t="s">
        <v>44</v>
      </c>
      <c r="B1583" s="4" t="s">
        <v>373</v>
      </c>
      <c r="C1583" s="47" t="n">
        <v>7898.85</v>
      </c>
      <c r="D1583" s="48" t="n">
        <v>1643.44</v>
      </c>
      <c r="E1583" s="49" t="n">
        <f aca="false">D1583-cover</f>
        <v>1642.24</v>
      </c>
      <c r="F1583" s="50" t="n">
        <f aca="false">'Z6 Nkangamo-Uhuru'!S18-'Z6 Nkangamo-Uhuru'!P18*C1583/'Z6 Nkangamo-Uhuru'!G18</f>
        <v>1725.92462601294</v>
      </c>
      <c r="G1583" s="51" t="n">
        <f aca="false">'Z6 Nkangamo-Uhuru'!$B$8-E1583</f>
        <v>64.26</v>
      </c>
      <c r="H1583" s="52" t="n">
        <f aca="false">F1583-E1583</f>
        <v>83.6846260129394</v>
      </c>
      <c r="I1583" s="52" t="n">
        <f aca="false">MAX(H1583,G1583)</f>
        <v>83.6846260129394</v>
      </c>
      <c r="J1583" s="4" t="str">
        <f aca="false">IFERROR("PN"&amp;SMALL(PN_list,COUNTIF(PN_list,"&lt;"&amp;I1583*bar_per_m)+1),"&gt; max PN")</f>
        <v>PN10</v>
      </c>
      <c r="K1583" s="4" t="str">
        <f aca="false">IF(L1583="no","end at tank",IF(H1583&lt;0,"NEGATIVE",IF(H1583&lt;p_min-0.005,"low","OK")))</f>
        <v>OK</v>
      </c>
      <c r="L1583" s="4" t="s">
        <v>414</v>
      </c>
    </row>
    <row r="1584" customFormat="false" ht="15" hidden="false" customHeight="false" outlineLevel="0" collapsed="false">
      <c r="A1584" s="4" t="s">
        <v>44</v>
      </c>
      <c r="B1584" s="4" t="s">
        <v>373</v>
      </c>
      <c r="C1584" s="47" t="n">
        <v>7918.86</v>
      </c>
      <c r="D1584" s="48" t="n">
        <v>1643.95</v>
      </c>
      <c r="E1584" s="49" t="n">
        <f aca="false">D1584-cover</f>
        <v>1642.75</v>
      </c>
      <c r="F1584" s="50" t="n">
        <f aca="false">'Z6 Nkangamo-Uhuru'!S18-'Z6 Nkangamo-Uhuru'!P18*C1584/'Z6 Nkangamo-Uhuru'!G18</f>
        <v>1725.89345713334</v>
      </c>
      <c r="G1584" s="51" t="n">
        <f aca="false">'Z6 Nkangamo-Uhuru'!$B$8-E1584</f>
        <v>63.75</v>
      </c>
      <c r="H1584" s="52" t="n">
        <f aca="false">F1584-E1584</f>
        <v>83.1434571333411</v>
      </c>
      <c r="I1584" s="52" t="n">
        <f aca="false">MAX(H1584,G1584)</f>
        <v>83.1434571333411</v>
      </c>
      <c r="J1584" s="4" t="str">
        <f aca="false">IFERROR("PN"&amp;SMALL(PN_list,COUNTIF(PN_list,"&lt;"&amp;I1584*bar_per_m)+1),"&gt; max PN")</f>
        <v>PN10</v>
      </c>
      <c r="K1584" s="4" t="str">
        <f aca="false">IF(L1584="no","end at tank",IF(H1584&lt;0,"NEGATIVE",IF(H1584&lt;p_min-0.005,"low","OK")))</f>
        <v>OK</v>
      </c>
      <c r="L1584" s="4" t="s">
        <v>414</v>
      </c>
    </row>
    <row r="1585" customFormat="false" ht="15" hidden="false" customHeight="false" outlineLevel="0" collapsed="false">
      <c r="A1585" s="4" t="s">
        <v>44</v>
      </c>
      <c r="B1585" s="4" t="s">
        <v>373</v>
      </c>
      <c r="C1585" s="47" t="n">
        <v>7938.87</v>
      </c>
      <c r="D1585" s="48" t="n">
        <v>1644.5</v>
      </c>
      <c r="E1585" s="49" t="n">
        <f aca="false">D1585-cover</f>
        <v>1643.3</v>
      </c>
      <c r="F1585" s="50" t="n">
        <f aca="false">'Z6 Nkangamo-Uhuru'!S18-'Z6 Nkangamo-Uhuru'!P18*C1585/'Z6 Nkangamo-Uhuru'!G18</f>
        <v>1725.86228825374</v>
      </c>
      <c r="G1585" s="51" t="n">
        <f aca="false">'Z6 Nkangamo-Uhuru'!$B$8-E1585</f>
        <v>63.2</v>
      </c>
      <c r="H1585" s="52" t="n">
        <f aca="false">F1585-E1585</f>
        <v>82.5622882537427</v>
      </c>
      <c r="I1585" s="52" t="n">
        <f aca="false">MAX(H1585,G1585)</f>
        <v>82.5622882537427</v>
      </c>
      <c r="J1585" s="4" t="str">
        <f aca="false">IFERROR("PN"&amp;SMALL(PN_list,COUNTIF(PN_list,"&lt;"&amp;I1585*bar_per_m)+1),"&gt; max PN")</f>
        <v>PN10</v>
      </c>
      <c r="K1585" s="4" t="str">
        <f aca="false">IF(L1585="no","end at tank",IF(H1585&lt;0,"NEGATIVE",IF(H1585&lt;p_min-0.005,"low","OK")))</f>
        <v>OK</v>
      </c>
      <c r="L1585" s="4" t="s">
        <v>414</v>
      </c>
    </row>
    <row r="1586" customFormat="false" ht="15" hidden="false" customHeight="false" outlineLevel="0" collapsed="false">
      <c r="A1586" s="4" t="s">
        <v>44</v>
      </c>
      <c r="B1586" s="4" t="s">
        <v>373</v>
      </c>
      <c r="C1586" s="47" t="n">
        <v>7958.87</v>
      </c>
      <c r="D1586" s="48" t="n">
        <v>1644.85</v>
      </c>
      <c r="E1586" s="49" t="n">
        <f aca="false">D1586-cover</f>
        <v>1643.65</v>
      </c>
      <c r="F1586" s="50" t="n">
        <f aca="false">'Z6 Nkangamo-Uhuru'!S18-'Z6 Nkangamo-Uhuru'!P18*C1586/'Z6 Nkangamo-Uhuru'!G18</f>
        <v>1725.8311349508</v>
      </c>
      <c r="G1586" s="51" t="n">
        <f aca="false">'Z6 Nkangamo-Uhuru'!$B$8-E1586</f>
        <v>62.8500000000001</v>
      </c>
      <c r="H1586" s="52" t="n">
        <f aca="false">F1586-E1586</f>
        <v>82.1811349507962</v>
      </c>
      <c r="I1586" s="52" t="n">
        <f aca="false">MAX(H1586,G1586)</f>
        <v>82.1811349507962</v>
      </c>
      <c r="J1586" s="4" t="str">
        <f aca="false">IFERROR("PN"&amp;SMALL(PN_list,COUNTIF(PN_list,"&lt;"&amp;I1586*bar_per_m)+1),"&gt; max PN")</f>
        <v>PN10</v>
      </c>
      <c r="K1586" s="4" t="str">
        <f aca="false">IF(L1586="no","end at tank",IF(H1586&lt;0,"NEGATIVE",IF(H1586&lt;p_min-0.005,"low","OK")))</f>
        <v>OK</v>
      </c>
      <c r="L1586" s="4" t="s">
        <v>414</v>
      </c>
    </row>
    <row r="1587" customFormat="false" ht="15" hidden="false" customHeight="false" outlineLevel="0" collapsed="false">
      <c r="A1587" s="4" t="s">
        <v>44</v>
      </c>
      <c r="B1587" s="4" t="s">
        <v>373</v>
      </c>
      <c r="C1587" s="47" t="n">
        <v>7978.87</v>
      </c>
      <c r="D1587" s="48" t="n">
        <v>1645.06</v>
      </c>
      <c r="E1587" s="49" t="n">
        <f aca="false">D1587-cover</f>
        <v>1643.86</v>
      </c>
      <c r="F1587" s="50" t="n">
        <f aca="false">'Z6 Nkangamo-Uhuru'!S18-'Z6 Nkangamo-Uhuru'!P18*C1587/'Z6 Nkangamo-Uhuru'!G18</f>
        <v>1725.79998164785</v>
      </c>
      <c r="G1587" s="51" t="n">
        <f aca="false">'Z6 Nkangamo-Uhuru'!$B$8-E1587</f>
        <v>62.6400000000001</v>
      </c>
      <c r="H1587" s="52" t="n">
        <f aca="false">F1587-E1587</f>
        <v>81.9399816478492</v>
      </c>
      <c r="I1587" s="52" t="n">
        <f aca="false">MAX(H1587,G1587)</f>
        <v>81.9399816478492</v>
      </c>
      <c r="J1587" s="4" t="str">
        <f aca="false">IFERROR("PN"&amp;SMALL(PN_list,COUNTIF(PN_list,"&lt;"&amp;I1587*bar_per_m)+1),"&gt; max PN")</f>
        <v>PN10</v>
      </c>
      <c r="K1587" s="4" t="str">
        <f aca="false">IF(L1587="no","end at tank",IF(H1587&lt;0,"NEGATIVE",IF(H1587&lt;p_min-0.005,"low","OK")))</f>
        <v>OK</v>
      </c>
      <c r="L1587" s="4" t="s">
        <v>414</v>
      </c>
    </row>
    <row r="1588" customFormat="false" ht="15" hidden="false" customHeight="false" outlineLevel="0" collapsed="false">
      <c r="A1588" s="4" t="s">
        <v>44</v>
      </c>
      <c r="B1588" s="4" t="s">
        <v>373</v>
      </c>
      <c r="C1588" s="47" t="n">
        <v>7998.87</v>
      </c>
      <c r="D1588" s="48" t="n">
        <v>1645.34</v>
      </c>
      <c r="E1588" s="49" t="n">
        <f aca="false">D1588-cover</f>
        <v>1644.14</v>
      </c>
      <c r="F1588" s="50" t="n">
        <f aca="false">'Z6 Nkangamo-Uhuru'!S18-'Z6 Nkangamo-Uhuru'!P18*C1588/'Z6 Nkangamo-Uhuru'!G18</f>
        <v>1725.7688283449</v>
      </c>
      <c r="G1588" s="51" t="n">
        <f aca="false">'Z6 Nkangamo-Uhuru'!$B$8-E1588</f>
        <v>62.3600000000001</v>
      </c>
      <c r="H1588" s="52" t="n">
        <f aca="false">F1588-E1588</f>
        <v>81.6288283449023</v>
      </c>
      <c r="I1588" s="52" t="n">
        <f aca="false">MAX(H1588,G1588)</f>
        <v>81.6288283449023</v>
      </c>
      <c r="J1588" s="4" t="str">
        <f aca="false">IFERROR("PN"&amp;SMALL(PN_list,COUNTIF(PN_list,"&lt;"&amp;I1588*bar_per_m)+1),"&gt; max PN")</f>
        <v>PN10</v>
      </c>
      <c r="K1588" s="4" t="str">
        <f aca="false">IF(L1588="no","end at tank",IF(H1588&lt;0,"NEGATIVE",IF(H1588&lt;p_min-0.005,"low","OK")))</f>
        <v>OK</v>
      </c>
      <c r="L1588" s="4" t="s">
        <v>414</v>
      </c>
    </row>
    <row r="1589" customFormat="false" ht="15" hidden="false" customHeight="false" outlineLevel="0" collapsed="false">
      <c r="A1589" s="4" t="s">
        <v>44</v>
      </c>
      <c r="B1589" s="4" t="s">
        <v>373</v>
      </c>
      <c r="C1589" s="47" t="n">
        <v>8018.88</v>
      </c>
      <c r="D1589" s="48" t="n">
        <v>1645.99</v>
      </c>
      <c r="E1589" s="49" t="n">
        <f aca="false">D1589-cover</f>
        <v>1644.79</v>
      </c>
      <c r="F1589" s="50" t="n">
        <f aca="false">'Z6 Nkangamo-Uhuru'!S18-'Z6 Nkangamo-Uhuru'!P18*C1589/'Z6 Nkangamo-Uhuru'!G18</f>
        <v>1725.7376594653</v>
      </c>
      <c r="G1589" s="51" t="n">
        <f aca="false">'Z6 Nkangamo-Uhuru'!$B$8-E1589</f>
        <v>61.71</v>
      </c>
      <c r="H1589" s="52" t="n">
        <f aca="false">F1589-E1589</f>
        <v>80.947659465304</v>
      </c>
      <c r="I1589" s="52" t="n">
        <f aca="false">MAX(H1589,G1589)</f>
        <v>80.947659465304</v>
      </c>
      <c r="J1589" s="4" t="str">
        <f aca="false">IFERROR("PN"&amp;SMALL(PN_list,COUNTIF(PN_list,"&lt;"&amp;I1589*bar_per_m)+1),"&gt; max PN")</f>
        <v>PN10</v>
      </c>
      <c r="K1589" s="4" t="str">
        <f aca="false">IF(L1589="no","end at tank",IF(H1589&lt;0,"NEGATIVE",IF(H1589&lt;p_min-0.005,"low","OK")))</f>
        <v>OK</v>
      </c>
      <c r="L1589" s="4" t="s">
        <v>414</v>
      </c>
    </row>
    <row r="1590" customFormat="false" ht="15" hidden="false" customHeight="false" outlineLevel="0" collapsed="false">
      <c r="A1590" s="4" t="s">
        <v>44</v>
      </c>
      <c r="B1590" s="4" t="s">
        <v>373</v>
      </c>
      <c r="C1590" s="47" t="n">
        <v>8038.88</v>
      </c>
      <c r="D1590" s="48" t="n">
        <v>1646.23</v>
      </c>
      <c r="E1590" s="49" t="n">
        <f aca="false">D1590-cover</f>
        <v>1645.03</v>
      </c>
      <c r="F1590" s="50" t="n">
        <f aca="false">'Z6 Nkangamo-Uhuru'!S18-'Z6 Nkangamo-Uhuru'!P18*C1590/'Z6 Nkangamo-Uhuru'!G18</f>
        <v>1725.70650616236</v>
      </c>
      <c r="G1590" s="51" t="n">
        <f aca="false">'Z6 Nkangamo-Uhuru'!$B$8-E1590</f>
        <v>61.47</v>
      </c>
      <c r="H1590" s="52" t="n">
        <f aca="false">F1590-E1590</f>
        <v>80.6765061623571</v>
      </c>
      <c r="I1590" s="52" t="n">
        <f aca="false">MAX(H1590,G1590)</f>
        <v>80.6765061623571</v>
      </c>
      <c r="J1590" s="4" t="str">
        <f aca="false">IFERROR("PN"&amp;SMALL(PN_list,COUNTIF(PN_list,"&lt;"&amp;I1590*bar_per_m)+1),"&gt; max PN")</f>
        <v>PN10</v>
      </c>
      <c r="K1590" s="4" t="str">
        <f aca="false">IF(L1590="no","end at tank",IF(H1590&lt;0,"NEGATIVE",IF(H1590&lt;p_min-0.005,"low","OK")))</f>
        <v>OK</v>
      </c>
      <c r="L1590" s="4" t="s">
        <v>414</v>
      </c>
    </row>
    <row r="1591" customFormat="false" ht="15" hidden="false" customHeight="false" outlineLevel="0" collapsed="false">
      <c r="A1591" s="4" t="s">
        <v>44</v>
      </c>
      <c r="B1591" s="4" t="s">
        <v>373</v>
      </c>
      <c r="C1591" s="47" t="n">
        <v>8058.89</v>
      </c>
      <c r="D1591" s="48" t="n">
        <v>1646.88</v>
      </c>
      <c r="E1591" s="49" t="n">
        <f aca="false">D1591-cover</f>
        <v>1645.68</v>
      </c>
      <c r="F1591" s="50" t="n">
        <f aca="false">'Z6 Nkangamo-Uhuru'!S18-'Z6 Nkangamo-Uhuru'!P18*C1591/'Z6 Nkangamo-Uhuru'!G18</f>
        <v>1725.67533728276</v>
      </c>
      <c r="G1591" s="51" t="n">
        <f aca="false">'Z6 Nkangamo-Uhuru'!$B$8-E1591</f>
        <v>60.8199999999999</v>
      </c>
      <c r="H1591" s="52" t="n">
        <f aca="false">F1591-E1591</f>
        <v>79.9953372827588</v>
      </c>
      <c r="I1591" s="52" t="n">
        <f aca="false">MAX(H1591,G1591)</f>
        <v>79.9953372827588</v>
      </c>
      <c r="J1591" s="4" t="str">
        <f aca="false">IFERROR("PN"&amp;SMALL(PN_list,COUNTIF(PN_list,"&lt;"&amp;I1591*bar_per_m)+1),"&gt; max PN")</f>
        <v>PN10</v>
      </c>
      <c r="K1591" s="4" t="str">
        <f aca="false">IF(L1591="no","end at tank",IF(H1591&lt;0,"NEGATIVE",IF(H1591&lt;p_min-0.005,"low","OK")))</f>
        <v>OK</v>
      </c>
      <c r="L1591" s="4" t="s">
        <v>414</v>
      </c>
    </row>
    <row r="1592" customFormat="false" ht="15" hidden="false" customHeight="false" outlineLevel="0" collapsed="false">
      <c r="A1592" s="4" t="s">
        <v>44</v>
      </c>
      <c r="B1592" s="4" t="s">
        <v>373</v>
      </c>
      <c r="C1592" s="47" t="n">
        <v>8078.9</v>
      </c>
      <c r="D1592" s="48" t="n">
        <v>1646.57</v>
      </c>
      <c r="E1592" s="49" t="n">
        <f aca="false">D1592-cover</f>
        <v>1645.37</v>
      </c>
      <c r="F1592" s="50" t="n">
        <f aca="false">'Z6 Nkangamo-Uhuru'!S18-'Z6 Nkangamo-Uhuru'!P18*C1592/'Z6 Nkangamo-Uhuru'!G18</f>
        <v>1725.64416840316</v>
      </c>
      <c r="G1592" s="51" t="n">
        <f aca="false">'Z6 Nkangamo-Uhuru'!$B$8-E1592</f>
        <v>61.1300000000001</v>
      </c>
      <c r="H1592" s="52" t="n">
        <f aca="false">F1592-E1592</f>
        <v>80.2741684031607</v>
      </c>
      <c r="I1592" s="52" t="n">
        <f aca="false">MAX(H1592,G1592)</f>
        <v>80.2741684031607</v>
      </c>
      <c r="J1592" s="4" t="str">
        <f aca="false">IFERROR("PN"&amp;SMALL(PN_list,COUNTIF(PN_list,"&lt;"&amp;I1592*bar_per_m)+1),"&gt; max PN")</f>
        <v>PN10</v>
      </c>
      <c r="K1592" s="4" t="str">
        <f aca="false">IF(L1592="no","end at tank",IF(H1592&lt;0,"NEGATIVE",IF(H1592&lt;p_min-0.005,"low","OK")))</f>
        <v>OK</v>
      </c>
      <c r="L1592" s="4" t="s">
        <v>414</v>
      </c>
    </row>
    <row r="1593" customFormat="false" ht="15" hidden="false" customHeight="false" outlineLevel="0" collapsed="false">
      <c r="A1593" s="4" t="s">
        <v>44</v>
      </c>
      <c r="B1593" s="4" t="s">
        <v>373</v>
      </c>
      <c r="C1593" s="47" t="n">
        <v>8098.9</v>
      </c>
      <c r="D1593" s="48" t="n">
        <v>1647</v>
      </c>
      <c r="E1593" s="49" t="n">
        <f aca="false">D1593-cover</f>
        <v>1645.8</v>
      </c>
      <c r="F1593" s="50" t="n">
        <f aca="false">'Z6 Nkangamo-Uhuru'!S18-'Z6 Nkangamo-Uhuru'!P18*C1593/'Z6 Nkangamo-Uhuru'!G18</f>
        <v>1725.61301510021</v>
      </c>
      <c r="G1593" s="51" t="n">
        <f aca="false">'Z6 Nkangamo-Uhuru'!$B$8-E1593</f>
        <v>60.7</v>
      </c>
      <c r="H1593" s="52" t="n">
        <f aca="false">F1593-E1593</f>
        <v>79.8130151002138</v>
      </c>
      <c r="I1593" s="52" t="n">
        <f aca="false">MAX(H1593,G1593)</f>
        <v>79.8130151002138</v>
      </c>
      <c r="J1593" s="4" t="str">
        <f aca="false">IFERROR("PN"&amp;SMALL(PN_list,COUNTIF(PN_list,"&lt;"&amp;I1593*bar_per_m)+1),"&gt; max PN")</f>
        <v>PN10</v>
      </c>
      <c r="K1593" s="4" t="str">
        <f aca="false">IF(L1593="no","end at tank",IF(H1593&lt;0,"NEGATIVE",IF(H1593&lt;p_min-0.005,"low","OK")))</f>
        <v>OK</v>
      </c>
      <c r="L1593" s="4" t="s">
        <v>414</v>
      </c>
    </row>
    <row r="1594" customFormat="false" ht="15" hidden="false" customHeight="false" outlineLevel="0" collapsed="false">
      <c r="A1594" s="4" t="s">
        <v>44</v>
      </c>
      <c r="B1594" s="4" t="s">
        <v>373</v>
      </c>
      <c r="C1594" s="47" t="n">
        <v>8118.91</v>
      </c>
      <c r="D1594" s="48" t="n">
        <v>1647.51</v>
      </c>
      <c r="E1594" s="49" t="n">
        <f aca="false">D1594-cover</f>
        <v>1646.31</v>
      </c>
      <c r="F1594" s="50" t="n">
        <f aca="false">'Z6 Nkangamo-Uhuru'!S18-'Z6 Nkangamo-Uhuru'!P18*C1594/'Z6 Nkangamo-Uhuru'!G18</f>
        <v>1725.58184622062</v>
      </c>
      <c r="G1594" s="51" t="n">
        <f aca="false">'Z6 Nkangamo-Uhuru'!$B$8-E1594</f>
        <v>60.1900000000001</v>
      </c>
      <c r="H1594" s="52" t="n">
        <f aca="false">F1594-E1594</f>
        <v>79.2718462206155</v>
      </c>
      <c r="I1594" s="52" t="n">
        <f aca="false">MAX(H1594,G1594)</f>
        <v>79.2718462206155</v>
      </c>
      <c r="J1594" s="4" t="str">
        <f aca="false">IFERROR("PN"&amp;SMALL(PN_list,COUNTIF(PN_list,"&lt;"&amp;I1594*bar_per_m)+1),"&gt; max PN")</f>
        <v>PN10</v>
      </c>
      <c r="K1594" s="4" t="str">
        <f aca="false">IF(L1594="no","end at tank",IF(H1594&lt;0,"NEGATIVE",IF(H1594&lt;p_min-0.005,"low","OK")))</f>
        <v>OK</v>
      </c>
      <c r="L1594" s="4" t="s">
        <v>414</v>
      </c>
    </row>
    <row r="1595" customFormat="false" ht="15" hidden="false" customHeight="false" outlineLevel="0" collapsed="false">
      <c r="A1595" s="4" t="s">
        <v>44</v>
      </c>
      <c r="B1595" s="4" t="s">
        <v>373</v>
      </c>
      <c r="C1595" s="47" t="n">
        <v>8138.91</v>
      </c>
      <c r="D1595" s="48" t="n">
        <v>1647.85</v>
      </c>
      <c r="E1595" s="49" t="n">
        <f aca="false">D1595-cover</f>
        <v>1646.65</v>
      </c>
      <c r="F1595" s="50" t="n">
        <f aca="false">'Z6 Nkangamo-Uhuru'!S18-'Z6 Nkangamo-Uhuru'!P18*C1595/'Z6 Nkangamo-Uhuru'!G18</f>
        <v>1725.55069291767</v>
      </c>
      <c r="G1595" s="51" t="n">
        <f aca="false">'Z6 Nkangamo-Uhuru'!$B$8-E1595</f>
        <v>59.8500000000001</v>
      </c>
      <c r="H1595" s="52" t="n">
        <f aca="false">F1595-E1595</f>
        <v>78.9006929176687</v>
      </c>
      <c r="I1595" s="52" t="n">
        <f aca="false">MAX(H1595,G1595)</f>
        <v>78.9006929176687</v>
      </c>
      <c r="J1595" s="4" t="str">
        <f aca="false">IFERROR("PN"&amp;SMALL(PN_list,COUNTIF(PN_list,"&lt;"&amp;I1595*bar_per_m)+1),"&gt; max PN")</f>
        <v>PN10</v>
      </c>
      <c r="K1595" s="4" t="str">
        <f aca="false">IF(L1595="no","end at tank",IF(H1595&lt;0,"NEGATIVE",IF(H1595&lt;p_min-0.005,"low","OK")))</f>
        <v>OK</v>
      </c>
      <c r="L1595" s="4" t="s">
        <v>414</v>
      </c>
    </row>
    <row r="1596" customFormat="false" ht="15" hidden="false" customHeight="false" outlineLevel="0" collapsed="false">
      <c r="A1596" s="4" t="s">
        <v>44</v>
      </c>
      <c r="B1596" s="4" t="s">
        <v>373</v>
      </c>
      <c r="C1596" s="47" t="n">
        <v>8158.92</v>
      </c>
      <c r="D1596" s="48" t="n">
        <v>1648.37</v>
      </c>
      <c r="E1596" s="49" t="n">
        <f aca="false">D1596-cover</f>
        <v>1647.17</v>
      </c>
      <c r="F1596" s="50" t="n">
        <f aca="false">'Z6 Nkangamo-Uhuru'!S18-'Z6 Nkangamo-Uhuru'!P18*C1596/'Z6 Nkangamo-Uhuru'!G18</f>
        <v>1725.51952403807</v>
      </c>
      <c r="G1596" s="51" t="n">
        <f aca="false">'Z6 Nkangamo-Uhuru'!$B$8-E1596</f>
        <v>59.3300000000002</v>
      </c>
      <c r="H1596" s="52" t="n">
        <f aca="false">F1596-E1596</f>
        <v>78.3495240380705</v>
      </c>
      <c r="I1596" s="52" t="n">
        <f aca="false">MAX(H1596,G1596)</f>
        <v>78.3495240380705</v>
      </c>
      <c r="J1596" s="4" t="str">
        <f aca="false">IFERROR("PN"&amp;SMALL(PN_list,COUNTIF(PN_list,"&lt;"&amp;I1596*bar_per_m)+1),"&gt; max PN")</f>
        <v>PN10</v>
      </c>
      <c r="K1596" s="4" t="str">
        <f aca="false">IF(L1596="no","end at tank",IF(H1596&lt;0,"NEGATIVE",IF(H1596&lt;p_min-0.005,"low","OK")))</f>
        <v>OK</v>
      </c>
      <c r="L1596" s="4" t="s">
        <v>414</v>
      </c>
    </row>
    <row r="1597" customFormat="false" ht="15" hidden="false" customHeight="false" outlineLevel="0" collapsed="false">
      <c r="A1597" s="4" t="s">
        <v>44</v>
      </c>
      <c r="B1597" s="4" t="s">
        <v>373</v>
      </c>
      <c r="C1597" s="47" t="n">
        <v>8178.93</v>
      </c>
      <c r="D1597" s="48" t="n">
        <v>1649.09</v>
      </c>
      <c r="E1597" s="49" t="n">
        <f aca="false">D1597-cover</f>
        <v>1647.89</v>
      </c>
      <c r="F1597" s="50" t="n">
        <f aca="false">'Z6 Nkangamo-Uhuru'!S18-'Z6 Nkangamo-Uhuru'!P18*C1597/'Z6 Nkangamo-Uhuru'!G18</f>
        <v>1725.48835515847</v>
      </c>
      <c r="G1597" s="51" t="n">
        <f aca="false">'Z6 Nkangamo-Uhuru'!$B$8-E1597</f>
        <v>58.6100000000001</v>
      </c>
      <c r="H1597" s="52" t="n">
        <f aca="false">F1597-E1597</f>
        <v>77.598355158472</v>
      </c>
      <c r="I1597" s="52" t="n">
        <f aca="false">MAX(H1597,G1597)</f>
        <v>77.598355158472</v>
      </c>
      <c r="J1597" s="4" t="str">
        <f aca="false">IFERROR("PN"&amp;SMALL(PN_list,COUNTIF(PN_list,"&lt;"&amp;I1597*bar_per_m)+1),"&gt; max PN")</f>
        <v>PN10</v>
      </c>
      <c r="K1597" s="4" t="str">
        <f aca="false">IF(L1597="no","end at tank",IF(H1597&lt;0,"NEGATIVE",IF(H1597&lt;p_min-0.005,"low","OK")))</f>
        <v>OK</v>
      </c>
      <c r="L1597" s="4" t="s">
        <v>414</v>
      </c>
    </row>
    <row r="1598" customFormat="false" ht="15" hidden="false" customHeight="false" outlineLevel="0" collapsed="false">
      <c r="A1598" s="4" t="s">
        <v>44</v>
      </c>
      <c r="B1598" s="4" t="s">
        <v>373</v>
      </c>
      <c r="C1598" s="47" t="n">
        <v>8198.93</v>
      </c>
      <c r="D1598" s="48" t="n">
        <v>1648.97</v>
      </c>
      <c r="E1598" s="49" t="n">
        <f aca="false">D1598-cover</f>
        <v>1647.77</v>
      </c>
      <c r="F1598" s="50" t="n">
        <f aca="false">'Z6 Nkangamo-Uhuru'!S18-'Z6 Nkangamo-Uhuru'!P18*C1598/'Z6 Nkangamo-Uhuru'!G18</f>
        <v>1725.45720185553</v>
      </c>
      <c r="G1598" s="51" t="n">
        <f aca="false">'Z6 Nkangamo-Uhuru'!$B$8-E1598</f>
        <v>58.73</v>
      </c>
      <c r="H1598" s="52" t="n">
        <f aca="false">F1598-E1598</f>
        <v>77.6872018555253</v>
      </c>
      <c r="I1598" s="52" t="n">
        <f aca="false">MAX(H1598,G1598)</f>
        <v>77.6872018555253</v>
      </c>
      <c r="J1598" s="4" t="str">
        <f aca="false">IFERROR("PN"&amp;SMALL(PN_list,COUNTIF(PN_list,"&lt;"&amp;I1598*bar_per_m)+1),"&gt; max PN")</f>
        <v>PN10</v>
      </c>
      <c r="K1598" s="4" t="str">
        <f aca="false">IF(L1598="no","end at tank",IF(H1598&lt;0,"NEGATIVE",IF(H1598&lt;p_min-0.005,"low","OK")))</f>
        <v>OK</v>
      </c>
      <c r="L1598" s="4" t="s">
        <v>414</v>
      </c>
    </row>
    <row r="1599" customFormat="false" ht="15" hidden="false" customHeight="false" outlineLevel="0" collapsed="false">
      <c r="A1599" s="4" t="s">
        <v>44</v>
      </c>
      <c r="B1599" s="4" t="s">
        <v>373</v>
      </c>
      <c r="C1599" s="47" t="n">
        <v>8218.93</v>
      </c>
      <c r="D1599" s="48" t="n">
        <v>1649.22</v>
      </c>
      <c r="E1599" s="49" t="n">
        <f aca="false">D1599-cover</f>
        <v>1648.02</v>
      </c>
      <c r="F1599" s="50" t="n">
        <f aca="false">'Z6 Nkangamo-Uhuru'!S18-'Z6 Nkangamo-Uhuru'!P18*C1599/'Z6 Nkangamo-Uhuru'!G18</f>
        <v>1725.42604855258</v>
      </c>
      <c r="G1599" s="51" t="n">
        <f aca="false">'Z6 Nkangamo-Uhuru'!$B$8-E1599</f>
        <v>58.48</v>
      </c>
      <c r="H1599" s="52" t="n">
        <f aca="false">F1599-E1599</f>
        <v>77.4060485525783</v>
      </c>
      <c r="I1599" s="52" t="n">
        <f aca="false">MAX(H1599,G1599)</f>
        <v>77.4060485525783</v>
      </c>
      <c r="J1599" s="4" t="str">
        <f aca="false">IFERROR("PN"&amp;SMALL(PN_list,COUNTIF(PN_list,"&lt;"&amp;I1599*bar_per_m)+1),"&gt; max PN")</f>
        <v>PN10</v>
      </c>
      <c r="K1599" s="4" t="str">
        <f aca="false">IF(L1599="no","end at tank",IF(H1599&lt;0,"NEGATIVE",IF(H1599&lt;p_min-0.005,"low","OK")))</f>
        <v>OK</v>
      </c>
      <c r="L1599" s="4" t="s">
        <v>414</v>
      </c>
    </row>
    <row r="1600" customFormat="false" ht="15" hidden="false" customHeight="false" outlineLevel="0" collapsed="false">
      <c r="A1600" s="4" t="s">
        <v>44</v>
      </c>
      <c r="B1600" s="4" t="s">
        <v>373</v>
      </c>
      <c r="C1600" s="47" t="n">
        <v>8238.94</v>
      </c>
      <c r="D1600" s="48" t="n">
        <v>1649.82</v>
      </c>
      <c r="E1600" s="49" t="n">
        <f aca="false">D1600-cover</f>
        <v>1648.62</v>
      </c>
      <c r="F1600" s="50" t="n">
        <f aca="false">'Z6 Nkangamo-Uhuru'!S18-'Z6 Nkangamo-Uhuru'!P18*C1600/'Z6 Nkangamo-Uhuru'!G18</f>
        <v>1725.39487967298</v>
      </c>
      <c r="G1600" s="51" t="n">
        <f aca="false">'Z6 Nkangamo-Uhuru'!$B$8-E1600</f>
        <v>57.8800000000001</v>
      </c>
      <c r="H1600" s="52" t="n">
        <f aca="false">F1600-E1600</f>
        <v>76.7748796729802</v>
      </c>
      <c r="I1600" s="52" t="n">
        <f aca="false">MAX(H1600,G1600)</f>
        <v>76.7748796729802</v>
      </c>
      <c r="J1600" s="4" t="str">
        <f aca="false">IFERROR("PN"&amp;SMALL(PN_list,COUNTIF(PN_list,"&lt;"&amp;I1600*bar_per_m)+1),"&gt; max PN")</f>
        <v>PN10</v>
      </c>
      <c r="K1600" s="4" t="str">
        <f aca="false">IF(L1600="no","end at tank",IF(H1600&lt;0,"NEGATIVE",IF(H1600&lt;p_min-0.005,"low","OK")))</f>
        <v>OK</v>
      </c>
      <c r="L1600" s="4" t="s">
        <v>414</v>
      </c>
    </row>
    <row r="1601" customFormat="false" ht="15" hidden="false" customHeight="false" outlineLevel="0" collapsed="false">
      <c r="A1601" s="4" t="s">
        <v>44</v>
      </c>
      <c r="B1601" s="4" t="s">
        <v>373</v>
      </c>
      <c r="C1601" s="47" t="n">
        <v>8258.95</v>
      </c>
      <c r="D1601" s="48" t="n">
        <v>1650.26</v>
      </c>
      <c r="E1601" s="49" t="n">
        <f aca="false">D1601-cover</f>
        <v>1649.06</v>
      </c>
      <c r="F1601" s="50" t="n">
        <f aca="false">'Z6 Nkangamo-Uhuru'!S18-'Z6 Nkangamo-Uhuru'!P18*C1601/'Z6 Nkangamo-Uhuru'!G18</f>
        <v>1725.36371079338</v>
      </c>
      <c r="G1601" s="51" t="n">
        <f aca="false">'Z6 Nkangamo-Uhuru'!$B$8-E1601</f>
        <v>57.4400000000001</v>
      </c>
      <c r="H1601" s="52" t="n">
        <f aca="false">F1601-E1601</f>
        <v>76.3037107933817</v>
      </c>
      <c r="I1601" s="52" t="n">
        <f aca="false">MAX(H1601,G1601)</f>
        <v>76.3037107933817</v>
      </c>
      <c r="J1601" s="4" t="str">
        <f aca="false">IFERROR("PN"&amp;SMALL(PN_list,COUNTIF(PN_list,"&lt;"&amp;I1601*bar_per_m)+1),"&gt; max PN")</f>
        <v>PN10</v>
      </c>
      <c r="K1601" s="4" t="str">
        <f aca="false">IF(L1601="no","end at tank",IF(H1601&lt;0,"NEGATIVE",IF(H1601&lt;p_min-0.005,"low","OK")))</f>
        <v>OK</v>
      </c>
      <c r="L1601" s="4" t="s">
        <v>414</v>
      </c>
    </row>
    <row r="1602" customFormat="false" ht="15" hidden="false" customHeight="false" outlineLevel="0" collapsed="false">
      <c r="A1602" s="4" t="s">
        <v>44</v>
      </c>
      <c r="B1602" s="4" t="s">
        <v>373</v>
      </c>
      <c r="C1602" s="47" t="n">
        <v>8278.95</v>
      </c>
      <c r="D1602" s="48" t="n">
        <v>1650.35</v>
      </c>
      <c r="E1602" s="49" t="n">
        <f aca="false">D1602-cover</f>
        <v>1649.15</v>
      </c>
      <c r="F1602" s="50" t="n">
        <f aca="false">'Z6 Nkangamo-Uhuru'!S18-'Z6 Nkangamo-Uhuru'!P18*C1602/'Z6 Nkangamo-Uhuru'!G18</f>
        <v>1725.33255749044</v>
      </c>
      <c r="G1602" s="51" t="n">
        <f aca="false">'Z6 Nkangamo-Uhuru'!$B$8-E1602</f>
        <v>57.3500000000001</v>
      </c>
      <c r="H1602" s="52" t="n">
        <f aca="false">F1602-E1602</f>
        <v>76.1825574904351</v>
      </c>
      <c r="I1602" s="52" t="n">
        <f aca="false">MAX(H1602,G1602)</f>
        <v>76.1825574904351</v>
      </c>
      <c r="J1602" s="4" t="str">
        <f aca="false">IFERROR("PN"&amp;SMALL(PN_list,COUNTIF(PN_list,"&lt;"&amp;I1602*bar_per_m)+1),"&gt; max PN")</f>
        <v>PN10</v>
      </c>
      <c r="K1602" s="4" t="str">
        <f aca="false">IF(L1602="no","end at tank",IF(H1602&lt;0,"NEGATIVE",IF(H1602&lt;p_min-0.005,"low","OK")))</f>
        <v>OK</v>
      </c>
      <c r="L1602" s="4" t="s">
        <v>414</v>
      </c>
    </row>
    <row r="1603" customFormat="false" ht="15" hidden="false" customHeight="false" outlineLevel="0" collapsed="false">
      <c r="A1603" s="4" t="s">
        <v>44</v>
      </c>
      <c r="B1603" s="4" t="s">
        <v>373</v>
      </c>
      <c r="C1603" s="47" t="n">
        <v>8298.95</v>
      </c>
      <c r="D1603" s="48" t="n">
        <v>1650.75</v>
      </c>
      <c r="E1603" s="49" t="n">
        <f aca="false">D1603-cover</f>
        <v>1649.55</v>
      </c>
      <c r="F1603" s="50" t="n">
        <f aca="false">'Z6 Nkangamo-Uhuru'!S18-'Z6 Nkangamo-Uhuru'!P18*C1603/'Z6 Nkangamo-Uhuru'!G18</f>
        <v>1725.30140418749</v>
      </c>
      <c r="G1603" s="51" t="n">
        <f aca="false">'Z6 Nkangamo-Uhuru'!$B$8-E1603</f>
        <v>56.95</v>
      </c>
      <c r="H1603" s="52" t="n">
        <f aca="false">F1603-E1603</f>
        <v>75.7514041874881</v>
      </c>
      <c r="I1603" s="52" t="n">
        <f aca="false">MAX(H1603,G1603)</f>
        <v>75.7514041874881</v>
      </c>
      <c r="J1603" s="4" t="str">
        <f aca="false">IFERROR("PN"&amp;SMALL(PN_list,COUNTIF(PN_list,"&lt;"&amp;I1603*bar_per_m)+1),"&gt; max PN")</f>
        <v>PN10</v>
      </c>
      <c r="K1603" s="4" t="str">
        <f aca="false">IF(L1603="no","end at tank",IF(H1603&lt;0,"NEGATIVE",IF(H1603&lt;p_min-0.005,"low","OK")))</f>
        <v>OK</v>
      </c>
      <c r="L1603" s="4" t="s">
        <v>414</v>
      </c>
    </row>
    <row r="1604" customFormat="false" ht="15" hidden="false" customHeight="false" outlineLevel="0" collapsed="false">
      <c r="A1604" s="4" t="s">
        <v>44</v>
      </c>
      <c r="B1604" s="4" t="s">
        <v>373</v>
      </c>
      <c r="C1604" s="47" t="n">
        <v>8318.95</v>
      </c>
      <c r="D1604" s="48" t="n">
        <v>1651.11</v>
      </c>
      <c r="E1604" s="49" t="n">
        <f aca="false">D1604-cover</f>
        <v>1649.91</v>
      </c>
      <c r="F1604" s="50" t="n">
        <f aca="false">'Z6 Nkangamo-Uhuru'!S18-'Z6 Nkangamo-Uhuru'!P18*C1604/'Z6 Nkangamo-Uhuru'!G18</f>
        <v>1725.27025088454</v>
      </c>
      <c r="G1604" s="51" t="n">
        <f aca="false">'Z6 Nkangamo-Uhuru'!$B$8-E1604</f>
        <v>56.5900000000001</v>
      </c>
      <c r="H1604" s="52" t="n">
        <f aca="false">F1604-E1604</f>
        <v>75.3602508845415</v>
      </c>
      <c r="I1604" s="52" t="n">
        <f aca="false">MAX(H1604,G1604)</f>
        <v>75.3602508845415</v>
      </c>
      <c r="J1604" s="4" t="str">
        <f aca="false">IFERROR("PN"&amp;SMALL(PN_list,COUNTIF(PN_list,"&lt;"&amp;I1604*bar_per_m)+1),"&gt; max PN")</f>
        <v>PN10</v>
      </c>
      <c r="K1604" s="4" t="str">
        <f aca="false">IF(L1604="no","end at tank",IF(H1604&lt;0,"NEGATIVE",IF(H1604&lt;p_min-0.005,"low","OK")))</f>
        <v>OK</v>
      </c>
      <c r="L1604" s="4" t="s">
        <v>414</v>
      </c>
    </row>
    <row r="1605" customFormat="false" ht="15" hidden="false" customHeight="false" outlineLevel="0" collapsed="false">
      <c r="A1605" s="4" t="s">
        <v>44</v>
      </c>
      <c r="B1605" s="4" t="s">
        <v>373</v>
      </c>
      <c r="C1605" s="47" t="n">
        <v>8338.96</v>
      </c>
      <c r="D1605" s="48" t="n">
        <v>1651.6</v>
      </c>
      <c r="E1605" s="49" t="n">
        <f aca="false">D1605-cover</f>
        <v>1650.4</v>
      </c>
      <c r="F1605" s="50" t="n">
        <f aca="false">'Z6 Nkangamo-Uhuru'!S18-'Z6 Nkangamo-Uhuru'!P18*C1605/'Z6 Nkangamo-Uhuru'!G18</f>
        <v>1725.23908200494</v>
      </c>
      <c r="G1605" s="51" t="n">
        <f aca="false">'Z6 Nkangamo-Uhuru'!$B$8-E1605</f>
        <v>56.1000000000001</v>
      </c>
      <c r="H1605" s="52" t="n">
        <f aca="false">F1605-E1605</f>
        <v>74.8390820049431</v>
      </c>
      <c r="I1605" s="52" t="n">
        <f aca="false">MAX(H1605,G1605)</f>
        <v>74.8390820049431</v>
      </c>
      <c r="J1605" s="4" t="str">
        <f aca="false">IFERROR("PN"&amp;SMALL(PN_list,COUNTIF(PN_list,"&lt;"&amp;I1605*bar_per_m)+1),"&gt; max PN")</f>
        <v>PN10</v>
      </c>
      <c r="K1605" s="4" t="str">
        <f aca="false">IF(L1605="no","end at tank",IF(H1605&lt;0,"NEGATIVE",IF(H1605&lt;p_min-0.005,"low","OK")))</f>
        <v>OK</v>
      </c>
      <c r="L1605" s="4" t="s">
        <v>414</v>
      </c>
    </row>
    <row r="1606" customFormat="false" ht="15" hidden="false" customHeight="false" outlineLevel="0" collapsed="false">
      <c r="A1606" s="4" t="s">
        <v>44</v>
      </c>
      <c r="B1606" s="4" t="s">
        <v>373</v>
      </c>
      <c r="C1606" s="47" t="n">
        <v>8358.96</v>
      </c>
      <c r="D1606" s="48" t="n">
        <v>1651.8</v>
      </c>
      <c r="E1606" s="49" t="n">
        <f aca="false">D1606-cover</f>
        <v>1650.6</v>
      </c>
      <c r="F1606" s="50" t="n">
        <f aca="false">'Z6 Nkangamo-Uhuru'!S18-'Z6 Nkangamo-Uhuru'!P18*C1606/'Z6 Nkangamo-Uhuru'!G18</f>
        <v>1725.207928702</v>
      </c>
      <c r="G1606" s="51" t="n">
        <f aca="false">'Z6 Nkangamo-Uhuru'!$B$8-E1606</f>
        <v>55.9000000000001</v>
      </c>
      <c r="H1606" s="52" t="n">
        <f aca="false">F1606-E1606</f>
        <v>74.6079287019963</v>
      </c>
      <c r="I1606" s="52" t="n">
        <f aca="false">MAX(H1606,G1606)</f>
        <v>74.6079287019963</v>
      </c>
      <c r="J1606" s="4" t="str">
        <f aca="false">IFERROR("PN"&amp;SMALL(PN_list,COUNTIF(PN_list,"&lt;"&amp;I1606*bar_per_m)+1),"&gt; max PN")</f>
        <v>PN10</v>
      </c>
      <c r="K1606" s="4" t="str">
        <f aca="false">IF(L1606="no","end at tank",IF(H1606&lt;0,"NEGATIVE",IF(H1606&lt;p_min-0.005,"low","OK")))</f>
        <v>OK</v>
      </c>
      <c r="L1606" s="4" t="s">
        <v>414</v>
      </c>
    </row>
    <row r="1607" customFormat="false" ht="15" hidden="false" customHeight="false" outlineLevel="0" collapsed="false">
      <c r="A1607" s="4" t="s">
        <v>44</v>
      </c>
      <c r="B1607" s="4" t="s">
        <v>373</v>
      </c>
      <c r="C1607" s="47" t="n">
        <v>8378.96</v>
      </c>
      <c r="D1607" s="48" t="n">
        <v>1652.05</v>
      </c>
      <c r="E1607" s="49" t="n">
        <f aca="false">D1607-cover</f>
        <v>1650.85</v>
      </c>
      <c r="F1607" s="50" t="n">
        <f aca="false">'Z6 Nkangamo-Uhuru'!S18-'Z6 Nkangamo-Uhuru'!P18*C1607/'Z6 Nkangamo-Uhuru'!G18</f>
        <v>1725.17677539905</v>
      </c>
      <c r="G1607" s="51" t="n">
        <f aca="false">'Z6 Nkangamo-Uhuru'!$B$8-E1607</f>
        <v>55.6500000000001</v>
      </c>
      <c r="H1607" s="52" t="n">
        <f aca="false">F1607-E1607</f>
        <v>74.3267753990494</v>
      </c>
      <c r="I1607" s="52" t="n">
        <f aca="false">MAX(H1607,G1607)</f>
        <v>74.3267753990494</v>
      </c>
      <c r="J1607" s="4" t="str">
        <f aca="false">IFERROR("PN"&amp;SMALL(PN_list,COUNTIF(PN_list,"&lt;"&amp;I1607*bar_per_m)+1),"&gt; max PN")</f>
        <v>PN10</v>
      </c>
      <c r="K1607" s="4" t="str">
        <f aca="false">IF(L1607="no","end at tank",IF(H1607&lt;0,"NEGATIVE",IF(H1607&lt;p_min-0.005,"low","OK")))</f>
        <v>OK</v>
      </c>
      <c r="L1607" s="4" t="s">
        <v>414</v>
      </c>
    </row>
    <row r="1608" customFormat="false" ht="15" hidden="false" customHeight="false" outlineLevel="0" collapsed="false">
      <c r="A1608" s="4" t="s">
        <v>44</v>
      </c>
      <c r="B1608" s="4" t="s">
        <v>373</v>
      </c>
      <c r="C1608" s="47" t="n">
        <v>8398.97</v>
      </c>
      <c r="D1608" s="48" t="n">
        <v>1652.54</v>
      </c>
      <c r="E1608" s="49" t="n">
        <f aca="false">D1608-cover</f>
        <v>1651.34</v>
      </c>
      <c r="F1608" s="50" t="n">
        <f aca="false">'Z6 Nkangamo-Uhuru'!S18-'Z6 Nkangamo-Uhuru'!P18*C1608/'Z6 Nkangamo-Uhuru'!G18</f>
        <v>1725.14560651945</v>
      </c>
      <c r="G1608" s="51" t="n">
        <f aca="false">'Z6 Nkangamo-Uhuru'!$B$8-E1608</f>
        <v>55.1600000000001</v>
      </c>
      <c r="H1608" s="52" t="n">
        <f aca="false">F1608-E1608</f>
        <v>73.8056065194512</v>
      </c>
      <c r="I1608" s="52" t="n">
        <f aca="false">MAX(H1608,G1608)</f>
        <v>73.8056065194512</v>
      </c>
      <c r="J1608" s="4" t="str">
        <f aca="false">IFERROR("PN"&amp;SMALL(PN_list,COUNTIF(PN_list,"&lt;"&amp;I1608*bar_per_m)+1),"&gt; max PN")</f>
        <v>PN10</v>
      </c>
      <c r="K1608" s="4" t="str">
        <f aca="false">IF(L1608="no","end at tank",IF(H1608&lt;0,"NEGATIVE",IF(H1608&lt;p_min-0.005,"low","OK")))</f>
        <v>OK</v>
      </c>
      <c r="L1608" s="4" t="s">
        <v>414</v>
      </c>
    </row>
    <row r="1609" customFormat="false" ht="15" hidden="false" customHeight="false" outlineLevel="0" collapsed="false">
      <c r="A1609" s="4" t="s">
        <v>44</v>
      </c>
      <c r="B1609" s="4" t="s">
        <v>373</v>
      </c>
      <c r="C1609" s="47" t="n">
        <v>8418.97</v>
      </c>
      <c r="D1609" s="48" t="n">
        <v>1652.93</v>
      </c>
      <c r="E1609" s="49" t="n">
        <f aca="false">D1609-cover</f>
        <v>1651.73</v>
      </c>
      <c r="F1609" s="50" t="n">
        <f aca="false">'Z6 Nkangamo-Uhuru'!S18-'Z6 Nkangamo-Uhuru'!P18*C1609/'Z6 Nkangamo-Uhuru'!G18</f>
        <v>1725.1144532165</v>
      </c>
      <c r="G1609" s="51" t="n">
        <f aca="false">'Z6 Nkangamo-Uhuru'!$B$8-E1609</f>
        <v>54.77</v>
      </c>
      <c r="H1609" s="52" t="n">
        <f aca="false">F1609-E1609</f>
        <v>73.3844532165042</v>
      </c>
      <c r="I1609" s="52" t="n">
        <f aca="false">MAX(H1609,G1609)</f>
        <v>73.3844532165042</v>
      </c>
      <c r="J1609" s="4" t="str">
        <f aca="false">IFERROR("PN"&amp;SMALL(PN_list,COUNTIF(PN_list,"&lt;"&amp;I1609*bar_per_m)+1),"&gt; max PN")</f>
        <v>PN10</v>
      </c>
      <c r="K1609" s="4" t="str">
        <f aca="false">IF(L1609="no","end at tank",IF(H1609&lt;0,"NEGATIVE",IF(H1609&lt;p_min-0.005,"low","OK")))</f>
        <v>OK</v>
      </c>
      <c r="L1609" s="4" t="s">
        <v>414</v>
      </c>
    </row>
    <row r="1610" customFormat="false" ht="15" hidden="false" customHeight="false" outlineLevel="0" collapsed="false">
      <c r="A1610" s="4" t="s">
        <v>44</v>
      </c>
      <c r="B1610" s="4" t="s">
        <v>373</v>
      </c>
      <c r="C1610" s="47" t="n">
        <v>8439.03</v>
      </c>
      <c r="D1610" s="48" t="n">
        <v>1653.77</v>
      </c>
      <c r="E1610" s="49" t="n">
        <f aca="false">D1610-cover</f>
        <v>1652.57</v>
      </c>
      <c r="F1610" s="50" t="n">
        <f aca="false">'Z6 Nkangamo-Uhuru'!S18-'Z6 Nkangamo-Uhuru'!P18*C1610/'Z6 Nkangamo-Uhuru'!G18</f>
        <v>1725.08320645365</v>
      </c>
      <c r="G1610" s="51" t="n">
        <f aca="false">'Z6 Nkangamo-Uhuru'!$B$8-E1610</f>
        <v>53.9300000000001</v>
      </c>
      <c r="H1610" s="52" t="n">
        <f aca="false">F1610-E1610</f>
        <v>72.5132064536485</v>
      </c>
      <c r="I1610" s="52" t="n">
        <f aca="false">MAX(H1610,G1610)</f>
        <v>72.5132064536485</v>
      </c>
      <c r="J1610" s="4" t="str">
        <f aca="false">IFERROR("PN"&amp;SMALL(PN_list,COUNTIF(PN_list,"&lt;"&amp;I1610*bar_per_m)+1),"&gt; max PN")</f>
        <v>PN10</v>
      </c>
      <c r="K1610" s="4" t="str">
        <f aca="false">IF(L1610="no","end at tank",IF(H1610&lt;0,"NEGATIVE",IF(H1610&lt;p_min-0.005,"low","OK")))</f>
        <v>OK</v>
      </c>
      <c r="L1610" s="4" t="s">
        <v>414</v>
      </c>
    </row>
    <row r="1611" customFormat="false" ht="15" hidden="false" customHeight="false" outlineLevel="0" collapsed="false">
      <c r="A1611" s="4" t="s">
        <v>44</v>
      </c>
      <c r="B1611" s="4" t="s">
        <v>373</v>
      </c>
      <c r="C1611" s="47" t="n">
        <v>8459.08</v>
      </c>
      <c r="D1611" s="48" t="n">
        <v>1655.13</v>
      </c>
      <c r="E1611" s="49" t="n">
        <f aca="false">D1611-cover</f>
        <v>1653.93</v>
      </c>
      <c r="F1611" s="50" t="n">
        <f aca="false">'Z6 Nkangamo-Uhuru'!S18-'Z6 Nkangamo-Uhuru'!P18*C1611/'Z6 Nkangamo-Uhuru'!G18</f>
        <v>1725.05197526744</v>
      </c>
      <c r="G1611" s="51" t="n">
        <f aca="false">'Z6 Nkangamo-Uhuru'!$B$8-E1611</f>
        <v>52.5699999999999</v>
      </c>
      <c r="H1611" s="52" t="n">
        <f aca="false">F1611-E1611</f>
        <v>71.1219752674442</v>
      </c>
      <c r="I1611" s="52" t="n">
        <f aca="false">MAX(H1611,G1611)</f>
        <v>71.1219752674442</v>
      </c>
      <c r="J1611" s="4" t="str">
        <f aca="false">IFERROR("PN"&amp;SMALL(PN_list,COUNTIF(PN_list,"&lt;"&amp;I1611*bar_per_m)+1),"&gt; max PN")</f>
        <v>PN10</v>
      </c>
      <c r="K1611" s="4" t="str">
        <f aca="false">IF(L1611="no","end at tank",IF(H1611&lt;0,"NEGATIVE",IF(H1611&lt;p_min-0.005,"low","OK")))</f>
        <v>OK</v>
      </c>
      <c r="L1611" s="4" t="s">
        <v>414</v>
      </c>
    </row>
    <row r="1612" customFormat="false" ht="15" hidden="false" customHeight="false" outlineLevel="0" collapsed="false">
      <c r="A1612" s="4" t="s">
        <v>44</v>
      </c>
      <c r="B1612" s="4" t="s">
        <v>373</v>
      </c>
      <c r="C1612" s="47" t="n">
        <v>8479.08</v>
      </c>
      <c r="D1612" s="48" t="n">
        <v>1655.27</v>
      </c>
      <c r="E1612" s="49" t="n">
        <f aca="false">D1612-cover</f>
        <v>1654.07</v>
      </c>
      <c r="F1612" s="50" t="n">
        <f aca="false">'Z6 Nkangamo-Uhuru'!S18-'Z6 Nkangamo-Uhuru'!P18*C1612/'Z6 Nkangamo-Uhuru'!G18</f>
        <v>1725.0208219645</v>
      </c>
      <c r="G1612" s="51" t="n">
        <f aca="false">'Z6 Nkangamo-Uhuru'!$B$8-E1612</f>
        <v>52.4300000000001</v>
      </c>
      <c r="H1612" s="52" t="n">
        <f aca="false">F1612-E1612</f>
        <v>70.9508219644977</v>
      </c>
      <c r="I1612" s="52" t="n">
        <f aca="false">MAX(H1612,G1612)</f>
        <v>70.9508219644977</v>
      </c>
      <c r="J1612" s="4" t="str">
        <f aca="false">IFERROR("PN"&amp;SMALL(PN_list,COUNTIF(PN_list,"&lt;"&amp;I1612*bar_per_m)+1),"&gt; max PN")</f>
        <v>PN10</v>
      </c>
      <c r="K1612" s="4" t="str">
        <f aca="false">IF(L1612="no","end at tank",IF(H1612&lt;0,"NEGATIVE",IF(H1612&lt;p_min-0.005,"low","OK")))</f>
        <v>OK</v>
      </c>
      <c r="L1612" s="4" t="s">
        <v>414</v>
      </c>
    </row>
    <row r="1613" customFormat="false" ht="15" hidden="false" customHeight="false" outlineLevel="0" collapsed="false">
      <c r="A1613" s="4" t="s">
        <v>44</v>
      </c>
      <c r="B1613" s="4" t="s">
        <v>373</v>
      </c>
      <c r="C1613" s="47" t="n">
        <v>8499.09</v>
      </c>
      <c r="D1613" s="48" t="n">
        <v>1655.88</v>
      </c>
      <c r="E1613" s="49" t="n">
        <f aca="false">D1613-cover</f>
        <v>1654.68</v>
      </c>
      <c r="F1613" s="50" t="n">
        <f aca="false">'Z6 Nkangamo-Uhuru'!S18-'Z6 Nkangamo-Uhuru'!P18*C1613/'Z6 Nkangamo-Uhuru'!G18</f>
        <v>1724.9896530849</v>
      </c>
      <c r="G1613" s="51" t="n">
        <f aca="false">'Z6 Nkangamo-Uhuru'!$B$8-E1613</f>
        <v>51.8199999999999</v>
      </c>
      <c r="H1613" s="52" t="n">
        <f aca="false">F1613-E1613</f>
        <v>70.3096530848991</v>
      </c>
      <c r="I1613" s="52" t="n">
        <f aca="false">MAX(H1613,G1613)</f>
        <v>70.3096530848991</v>
      </c>
      <c r="J1613" s="4" t="str">
        <f aca="false">IFERROR("PN"&amp;SMALL(PN_list,COUNTIF(PN_list,"&lt;"&amp;I1613*bar_per_m)+1),"&gt; max PN")</f>
        <v>PN10</v>
      </c>
      <c r="K1613" s="4" t="str">
        <f aca="false">IF(L1613="no","end at tank",IF(H1613&lt;0,"NEGATIVE",IF(H1613&lt;p_min-0.005,"low","OK")))</f>
        <v>OK</v>
      </c>
      <c r="L1613" s="4" t="s">
        <v>414</v>
      </c>
    </row>
    <row r="1614" customFormat="false" ht="15" hidden="false" customHeight="false" outlineLevel="0" collapsed="false">
      <c r="A1614" s="4" t="s">
        <v>44</v>
      </c>
      <c r="B1614" s="4" t="s">
        <v>373</v>
      </c>
      <c r="C1614" s="47" t="n">
        <v>8519.12</v>
      </c>
      <c r="D1614" s="48" t="n">
        <v>1657.08</v>
      </c>
      <c r="E1614" s="49" t="n">
        <f aca="false">D1614-cover</f>
        <v>1655.88</v>
      </c>
      <c r="F1614" s="50" t="n">
        <f aca="false">'Z6 Nkangamo-Uhuru'!S18-'Z6 Nkangamo-Uhuru'!P18*C1614/'Z6 Nkangamo-Uhuru'!G18</f>
        <v>1724.958453052</v>
      </c>
      <c r="G1614" s="51" t="n">
        <f aca="false">'Z6 Nkangamo-Uhuru'!$B$8-E1614</f>
        <v>50.6200000000001</v>
      </c>
      <c r="H1614" s="52" t="n">
        <f aca="false">F1614-E1614</f>
        <v>69.0784530519982</v>
      </c>
      <c r="I1614" s="52" t="n">
        <f aca="false">MAX(H1614,G1614)</f>
        <v>69.0784530519982</v>
      </c>
      <c r="J1614" s="4" t="str">
        <f aca="false">IFERROR("PN"&amp;SMALL(PN_list,COUNTIF(PN_list,"&lt;"&amp;I1614*bar_per_m)+1),"&gt; max PN")</f>
        <v>PN10</v>
      </c>
      <c r="K1614" s="4" t="str">
        <f aca="false">IF(L1614="no","end at tank",IF(H1614&lt;0,"NEGATIVE",IF(H1614&lt;p_min-0.005,"low","OK")))</f>
        <v>OK</v>
      </c>
      <c r="L1614" s="4" t="s">
        <v>414</v>
      </c>
    </row>
    <row r="1615" customFormat="false" ht="15" hidden="false" customHeight="false" outlineLevel="0" collapsed="false">
      <c r="A1615" s="4" t="s">
        <v>44</v>
      </c>
      <c r="B1615" s="4" t="s">
        <v>373</v>
      </c>
      <c r="C1615" s="47" t="n">
        <v>8539.14</v>
      </c>
      <c r="D1615" s="48" t="n">
        <v>1657.9</v>
      </c>
      <c r="E1615" s="49" t="n">
        <f aca="false">D1615-cover</f>
        <v>1656.7</v>
      </c>
      <c r="F1615" s="50" t="n">
        <f aca="false">'Z6 Nkangamo-Uhuru'!S18-'Z6 Nkangamo-Uhuru'!P18*C1615/'Z6 Nkangamo-Uhuru'!G18</f>
        <v>1724.92726859575</v>
      </c>
      <c r="G1615" s="51" t="n">
        <f aca="false">'Z6 Nkangamo-Uhuru'!$B$8-E1615</f>
        <v>49.8</v>
      </c>
      <c r="H1615" s="52" t="n">
        <f aca="false">F1615-E1615</f>
        <v>68.2272685957482</v>
      </c>
      <c r="I1615" s="52" t="n">
        <f aca="false">MAX(H1615,G1615)</f>
        <v>68.2272685957482</v>
      </c>
      <c r="J1615" s="4" t="str">
        <f aca="false">IFERROR("PN"&amp;SMALL(PN_list,COUNTIF(PN_list,"&lt;"&amp;I1615*bar_per_m)+1),"&gt; max PN")</f>
        <v>PN10</v>
      </c>
      <c r="K1615" s="4" t="str">
        <f aca="false">IF(L1615="no","end at tank",IF(H1615&lt;0,"NEGATIVE",IF(H1615&lt;p_min-0.005,"low","OK")))</f>
        <v>OK</v>
      </c>
      <c r="L1615" s="4" t="s">
        <v>414</v>
      </c>
    </row>
    <row r="1616" customFormat="false" ht="15" hidden="false" customHeight="false" outlineLevel="0" collapsed="false">
      <c r="A1616" s="4" t="s">
        <v>44</v>
      </c>
      <c r="B1616" s="4" t="s">
        <v>373</v>
      </c>
      <c r="C1616" s="47" t="n">
        <v>8559.15</v>
      </c>
      <c r="D1616" s="48" t="n">
        <v>1658.51</v>
      </c>
      <c r="E1616" s="49" t="n">
        <f aca="false">D1616-cover</f>
        <v>1657.31</v>
      </c>
      <c r="F1616" s="50" t="n">
        <f aca="false">'Z6 Nkangamo-Uhuru'!S18-'Z6 Nkangamo-Uhuru'!P18*C1616/'Z6 Nkangamo-Uhuru'!G18</f>
        <v>1724.89609971615</v>
      </c>
      <c r="G1616" s="51" t="n">
        <f aca="false">'Z6 Nkangamo-Uhuru'!$B$8-E1616</f>
        <v>49.1900000000001</v>
      </c>
      <c r="H1616" s="52" t="n">
        <f aca="false">F1616-E1616</f>
        <v>67.5860997161499</v>
      </c>
      <c r="I1616" s="52" t="n">
        <f aca="false">MAX(H1616,G1616)</f>
        <v>67.5860997161499</v>
      </c>
      <c r="J1616" s="4" t="str">
        <f aca="false">IFERROR("PN"&amp;SMALL(PN_list,COUNTIF(PN_list,"&lt;"&amp;I1616*bar_per_m)+1),"&gt; max PN")</f>
        <v>PN10</v>
      </c>
      <c r="K1616" s="4" t="str">
        <f aca="false">IF(L1616="no","end at tank",IF(H1616&lt;0,"NEGATIVE",IF(H1616&lt;p_min-0.005,"low","OK")))</f>
        <v>OK</v>
      </c>
      <c r="L1616" s="4" t="s">
        <v>414</v>
      </c>
    </row>
    <row r="1617" customFormat="false" ht="15" hidden="false" customHeight="false" outlineLevel="0" collapsed="false">
      <c r="A1617" s="4" t="s">
        <v>44</v>
      </c>
      <c r="B1617" s="4" t="s">
        <v>373</v>
      </c>
      <c r="C1617" s="47" t="n">
        <v>8579.15</v>
      </c>
      <c r="D1617" s="48" t="n">
        <v>1658.91</v>
      </c>
      <c r="E1617" s="49" t="n">
        <f aca="false">D1617-cover</f>
        <v>1657.71</v>
      </c>
      <c r="F1617" s="50" t="n">
        <f aca="false">'Z6 Nkangamo-Uhuru'!S18-'Z6 Nkangamo-Uhuru'!P18*C1617/'Z6 Nkangamo-Uhuru'!G18</f>
        <v>1724.8649464132</v>
      </c>
      <c r="G1617" s="51" t="n">
        <f aca="false">'Z6 Nkangamo-Uhuru'!$B$8-E1617</f>
        <v>48.79</v>
      </c>
      <c r="H1617" s="52" t="n">
        <f aca="false">F1617-E1617</f>
        <v>67.1549464132031</v>
      </c>
      <c r="I1617" s="52" t="n">
        <f aca="false">MAX(H1617,G1617)</f>
        <v>67.1549464132031</v>
      </c>
      <c r="J1617" s="4" t="str">
        <f aca="false">IFERROR("PN"&amp;SMALL(PN_list,COUNTIF(PN_list,"&lt;"&amp;I1617*bar_per_m)+1),"&gt; max PN")</f>
        <v>PN10</v>
      </c>
      <c r="K1617" s="4" t="str">
        <f aca="false">IF(L1617="no","end at tank",IF(H1617&lt;0,"NEGATIVE",IF(H1617&lt;p_min-0.005,"low","OK")))</f>
        <v>OK</v>
      </c>
      <c r="L1617" s="4" t="s">
        <v>414</v>
      </c>
    </row>
    <row r="1618" customFormat="false" ht="15" hidden="false" customHeight="false" outlineLevel="0" collapsed="false">
      <c r="A1618" s="4" t="s">
        <v>44</v>
      </c>
      <c r="B1618" s="4" t="s">
        <v>373</v>
      </c>
      <c r="C1618" s="47" t="n">
        <v>8599.15</v>
      </c>
      <c r="D1618" s="48" t="n">
        <v>1659.09</v>
      </c>
      <c r="E1618" s="49" t="n">
        <f aca="false">D1618-cover</f>
        <v>1657.89</v>
      </c>
      <c r="F1618" s="50" t="n">
        <f aca="false">'Z6 Nkangamo-Uhuru'!S18-'Z6 Nkangamo-Uhuru'!P18*C1618/'Z6 Nkangamo-Uhuru'!G18</f>
        <v>1724.83379311026</v>
      </c>
      <c r="G1618" s="51" t="n">
        <f aca="false">'Z6 Nkangamo-Uhuru'!$B$8-E1618</f>
        <v>48.6100000000001</v>
      </c>
      <c r="H1618" s="52" t="n">
        <f aca="false">F1618-E1618</f>
        <v>66.9437931102564</v>
      </c>
      <c r="I1618" s="52" t="n">
        <f aca="false">MAX(H1618,G1618)</f>
        <v>66.9437931102564</v>
      </c>
      <c r="J1618" s="4" t="str">
        <f aca="false">IFERROR("PN"&amp;SMALL(PN_list,COUNTIF(PN_list,"&lt;"&amp;I1618*bar_per_m)+1),"&gt; max PN")</f>
        <v>PN10</v>
      </c>
      <c r="K1618" s="4" t="str">
        <f aca="false">IF(L1618="no","end at tank",IF(H1618&lt;0,"NEGATIVE",IF(H1618&lt;p_min-0.005,"low","OK")))</f>
        <v>OK</v>
      </c>
      <c r="L1618" s="4" t="s">
        <v>414</v>
      </c>
    </row>
    <row r="1619" customFormat="false" ht="15" hidden="false" customHeight="false" outlineLevel="0" collapsed="false">
      <c r="A1619" s="4" t="s">
        <v>44</v>
      </c>
      <c r="B1619" s="4" t="s">
        <v>373</v>
      </c>
      <c r="C1619" s="47" t="n">
        <v>8619.17</v>
      </c>
      <c r="D1619" s="48" t="n">
        <v>1659.88</v>
      </c>
      <c r="E1619" s="49" t="n">
        <f aca="false">D1619-cover</f>
        <v>1658.68</v>
      </c>
      <c r="F1619" s="50" t="n">
        <f aca="false">'Z6 Nkangamo-Uhuru'!S18-'Z6 Nkangamo-Uhuru'!P18*C1619/'Z6 Nkangamo-Uhuru'!G18</f>
        <v>1724.80260865401</v>
      </c>
      <c r="G1619" s="51" t="n">
        <f aca="false">'Z6 Nkangamo-Uhuru'!$B$8-E1619</f>
        <v>47.8199999999999</v>
      </c>
      <c r="H1619" s="52" t="n">
        <f aca="false">F1619-E1619</f>
        <v>66.1226086540064</v>
      </c>
      <c r="I1619" s="52" t="n">
        <f aca="false">MAX(H1619,G1619)</f>
        <v>66.1226086540064</v>
      </c>
      <c r="J1619" s="4" t="str">
        <f aca="false">IFERROR("PN"&amp;SMALL(PN_list,COUNTIF(PN_list,"&lt;"&amp;I1619*bar_per_m)+1),"&gt; max PN")</f>
        <v>PN10</v>
      </c>
      <c r="K1619" s="4" t="str">
        <f aca="false">IF(L1619="no","end at tank",IF(H1619&lt;0,"NEGATIVE",IF(H1619&lt;p_min-0.005,"low","OK")))</f>
        <v>OK</v>
      </c>
      <c r="L1619" s="4" t="s">
        <v>414</v>
      </c>
    </row>
    <row r="1620" customFormat="false" ht="15" hidden="false" customHeight="false" outlineLevel="0" collapsed="false">
      <c r="A1620" s="4" t="s">
        <v>44</v>
      </c>
      <c r="B1620" s="4" t="s">
        <v>373</v>
      </c>
      <c r="C1620" s="47" t="n">
        <v>8639.18</v>
      </c>
      <c r="D1620" s="48" t="n">
        <v>1660.55</v>
      </c>
      <c r="E1620" s="49" t="n">
        <f aca="false">D1620-cover</f>
        <v>1659.35</v>
      </c>
      <c r="F1620" s="50" t="n">
        <f aca="false">'Z6 Nkangamo-Uhuru'!S18-'Z6 Nkangamo-Uhuru'!P18*C1620/'Z6 Nkangamo-Uhuru'!G18</f>
        <v>1724.77143977441</v>
      </c>
      <c r="G1620" s="51" t="n">
        <f aca="false">'Z6 Nkangamo-Uhuru'!$B$8-E1620</f>
        <v>47.1500000000001</v>
      </c>
      <c r="H1620" s="52" t="n">
        <f aca="false">F1620-E1620</f>
        <v>65.4214397744083</v>
      </c>
      <c r="I1620" s="52" t="n">
        <f aca="false">MAX(H1620,G1620)</f>
        <v>65.4214397744083</v>
      </c>
      <c r="J1620" s="4" t="str">
        <f aca="false">IFERROR("PN"&amp;SMALL(PN_list,COUNTIF(PN_list,"&lt;"&amp;I1620*bar_per_m)+1),"&gt; max PN")</f>
        <v>PN10</v>
      </c>
      <c r="K1620" s="4" t="str">
        <f aca="false">IF(L1620="no","end at tank",IF(H1620&lt;0,"NEGATIVE",IF(H1620&lt;p_min-0.005,"low","OK")))</f>
        <v>OK</v>
      </c>
      <c r="L1620" s="4" t="s">
        <v>414</v>
      </c>
    </row>
    <row r="1621" customFormat="false" ht="15" hidden="false" customHeight="false" outlineLevel="0" collapsed="false">
      <c r="A1621" s="4" t="s">
        <v>44</v>
      </c>
      <c r="B1621" s="4" t="s">
        <v>373</v>
      </c>
      <c r="C1621" s="47" t="n">
        <v>8659.25</v>
      </c>
      <c r="D1621" s="48" t="n">
        <v>1662.17</v>
      </c>
      <c r="E1621" s="49" t="n">
        <f aca="false">D1621-cover</f>
        <v>1660.97</v>
      </c>
      <c r="F1621" s="50" t="n">
        <f aca="false">'Z6 Nkangamo-Uhuru'!S18-'Z6 Nkangamo-Uhuru'!P18*C1621/'Z6 Nkangamo-Uhuru'!G18</f>
        <v>1724.7401774349</v>
      </c>
      <c r="G1621" s="51" t="n">
        <f aca="false">'Z6 Nkangamo-Uhuru'!$B$8-E1621</f>
        <v>45.53</v>
      </c>
      <c r="H1621" s="52" t="n">
        <f aca="false">F1621-E1621</f>
        <v>63.7701774349009</v>
      </c>
      <c r="I1621" s="52" t="n">
        <f aca="false">MAX(H1621,G1621)</f>
        <v>63.7701774349009</v>
      </c>
      <c r="J1621" s="4" t="str">
        <f aca="false">IFERROR("PN"&amp;SMALL(PN_list,COUNTIF(PN_list,"&lt;"&amp;I1621*bar_per_m)+1),"&gt; max PN")</f>
        <v>PN10</v>
      </c>
      <c r="K1621" s="4" t="str">
        <f aca="false">IF(L1621="no","end at tank",IF(H1621&lt;0,"NEGATIVE",IF(H1621&lt;p_min-0.005,"low","OK")))</f>
        <v>OK</v>
      </c>
      <c r="L1621" s="4" t="s">
        <v>414</v>
      </c>
    </row>
    <row r="1622" customFormat="false" ht="15" hidden="false" customHeight="false" outlineLevel="0" collapsed="false">
      <c r="A1622" s="4" t="s">
        <v>44</v>
      </c>
      <c r="B1622" s="4" t="s">
        <v>373</v>
      </c>
      <c r="C1622" s="47" t="n">
        <v>8679.25</v>
      </c>
      <c r="D1622" s="48" t="n">
        <v>1662.42</v>
      </c>
      <c r="E1622" s="49" t="n">
        <f aca="false">D1622-cover</f>
        <v>1661.22</v>
      </c>
      <c r="F1622" s="50" t="n">
        <f aca="false">'Z6 Nkangamo-Uhuru'!S18-'Z6 Nkangamo-Uhuru'!P18*C1622/'Z6 Nkangamo-Uhuru'!G18</f>
        <v>1724.70902413195</v>
      </c>
      <c r="G1622" s="51" t="n">
        <f aca="false">'Z6 Nkangamo-Uhuru'!$B$8-E1622</f>
        <v>45.28</v>
      </c>
      <c r="H1622" s="52" t="n">
        <f aca="false">F1622-E1622</f>
        <v>63.4890241319542</v>
      </c>
      <c r="I1622" s="52" t="n">
        <f aca="false">MAX(H1622,G1622)</f>
        <v>63.4890241319542</v>
      </c>
      <c r="J1622" s="4" t="str">
        <f aca="false">IFERROR("PN"&amp;SMALL(PN_list,COUNTIF(PN_list,"&lt;"&amp;I1622*bar_per_m)+1),"&gt; max PN")</f>
        <v>PN10</v>
      </c>
      <c r="K1622" s="4" t="str">
        <f aca="false">IF(L1622="no","end at tank",IF(H1622&lt;0,"NEGATIVE",IF(H1622&lt;p_min-0.005,"low","OK")))</f>
        <v>OK</v>
      </c>
      <c r="L1622" s="4" t="s">
        <v>414</v>
      </c>
    </row>
    <row r="1623" customFormat="false" ht="15" hidden="false" customHeight="false" outlineLevel="0" collapsed="false">
      <c r="A1623" s="4" t="s">
        <v>44</v>
      </c>
      <c r="B1623" s="4" t="s">
        <v>373</v>
      </c>
      <c r="C1623" s="47" t="n">
        <v>8699.26</v>
      </c>
      <c r="D1623" s="48" t="n">
        <v>1663.27</v>
      </c>
      <c r="E1623" s="49" t="n">
        <f aca="false">D1623-cover</f>
        <v>1662.07</v>
      </c>
      <c r="F1623" s="50" t="n">
        <f aca="false">'Z6 Nkangamo-Uhuru'!S18-'Z6 Nkangamo-Uhuru'!P18*C1623/'Z6 Nkangamo-Uhuru'!G18</f>
        <v>1724.67785525236</v>
      </c>
      <c r="G1623" s="51" t="n">
        <f aca="false">'Z6 Nkangamo-Uhuru'!$B$8-E1623</f>
        <v>44.4300000000001</v>
      </c>
      <c r="H1623" s="52" t="n">
        <f aca="false">F1623-E1623</f>
        <v>62.6078552523559</v>
      </c>
      <c r="I1623" s="52" t="n">
        <f aca="false">MAX(H1623,G1623)</f>
        <v>62.6078552523559</v>
      </c>
      <c r="J1623" s="4" t="str">
        <f aca="false">IFERROR("PN"&amp;SMALL(PN_list,COUNTIF(PN_list,"&lt;"&amp;I1623*bar_per_m)+1),"&gt; max PN")</f>
        <v>PN10</v>
      </c>
      <c r="K1623" s="4" t="str">
        <f aca="false">IF(L1623="no","end at tank",IF(H1623&lt;0,"NEGATIVE",IF(H1623&lt;p_min-0.005,"low","OK")))</f>
        <v>OK</v>
      </c>
      <c r="L1623" s="4" t="s">
        <v>414</v>
      </c>
    </row>
    <row r="1624" customFormat="false" ht="15" hidden="false" customHeight="false" outlineLevel="0" collapsed="false">
      <c r="A1624" s="4" t="s">
        <v>44</v>
      </c>
      <c r="B1624" s="4" t="s">
        <v>373</v>
      </c>
      <c r="C1624" s="47" t="n">
        <v>8719.29</v>
      </c>
      <c r="D1624" s="48" t="n">
        <v>1664.29</v>
      </c>
      <c r="E1624" s="49" t="n">
        <f aca="false">D1624-cover</f>
        <v>1663.09</v>
      </c>
      <c r="F1624" s="50" t="n">
        <f aca="false">'Z6 Nkangamo-Uhuru'!S18-'Z6 Nkangamo-Uhuru'!P18*C1624/'Z6 Nkangamo-Uhuru'!G18</f>
        <v>1724.64665521945</v>
      </c>
      <c r="G1624" s="51" t="n">
        <f aca="false">'Z6 Nkangamo-Uhuru'!$B$8-E1624</f>
        <v>43.4100000000001</v>
      </c>
      <c r="H1624" s="52" t="n">
        <f aca="false">F1624-E1624</f>
        <v>61.5566552194548</v>
      </c>
      <c r="I1624" s="52" t="n">
        <f aca="false">MAX(H1624,G1624)</f>
        <v>61.5566552194548</v>
      </c>
      <c r="J1624" s="4" t="str">
        <f aca="false">IFERROR("PN"&amp;SMALL(PN_list,COUNTIF(PN_list,"&lt;"&amp;I1624*bar_per_m)+1),"&gt; max PN")</f>
        <v>PN10</v>
      </c>
      <c r="K1624" s="4" t="str">
        <f aca="false">IF(L1624="no","end at tank",IF(H1624&lt;0,"NEGATIVE",IF(H1624&lt;p_min-0.005,"low","OK")))</f>
        <v>OK</v>
      </c>
      <c r="L1624" s="4" t="s">
        <v>414</v>
      </c>
    </row>
    <row r="1625" customFormat="false" ht="15" hidden="false" customHeight="false" outlineLevel="0" collapsed="false">
      <c r="A1625" s="4" t="s">
        <v>44</v>
      </c>
      <c r="B1625" s="4" t="s">
        <v>373</v>
      </c>
      <c r="C1625" s="47" t="n">
        <v>8739.29</v>
      </c>
      <c r="D1625" s="48" t="n">
        <v>1664.61</v>
      </c>
      <c r="E1625" s="49" t="n">
        <f aca="false">D1625-cover</f>
        <v>1663.41</v>
      </c>
      <c r="F1625" s="50" t="n">
        <f aca="false">'Z6 Nkangamo-Uhuru'!S18-'Z6 Nkangamo-Uhuru'!P18*C1625/'Z6 Nkangamo-Uhuru'!G18</f>
        <v>1724.61550191651</v>
      </c>
      <c r="G1625" s="51" t="n">
        <f aca="false">'Z6 Nkangamo-Uhuru'!$B$8-E1625</f>
        <v>43.0900000000001</v>
      </c>
      <c r="H1625" s="52" t="n">
        <f aca="false">F1625-E1625</f>
        <v>61.205501916508</v>
      </c>
      <c r="I1625" s="52" t="n">
        <f aca="false">MAX(H1625,G1625)</f>
        <v>61.205501916508</v>
      </c>
      <c r="J1625" s="4" t="str">
        <f aca="false">IFERROR("PN"&amp;SMALL(PN_list,COUNTIF(PN_list,"&lt;"&amp;I1625*bar_per_m)+1),"&gt; max PN")</f>
        <v>PN10</v>
      </c>
      <c r="K1625" s="4" t="str">
        <f aca="false">IF(L1625="no","end at tank",IF(H1625&lt;0,"NEGATIVE",IF(H1625&lt;p_min-0.005,"low","OK")))</f>
        <v>OK</v>
      </c>
      <c r="L1625" s="4" t="s">
        <v>414</v>
      </c>
    </row>
    <row r="1626" customFormat="false" ht="15" hidden="false" customHeight="false" outlineLevel="0" collapsed="false">
      <c r="A1626" s="4" t="s">
        <v>44</v>
      </c>
      <c r="B1626" s="4" t="s">
        <v>373</v>
      </c>
      <c r="C1626" s="47" t="n">
        <v>8759.32</v>
      </c>
      <c r="D1626" s="48" t="n">
        <v>1665.69</v>
      </c>
      <c r="E1626" s="49" t="n">
        <f aca="false">D1626-cover</f>
        <v>1664.49</v>
      </c>
      <c r="F1626" s="50" t="n">
        <f aca="false">'Z6 Nkangamo-Uhuru'!S18-'Z6 Nkangamo-Uhuru'!P18*C1626/'Z6 Nkangamo-Uhuru'!G18</f>
        <v>1724.58430188361</v>
      </c>
      <c r="G1626" s="51" t="n">
        <f aca="false">'Z6 Nkangamo-Uhuru'!$B$8-E1626</f>
        <v>42.01</v>
      </c>
      <c r="H1626" s="52" t="n">
        <f aca="false">F1626-E1626</f>
        <v>60.0943018836065</v>
      </c>
      <c r="I1626" s="52" t="n">
        <f aca="false">MAX(H1626,G1626)</f>
        <v>60.0943018836065</v>
      </c>
      <c r="J1626" s="4" t="str">
        <f aca="false">IFERROR("PN"&amp;SMALL(PN_list,COUNTIF(PN_list,"&lt;"&amp;I1626*bar_per_m)+1),"&gt; max PN")</f>
        <v>PN10</v>
      </c>
      <c r="K1626" s="4" t="str">
        <f aca="false">IF(L1626="no","end at tank",IF(H1626&lt;0,"NEGATIVE",IF(H1626&lt;p_min-0.005,"low","OK")))</f>
        <v>OK</v>
      </c>
      <c r="L1626" s="4" t="s">
        <v>414</v>
      </c>
    </row>
    <row r="1627" customFormat="false" ht="15" hidden="false" customHeight="false" outlineLevel="0" collapsed="false">
      <c r="A1627" s="4" t="s">
        <v>44</v>
      </c>
      <c r="B1627" s="4" t="s">
        <v>373</v>
      </c>
      <c r="C1627" s="47" t="n">
        <v>8779.32</v>
      </c>
      <c r="D1627" s="48" t="n">
        <v>1665.96</v>
      </c>
      <c r="E1627" s="49" t="n">
        <f aca="false">D1627-cover</f>
        <v>1664.76</v>
      </c>
      <c r="F1627" s="50" t="n">
        <f aca="false">'Z6 Nkangamo-Uhuru'!S18-'Z6 Nkangamo-Uhuru'!P18*C1627/'Z6 Nkangamo-Uhuru'!G18</f>
        <v>1724.55314858066</v>
      </c>
      <c r="G1627" s="51" t="n">
        <f aca="false">'Z6 Nkangamo-Uhuru'!$B$8-E1627</f>
        <v>41.74</v>
      </c>
      <c r="H1627" s="52" t="n">
        <f aca="false">F1627-E1627</f>
        <v>59.7931485806598</v>
      </c>
      <c r="I1627" s="52" t="n">
        <f aca="false">MAX(H1627,G1627)</f>
        <v>59.7931485806598</v>
      </c>
      <c r="J1627" s="4" t="str">
        <f aca="false">IFERROR("PN"&amp;SMALL(PN_list,COUNTIF(PN_list,"&lt;"&amp;I1627*bar_per_m)+1),"&gt; max PN")</f>
        <v>PN10</v>
      </c>
      <c r="K1627" s="4" t="str">
        <f aca="false">IF(L1627="no","end at tank",IF(H1627&lt;0,"NEGATIVE",IF(H1627&lt;p_min-0.005,"low","OK")))</f>
        <v>OK</v>
      </c>
      <c r="L1627" s="4" t="s">
        <v>414</v>
      </c>
    </row>
    <row r="1628" customFormat="false" ht="15" hidden="false" customHeight="false" outlineLevel="0" collapsed="false">
      <c r="A1628" s="4" t="s">
        <v>44</v>
      </c>
      <c r="B1628" s="4" t="s">
        <v>373</v>
      </c>
      <c r="C1628" s="47" t="n">
        <v>8799.34</v>
      </c>
      <c r="D1628" s="48" t="n">
        <v>1666.75</v>
      </c>
      <c r="E1628" s="49" t="n">
        <f aca="false">D1628-cover</f>
        <v>1665.55</v>
      </c>
      <c r="F1628" s="50" t="n">
        <f aca="false">'Z6 Nkangamo-Uhuru'!S18-'Z6 Nkangamo-Uhuru'!P18*C1628/'Z6 Nkangamo-Uhuru'!G18</f>
        <v>1724.52196412441</v>
      </c>
      <c r="G1628" s="51" t="n">
        <f aca="false">'Z6 Nkangamo-Uhuru'!$B$8-E1628</f>
        <v>40.95</v>
      </c>
      <c r="H1628" s="52" t="n">
        <f aca="false">F1628-E1628</f>
        <v>58.9719641244101</v>
      </c>
      <c r="I1628" s="52" t="n">
        <f aca="false">MAX(H1628,G1628)</f>
        <v>58.9719641244101</v>
      </c>
      <c r="J1628" s="4" t="str">
        <f aca="false">IFERROR("PN"&amp;SMALL(PN_list,COUNTIF(PN_list,"&lt;"&amp;I1628*bar_per_m)+1),"&gt; max PN")</f>
        <v>PN10</v>
      </c>
      <c r="K1628" s="4" t="str">
        <f aca="false">IF(L1628="no","end at tank",IF(H1628&lt;0,"NEGATIVE",IF(H1628&lt;p_min-0.005,"low","OK")))</f>
        <v>OK</v>
      </c>
      <c r="L1628" s="4" t="s">
        <v>414</v>
      </c>
    </row>
    <row r="1629" customFormat="false" ht="15" hidden="false" customHeight="false" outlineLevel="0" collapsed="false">
      <c r="A1629" s="4" t="s">
        <v>44</v>
      </c>
      <c r="B1629" s="4" t="s">
        <v>373</v>
      </c>
      <c r="C1629" s="47" t="n">
        <v>8819.37</v>
      </c>
      <c r="D1629" s="48" t="n">
        <v>1667.8</v>
      </c>
      <c r="E1629" s="49" t="n">
        <f aca="false">D1629-cover</f>
        <v>1666.6</v>
      </c>
      <c r="F1629" s="50" t="n">
        <f aca="false">'Z6 Nkangamo-Uhuru'!S18-'Z6 Nkangamo-Uhuru'!P18*C1629/'Z6 Nkangamo-Uhuru'!G18</f>
        <v>1724.49076409151</v>
      </c>
      <c r="G1629" s="51" t="n">
        <f aca="false">'Z6 Nkangamo-Uhuru'!$B$8-E1629</f>
        <v>39.9000000000001</v>
      </c>
      <c r="H1629" s="52" t="n">
        <f aca="false">F1629-E1629</f>
        <v>57.8907640915088</v>
      </c>
      <c r="I1629" s="52" t="n">
        <f aca="false">MAX(H1629,G1629)</f>
        <v>57.8907640915088</v>
      </c>
      <c r="J1629" s="4" t="str">
        <f aca="false">IFERROR("PN"&amp;SMALL(PN_list,COUNTIF(PN_list,"&lt;"&amp;I1629*bar_per_m)+1),"&gt; max PN")</f>
        <v>PN10</v>
      </c>
      <c r="K1629" s="4" t="str">
        <f aca="false">IF(L1629="no","end at tank",IF(H1629&lt;0,"NEGATIVE",IF(H1629&lt;p_min-0.005,"low","OK")))</f>
        <v>OK</v>
      </c>
      <c r="L1629" s="4" t="s">
        <v>414</v>
      </c>
    </row>
    <row r="1630" customFormat="false" ht="15" hidden="false" customHeight="false" outlineLevel="0" collapsed="false">
      <c r="A1630" s="4" t="s">
        <v>44</v>
      </c>
      <c r="B1630" s="4" t="s">
        <v>373</v>
      </c>
      <c r="C1630" s="47" t="n">
        <v>8839.39</v>
      </c>
      <c r="D1630" s="48" t="n">
        <v>1668.65</v>
      </c>
      <c r="E1630" s="49" t="n">
        <f aca="false">D1630-cover</f>
        <v>1667.45</v>
      </c>
      <c r="F1630" s="50" t="n">
        <f aca="false">'Z6 Nkangamo-Uhuru'!S18-'Z6 Nkangamo-Uhuru'!P18*C1630/'Z6 Nkangamo-Uhuru'!G18</f>
        <v>1724.45957963526</v>
      </c>
      <c r="G1630" s="51" t="n">
        <f aca="false">'Z6 Nkangamo-Uhuru'!$B$8-E1630</f>
        <v>39.05</v>
      </c>
      <c r="H1630" s="52" t="n">
        <f aca="false">F1630-E1630</f>
        <v>57.0095796352589</v>
      </c>
      <c r="I1630" s="52" t="n">
        <f aca="false">MAX(H1630,G1630)</f>
        <v>57.0095796352589</v>
      </c>
      <c r="J1630" s="4" t="str">
        <f aca="false">IFERROR("PN"&amp;SMALL(PN_list,COUNTIF(PN_list,"&lt;"&amp;I1630*bar_per_m)+1),"&gt; max PN")</f>
        <v>PN10</v>
      </c>
      <c r="K1630" s="4" t="str">
        <f aca="false">IF(L1630="no","end at tank",IF(H1630&lt;0,"NEGATIVE",IF(H1630&lt;p_min-0.005,"low","OK")))</f>
        <v>OK</v>
      </c>
      <c r="L1630" s="4" t="s">
        <v>414</v>
      </c>
    </row>
    <row r="1631" customFormat="false" ht="15" hidden="false" customHeight="false" outlineLevel="0" collapsed="false">
      <c r="A1631" s="4" t="s">
        <v>44</v>
      </c>
      <c r="B1631" s="4" t="s">
        <v>373</v>
      </c>
      <c r="C1631" s="47" t="n">
        <v>8859.41</v>
      </c>
      <c r="D1631" s="48" t="n">
        <v>1669.53</v>
      </c>
      <c r="E1631" s="49" t="n">
        <f aca="false">D1631-cover</f>
        <v>1668.33</v>
      </c>
      <c r="F1631" s="50" t="n">
        <f aca="false">'Z6 Nkangamo-Uhuru'!S18-'Z6 Nkangamo-Uhuru'!P18*C1631/'Z6 Nkangamo-Uhuru'!G18</f>
        <v>1724.42839517901</v>
      </c>
      <c r="G1631" s="51" t="n">
        <f aca="false">'Z6 Nkangamo-Uhuru'!$B$8-E1631</f>
        <v>38.1700000000001</v>
      </c>
      <c r="H1631" s="52" t="n">
        <f aca="false">F1631-E1631</f>
        <v>56.0983951790092</v>
      </c>
      <c r="I1631" s="52" t="n">
        <f aca="false">MAX(H1631,G1631)</f>
        <v>56.0983951790092</v>
      </c>
      <c r="J1631" s="4" t="str">
        <f aca="false">IFERROR("PN"&amp;SMALL(PN_list,COUNTIF(PN_list,"&lt;"&amp;I1631*bar_per_m)+1),"&gt; max PN")</f>
        <v>PN10</v>
      </c>
      <c r="K1631" s="4" t="str">
        <f aca="false">IF(L1631="no","end at tank",IF(H1631&lt;0,"NEGATIVE",IF(H1631&lt;p_min-0.005,"low","OK")))</f>
        <v>OK</v>
      </c>
      <c r="L1631" s="4" t="s">
        <v>414</v>
      </c>
    </row>
    <row r="1632" customFormat="false" ht="15" hidden="false" customHeight="false" outlineLevel="0" collapsed="false">
      <c r="A1632" s="4" t="s">
        <v>44</v>
      </c>
      <c r="B1632" s="4" t="s">
        <v>373</v>
      </c>
      <c r="C1632" s="47" t="n">
        <v>8879.42</v>
      </c>
      <c r="D1632" s="48" t="n">
        <v>1670.32</v>
      </c>
      <c r="E1632" s="49" t="n">
        <f aca="false">D1632-cover</f>
        <v>1669.12</v>
      </c>
      <c r="F1632" s="50" t="n">
        <f aca="false">'Z6 Nkangamo-Uhuru'!S18-'Z6 Nkangamo-Uhuru'!P18*C1632/'Z6 Nkangamo-Uhuru'!G18</f>
        <v>1724.39722629941</v>
      </c>
      <c r="G1632" s="51" t="n">
        <f aca="false">'Z6 Nkangamo-Uhuru'!$B$8-E1632</f>
        <v>37.3800000000001</v>
      </c>
      <c r="H1632" s="52" t="n">
        <f aca="false">F1632-E1632</f>
        <v>55.277226299411</v>
      </c>
      <c r="I1632" s="52" t="n">
        <f aca="false">MAX(H1632,G1632)</f>
        <v>55.277226299411</v>
      </c>
      <c r="J1632" s="4" t="str">
        <f aca="false">IFERROR("PN"&amp;SMALL(PN_list,COUNTIF(PN_list,"&lt;"&amp;I1632*bar_per_m)+1),"&gt; max PN")</f>
        <v>PN10</v>
      </c>
      <c r="K1632" s="4" t="str">
        <f aca="false">IF(L1632="no","end at tank",IF(H1632&lt;0,"NEGATIVE",IF(H1632&lt;p_min-0.005,"low","OK")))</f>
        <v>OK</v>
      </c>
      <c r="L1632" s="4" t="s">
        <v>414</v>
      </c>
    </row>
    <row r="1633" customFormat="false" ht="15" hidden="false" customHeight="false" outlineLevel="0" collapsed="false">
      <c r="A1633" s="4" t="s">
        <v>44</v>
      </c>
      <c r="B1633" s="4" t="s">
        <v>373</v>
      </c>
      <c r="C1633" s="47" t="n">
        <v>8899.43</v>
      </c>
      <c r="D1633" s="48" t="n">
        <v>1670.78</v>
      </c>
      <c r="E1633" s="49" t="n">
        <f aca="false">D1633-cover</f>
        <v>1669.58</v>
      </c>
      <c r="F1633" s="50" t="n">
        <f aca="false">'Z6 Nkangamo-Uhuru'!S18-'Z6 Nkangamo-Uhuru'!P18*C1633/'Z6 Nkangamo-Uhuru'!G18</f>
        <v>1724.36605741981</v>
      </c>
      <c r="G1633" s="51" t="n">
        <f aca="false">'Z6 Nkangamo-Uhuru'!$B$8-E1633</f>
        <v>36.9200000000001</v>
      </c>
      <c r="H1633" s="52" t="n">
        <f aca="false">F1633-E1633</f>
        <v>54.7860574198126</v>
      </c>
      <c r="I1633" s="52" t="n">
        <f aca="false">MAX(H1633,G1633)</f>
        <v>54.7860574198126</v>
      </c>
      <c r="J1633" s="4" t="str">
        <f aca="false">IFERROR("PN"&amp;SMALL(PN_list,COUNTIF(PN_list,"&lt;"&amp;I1633*bar_per_m)+1),"&gt; max PN")</f>
        <v>PN10</v>
      </c>
      <c r="K1633" s="4" t="str">
        <f aca="false">IF(L1633="no","end at tank",IF(H1633&lt;0,"NEGATIVE",IF(H1633&lt;p_min-0.005,"low","OK")))</f>
        <v>OK</v>
      </c>
      <c r="L1633" s="4" t="s">
        <v>414</v>
      </c>
    </row>
    <row r="1634" customFormat="false" ht="15" hidden="false" customHeight="false" outlineLevel="0" collapsed="false">
      <c r="A1634" s="4" t="s">
        <v>44</v>
      </c>
      <c r="B1634" s="4" t="s">
        <v>373</v>
      </c>
      <c r="C1634" s="47" t="n">
        <v>8919.45</v>
      </c>
      <c r="D1634" s="48" t="n">
        <v>1671.69</v>
      </c>
      <c r="E1634" s="49" t="n">
        <f aca="false">D1634-cover</f>
        <v>1670.49</v>
      </c>
      <c r="F1634" s="50" t="n">
        <f aca="false">'Z6 Nkangamo-Uhuru'!S18-'Z6 Nkangamo-Uhuru'!P18*C1634/'Z6 Nkangamo-Uhuru'!G18</f>
        <v>1724.33487296356</v>
      </c>
      <c r="G1634" s="51" t="n">
        <f aca="false">'Z6 Nkangamo-Uhuru'!$B$8-E1634</f>
        <v>36.01</v>
      </c>
      <c r="H1634" s="52" t="n">
        <f aca="false">F1634-E1634</f>
        <v>53.8448729635627</v>
      </c>
      <c r="I1634" s="52" t="n">
        <f aca="false">MAX(H1634,G1634)</f>
        <v>53.8448729635627</v>
      </c>
      <c r="J1634" s="4" t="str">
        <f aca="false">IFERROR("PN"&amp;SMALL(PN_list,COUNTIF(PN_list,"&lt;"&amp;I1634*bar_per_m)+1),"&gt; max PN")</f>
        <v>PN10</v>
      </c>
      <c r="K1634" s="4" t="str">
        <f aca="false">IF(L1634="no","end at tank",IF(H1634&lt;0,"NEGATIVE",IF(H1634&lt;p_min-0.005,"low","OK")))</f>
        <v>OK</v>
      </c>
      <c r="L1634" s="4" t="s">
        <v>414</v>
      </c>
    </row>
    <row r="1635" customFormat="false" ht="15" hidden="false" customHeight="false" outlineLevel="0" collapsed="false">
      <c r="A1635" s="4" t="s">
        <v>44</v>
      </c>
      <c r="B1635" s="4" t="s">
        <v>373</v>
      </c>
      <c r="C1635" s="47" t="n">
        <v>8939.47</v>
      </c>
      <c r="D1635" s="48" t="n">
        <v>1672.55</v>
      </c>
      <c r="E1635" s="49" t="n">
        <f aca="false">D1635-cover</f>
        <v>1671.35</v>
      </c>
      <c r="F1635" s="50" t="n">
        <f aca="false">'Z6 Nkangamo-Uhuru'!S18-'Z6 Nkangamo-Uhuru'!P18*C1635/'Z6 Nkangamo-Uhuru'!G18</f>
        <v>1724.30368850731</v>
      </c>
      <c r="G1635" s="51" t="n">
        <f aca="false">'Z6 Nkangamo-Uhuru'!$B$8-E1635</f>
        <v>35.1500000000001</v>
      </c>
      <c r="H1635" s="52" t="n">
        <f aca="false">F1635-E1635</f>
        <v>52.953688507313</v>
      </c>
      <c r="I1635" s="52" t="n">
        <f aca="false">MAX(H1635,G1635)</f>
        <v>52.953688507313</v>
      </c>
      <c r="J1635" s="4" t="str">
        <f aca="false">IFERROR("PN"&amp;SMALL(PN_list,COUNTIF(PN_list,"&lt;"&amp;I1635*bar_per_m)+1),"&gt; max PN")</f>
        <v>PN10</v>
      </c>
      <c r="K1635" s="4" t="str">
        <f aca="false">IF(L1635="no","end at tank",IF(H1635&lt;0,"NEGATIVE",IF(H1635&lt;p_min-0.005,"low","OK")))</f>
        <v>OK</v>
      </c>
      <c r="L1635" s="4" t="s">
        <v>414</v>
      </c>
    </row>
    <row r="1636" customFormat="false" ht="15" hidden="false" customHeight="false" outlineLevel="0" collapsed="false">
      <c r="A1636" s="4" t="s">
        <v>44</v>
      </c>
      <c r="B1636" s="4" t="s">
        <v>373</v>
      </c>
      <c r="C1636" s="47" t="n">
        <v>8959.47</v>
      </c>
      <c r="D1636" s="48" t="n">
        <v>1672.95</v>
      </c>
      <c r="E1636" s="49" t="n">
        <f aca="false">D1636-cover</f>
        <v>1671.75</v>
      </c>
      <c r="F1636" s="50" t="n">
        <f aca="false">'Z6 Nkangamo-Uhuru'!S18-'Z6 Nkangamo-Uhuru'!P18*C1636/'Z6 Nkangamo-Uhuru'!G18</f>
        <v>1724.27253520437</v>
      </c>
      <c r="G1636" s="51" t="n">
        <f aca="false">'Z6 Nkangamo-Uhuru'!$B$8-E1636</f>
        <v>34.75</v>
      </c>
      <c r="H1636" s="52" t="n">
        <f aca="false">F1636-E1636</f>
        <v>52.5225352043663</v>
      </c>
      <c r="I1636" s="52" t="n">
        <f aca="false">MAX(H1636,G1636)</f>
        <v>52.5225352043663</v>
      </c>
      <c r="J1636" s="4" t="str">
        <f aca="false">IFERROR("PN"&amp;SMALL(PN_list,COUNTIF(PN_list,"&lt;"&amp;I1636*bar_per_m)+1),"&gt; max PN")</f>
        <v>PN10</v>
      </c>
      <c r="K1636" s="4" t="str">
        <f aca="false">IF(L1636="no","end at tank",IF(H1636&lt;0,"NEGATIVE",IF(H1636&lt;p_min-0.005,"low","OK")))</f>
        <v>OK</v>
      </c>
      <c r="L1636" s="4" t="s">
        <v>414</v>
      </c>
    </row>
    <row r="1637" customFormat="false" ht="15" hidden="false" customHeight="false" outlineLevel="0" collapsed="false">
      <c r="A1637" s="4" t="s">
        <v>44</v>
      </c>
      <c r="B1637" s="4" t="s">
        <v>373</v>
      </c>
      <c r="C1637" s="47" t="n">
        <v>8979.49</v>
      </c>
      <c r="D1637" s="48" t="n">
        <v>1673.77</v>
      </c>
      <c r="E1637" s="49" t="n">
        <f aca="false">D1637-cover</f>
        <v>1672.57</v>
      </c>
      <c r="F1637" s="50" t="n">
        <f aca="false">'Z6 Nkangamo-Uhuru'!S18-'Z6 Nkangamo-Uhuru'!P18*C1637/'Z6 Nkangamo-Uhuru'!G18</f>
        <v>1724.24135074812</v>
      </c>
      <c r="G1637" s="51" t="n">
        <f aca="false">'Z6 Nkangamo-Uhuru'!$B$8-E1637</f>
        <v>33.9300000000001</v>
      </c>
      <c r="H1637" s="52" t="n">
        <f aca="false">F1637-E1637</f>
        <v>51.6713507481165</v>
      </c>
      <c r="I1637" s="52" t="n">
        <f aca="false">MAX(H1637,G1637)</f>
        <v>51.6713507481165</v>
      </c>
      <c r="J1637" s="4" t="str">
        <f aca="false">IFERROR("PN"&amp;SMALL(PN_list,COUNTIF(PN_list,"&lt;"&amp;I1637*bar_per_m)+1),"&gt; max PN")</f>
        <v>PN10</v>
      </c>
      <c r="K1637" s="4" t="str">
        <f aca="false">IF(L1637="no","end at tank",IF(H1637&lt;0,"NEGATIVE",IF(H1637&lt;p_min-0.005,"low","OK")))</f>
        <v>OK</v>
      </c>
      <c r="L1637" s="4" t="s">
        <v>414</v>
      </c>
    </row>
    <row r="1638" customFormat="false" ht="15" hidden="false" customHeight="false" outlineLevel="0" collapsed="false">
      <c r="A1638" s="4" t="s">
        <v>44</v>
      </c>
      <c r="B1638" s="4" t="s">
        <v>373</v>
      </c>
      <c r="C1638" s="47" t="n">
        <v>8999.51</v>
      </c>
      <c r="D1638" s="48" t="n">
        <v>1674.73</v>
      </c>
      <c r="E1638" s="49" t="n">
        <f aca="false">D1638-cover</f>
        <v>1673.53</v>
      </c>
      <c r="F1638" s="50" t="n">
        <f aca="false">'Z6 Nkangamo-Uhuru'!S18-'Z6 Nkangamo-Uhuru'!P18*C1638/'Z6 Nkangamo-Uhuru'!G18</f>
        <v>1724.21016629187</v>
      </c>
      <c r="G1638" s="51" t="n">
        <f aca="false">'Z6 Nkangamo-Uhuru'!$B$8-E1638</f>
        <v>32.97</v>
      </c>
      <c r="H1638" s="52" t="n">
        <f aca="false">F1638-E1638</f>
        <v>50.6801662918667</v>
      </c>
      <c r="I1638" s="52" t="n">
        <f aca="false">MAX(H1638,G1638)</f>
        <v>50.6801662918667</v>
      </c>
      <c r="J1638" s="4" t="str">
        <f aca="false">IFERROR("PN"&amp;SMALL(PN_list,COUNTIF(PN_list,"&lt;"&amp;I1638*bar_per_m)+1),"&gt; max PN")</f>
        <v>PN10</v>
      </c>
      <c r="K1638" s="4" t="str">
        <f aca="false">IF(L1638="no","end at tank",IF(H1638&lt;0,"NEGATIVE",IF(H1638&lt;p_min-0.005,"low","OK")))</f>
        <v>OK</v>
      </c>
      <c r="L1638" s="4" t="s">
        <v>414</v>
      </c>
    </row>
    <row r="1639" customFormat="false" ht="15" hidden="false" customHeight="false" outlineLevel="0" collapsed="false">
      <c r="A1639" s="4" t="s">
        <v>44</v>
      </c>
      <c r="B1639" s="4" t="s">
        <v>373</v>
      </c>
      <c r="C1639" s="47" t="n">
        <v>9019.51</v>
      </c>
      <c r="D1639" s="48" t="n">
        <v>1675.09</v>
      </c>
      <c r="E1639" s="49" t="n">
        <f aca="false">D1639-cover</f>
        <v>1673.89</v>
      </c>
      <c r="F1639" s="50" t="n">
        <f aca="false">'Z6 Nkangamo-Uhuru'!S18-'Z6 Nkangamo-Uhuru'!P18*C1639/'Z6 Nkangamo-Uhuru'!G18</f>
        <v>1724.17901298892</v>
      </c>
      <c r="G1639" s="51" t="n">
        <f aca="false">'Z6 Nkangamo-Uhuru'!$B$8-E1639</f>
        <v>32.6100000000001</v>
      </c>
      <c r="H1639" s="52" t="n">
        <f aca="false">F1639-E1639</f>
        <v>50.2890129889199</v>
      </c>
      <c r="I1639" s="52" t="n">
        <f aca="false">MAX(H1639,G1639)</f>
        <v>50.2890129889199</v>
      </c>
      <c r="J1639" s="4" t="str">
        <f aca="false">IFERROR("PN"&amp;SMALL(PN_list,COUNTIF(PN_list,"&lt;"&amp;I1639*bar_per_m)+1),"&gt; max PN")</f>
        <v>PN10</v>
      </c>
      <c r="K1639" s="4" t="str">
        <f aca="false">IF(L1639="no","end at tank",IF(H1639&lt;0,"NEGATIVE",IF(H1639&lt;p_min-0.005,"low","OK")))</f>
        <v>OK</v>
      </c>
      <c r="L1639" s="4" t="s">
        <v>414</v>
      </c>
    </row>
    <row r="1640" customFormat="false" ht="15" hidden="false" customHeight="false" outlineLevel="0" collapsed="false">
      <c r="A1640" s="4" t="s">
        <v>44</v>
      </c>
      <c r="B1640" s="4" t="s">
        <v>373</v>
      </c>
      <c r="C1640" s="47" t="n">
        <v>9039.52</v>
      </c>
      <c r="D1640" s="48" t="n">
        <v>1675.58</v>
      </c>
      <c r="E1640" s="49" t="n">
        <f aca="false">D1640-cover</f>
        <v>1674.38</v>
      </c>
      <c r="F1640" s="50" t="n">
        <f aca="false">'Z6 Nkangamo-Uhuru'!S18-'Z6 Nkangamo-Uhuru'!P18*C1640/'Z6 Nkangamo-Uhuru'!G18</f>
        <v>1724.14784410932</v>
      </c>
      <c r="G1640" s="51" t="n">
        <f aca="false">'Z6 Nkangamo-Uhuru'!$B$8-E1640</f>
        <v>32.1200000000001</v>
      </c>
      <c r="H1640" s="52" t="n">
        <f aca="false">F1640-E1640</f>
        <v>49.7678441093217</v>
      </c>
      <c r="I1640" s="52" t="n">
        <f aca="false">MAX(H1640,G1640)</f>
        <v>49.7678441093217</v>
      </c>
      <c r="J1640" s="4" t="str">
        <f aca="false">IFERROR("PN"&amp;SMALL(PN_list,COUNTIF(PN_list,"&lt;"&amp;I1640*bar_per_m)+1),"&gt; max PN")</f>
        <v>PN10</v>
      </c>
      <c r="K1640" s="4" t="str">
        <f aca="false">IF(L1640="no","end at tank",IF(H1640&lt;0,"NEGATIVE",IF(H1640&lt;p_min-0.005,"low","OK")))</f>
        <v>OK</v>
      </c>
      <c r="L1640" s="4" t="s">
        <v>414</v>
      </c>
    </row>
    <row r="1641" customFormat="false" ht="15" hidden="false" customHeight="false" outlineLevel="0" collapsed="false">
      <c r="A1641" s="4" t="s">
        <v>44</v>
      </c>
      <c r="B1641" s="4" t="s">
        <v>373</v>
      </c>
      <c r="C1641" s="47" t="n">
        <v>9059.54</v>
      </c>
      <c r="D1641" s="48" t="n">
        <v>1676.51</v>
      </c>
      <c r="E1641" s="49" t="n">
        <f aca="false">D1641-cover</f>
        <v>1675.31</v>
      </c>
      <c r="F1641" s="50" t="n">
        <f aca="false">'Z6 Nkangamo-Uhuru'!S18-'Z6 Nkangamo-Uhuru'!P18*C1641/'Z6 Nkangamo-Uhuru'!G18</f>
        <v>1724.11665965307</v>
      </c>
      <c r="G1641" s="51" t="n">
        <f aca="false">'Z6 Nkangamo-Uhuru'!$B$8-E1641</f>
        <v>31.1900000000001</v>
      </c>
      <c r="H1641" s="52" t="n">
        <f aca="false">F1641-E1641</f>
        <v>48.8066596530719</v>
      </c>
      <c r="I1641" s="52" t="n">
        <f aca="false">MAX(H1641,G1641)</f>
        <v>48.8066596530719</v>
      </c>
      <c r="J1641" s="4" t="str">
        <f aca="false">IFERROR("PN"&amp;SMALL(PN_list,COUNTIF(PN_list,"&lt;"&amp;I1641*bar_per_m)+1),"&gt; max PN")</f>
        <v>PN10</v>
      </c>
      <c r="K1641" s="4" t="str">
        <f aca="false">IF(L1641="no","end at tank",IF(H1641&lt;0,"NEGATIVE",IF(H1641&lt;p_min-0.005,"low","OK")))</f>
        <v>OK</v>
      </c>
      <c r="L1641" s="4" t="s">
        <v>414</v>
      </c>
    </row>
    <row r="1642" customFormat="false" ht="15" hidden="false" customHeight="false" outlineLevel="0" collapsed="false">
      <c r="A1642" s="4" t="s">
        <v>44</v>
      </c>
      <c r="B1642" s="4" t="s">
        <v>373</v>
      </c>
      <c r="C1642" s="47" t="n">
        <v>9079.56</v>
      </c>
      <c r="D1642" s="48" t="n">
        <v>1677.45</v>
      </c>
      <c r="E1642" s="49" t="n">
        <f aca="false">D1642-cover</f>
        <v>1676.25</v>
      </c>
      <c r="F1642" s="50" t="n">
        <f aca="false">'Z6 Nkangamo-Uhuru'!S18-'Z6 Nkangamo-Uhuru'!P18*C1642/'Z6 Nkangamo-Uhuru'!G18</f>
        <v>1724.08547519682</v>
      </c>
      <c r="G1642" s="51" t="n">
        <f aca="false">'Z6 Nkangamo-Uhuru'!$B$8-E1642</f>
        <v>30.25</v>
      </c>
      <c r="H1642" s="52" t="n">
        <f aca="false">F1642-E1642</f>
        <v>47.835475196822</v>
      </c>
      <c r="I1642" s="52" t="n">
        <f aca="false">MAX(H1642,G1642)</f>
        <v>47.835475196822</v>
      </c>
      <c r="J1642" s="4" t="str">
        <f aca="false">IFERROR("PN"&amp;SMALL(PN_list,COUNTIF(PN_list,"&lt;"&amp;I1642*bar_per_m)+1),"&gt; max PN")</f>
        <v>PN10</v>
      </c>
      <c r="K1642" s="4" t="str">
        <f aca="false">IF(L1642="no","end at tank",IF(H1642&lt;0,"NEGATIVE",IF(H1642&lt;p_min-0.005,"low","OK")))</f>
        <v>OK</v>
      </c>
      <c r="L1642" s="4" t="s">
        <v>414</v>
      </c>
    </row>
    <row r="1643" customFormat="false" ht="15" hidden="false" customHeight="false" outlineLevel="0" collapsed="false">
      <c r="A1643" s="4" t="s">
        <v>44</v>
      </c>
      <c r="B1643" s="4" t="s">
        <v>373</v>
      </c>
      <c r="C1643" s="47" t="n">
        <v>9099.57</v>
      </c>
      <c r="D1643" s="48" t="n">
        <v>1677.81</v>
      </c>
      <c r="E1643" s="49" t="n">
        <f aca="false">D1643-cover</f>
        <v>1676.61</v>
      </c>
      <c r="F1643" s="50" t="n">
        <f aca="false">'Z6 Nkangamo-Uhuru'!S18-'Z6 Nkangamo-Uhuru'!P18*C1643/'Z6 Nkangamo-Uhuru'!G18</f>
        <v>1724.05430631722</v>
      </c>
      <c r="G1643" s="51" t="n">
        <f aca="false">'Z6 Nkangamo-Uhuru'!$B$8-E1643</f>
        <v>29.8900000000001</v>
      </c>
      <c r="H1643" s="52" t="n">
        <f aca="false">F1643-E1643</f>
        <v>47.4443063172237</v>
      </c>
      <c r="I1643" s="52" t="n">
        <f aca="false">MAX(H1643,G1643)</f>
        <v>47.4443063172237</v>
      </c>
      <c r="J1643" s="4" t="str">
        <f aca="false">IFERROR("PN"&amp;SMALL(PN_list,COUNTIF(PN_list,"&lt;"&amp;I1643*bar_per_m)+1),"&gt; max PN")</f>
        <v>PN10</v>
      </c>
      <c r="K1643" s="4" t="str">
        <f aca="false">IF(L1643="no","end at tank",IF(H1643&lt;0,"NEGATIVE",IF(H1643&lt;p_min-0.005,"low","OK")))</f>
        <v>OK</v>
      </c>
      <c r="L1643" s="4" t="s">
        <v>414</v>
      </c>
    </row>
    <row r="1644" customFormat="false" ht="15" hidden="false" customHeight="false" outlineLevel="0" collapsed="false">
      <c r="A1644" s="4" t="s">
        <v>44</v>
      </c>
      <c r="B1644" s="4" t="s">
        <v>373</v>
      </c>
      <c r="C1644" s="47" t="n">
        <v>9119.59</v>
      </c>
      <c r="D1644" s="48" t="n">
        <v>1678.86</v>
      </c>
      <c r="E1644" s="49" t="n">
        <f aca="false">D1644-cover</f>
        <v>1677.66</v>
      </c>
      <c r="F1644" s="50" t="n">
        <f aca="false">'Z6 Nkangamo-Uhuru'!S18-'Z6 Nkangamo-Uhuru'!P18*C1644/'Z6 Nkangamo-Uhuru'!G18</f>
        <v>1724.02312186097</v>
      </c>
      <c r="G1644" s="51" t="n">
        <f aca="false">'Z6 Nkangamo-Uhuru'!$B$8-E1644</f>
        <v>28.8400000000001</v>
      </c>
      <c r="H1644" s="52" t="n">
        <f aca="false">F1644-E1644</f>
        <v>46.3631218609739</v>
      </c>
      <c r="I1644" s="52" t="n">
        <f aca="false">MAX(H1644,G1644)</f>
        <v>46.3631218609739</v>
      </c>
      <c r="J1644" s="4" t="str">
        <f aca="false">IFERROR("PN"&amp;SMALL(PN_list,COUNTIF(PN_list,"&lt;"&amp;I1644*bar_per_m)+1),"&gt; max PN")</f>
        <v>PN10</v>
      </c>
      <c r="K1644" s="4" t="str">
        <f aca="false">IF(L1644="no","end at tank",IF(H1644&lt;0,"NEGATIVE",IF(H1644&lt;p_min-0.005,"low","OK")))</f>
        <v>OK</v>
      </c>
      <c r="L1644" s="4" t="s">
        <v>414</v>
      </c>
    </row>
    <row r="1645" customFormat="false" ht="15" hidden="false" customHeight="false" outlineLevel="0" collapsed="false">
      <c r="A1645" s="4" t="s">
        <v>44</v>
      </c>
      <c r="B1645" s="4" t="s">
        <v>373</v>
      </c>
      <c r="C1645" s="47" t="n">
        <v>9139.59</v>
      </c>
      <c r="D1645" s="48" t="n">
        <v>1679.14</v>
      </c>
      <c r="E1645" s="49" t="n">
        <f aca="false">D1645-cover</f>
        <v>1677.94</v>
      </c>
      <c r="F1645" s="50" t="n">
        <f aca="false">'Z6 Nkangamo-Uhuru'!S18-'Z6 Nkangamo-Uhuru'!P18*C1645/'Z6 Nkangamo-Uhuru'!G18</f>
        <v>1723.99196855803</v>
      </c>
      <c r="G1645" s="51" t="n">
        <f aca="false">'Z6 Nkangamo-Uhuru'!$B$8-E1645</f>
        <v>28.5599999999999</v>
      </c>
      <c r="H1645" s="52" t="n">
        <f aca="false">F1645-E1645</f>
        <v>46.0519685580271</v>
      </c>
      <c r="I1645" s="52" t="n">
        <f aca="false">MAX(H1645,G1645)</f>
        <v>46.0519685580271</v>
      </c>
      <c r="J1645" s="4" t="str">
        <f aca="false">IFERROR("PN"&amp;SMALL(PN_list,COUNTIF(PN_list,"&lt;"&amp;I1645*bar_per_m)+1),"&gt; max PN")</f>
        <v>PN10</v>
      </c>
      <c r="K1645" s="4" t="str">
        <f aca="false">IF(L1645="no","end at tank",IF(H1645&lt;0,"NEGATIVE",IF(H1645&lt;p_min-0.005,"low","OK")))</f>
        <v>OK</v>
      </c>
      <c r="L1645" s="4" t="s">
        <v>414</v>
      </c>
    </row>
    <row r="1646" customFormat="false" ht="15" hidden="false" customHeight="false" outlineLevel="0" collapsed="false">
      <c r="A1646" s="4" t="s">
        <v>44</v>
      </c>
      <c r="B1646" s="4" t="s">
        <v>373</v>
      </c>
      <c r="C1646" s="47" t="n">
        <v>9159.61</v>
      </c>
      <c r="D1646" s="48" t="n">
        <v>1679.84</v>
      </c>
      <c r="E1646" s="49" t="n">
        <f aca="false">D1646-cover</f>
        <v>1678.64</v>
      </c>
      <c r="F1646" s="50" t="n">
        <f aca="false">'Z6 Nkangamo-Uhuru'!S18-'Z6 Nkangamo-Uhuru'!P18*C1646/'Z6 Nkangamo-Uhuru'!G18</f>
        <v>1723.96078410178</v>
      </c>
      <c r="G1646" s="51" t="n">
        <f aca="false">'Z6 Nkangamo-Uhuru'!$B$8-E1646</f>
        <v>27.8600000000001</v>
      </c>
      <c r="H1646" s="52" t="n">
        <f aca="false">F1646-E1646</f>
        <v>45.3207841017775</v>
      </c>
      <c r="I1646" s="52" t="n">
        <f aca="false">MAX(H1646,G1646)</f>
        <v>45.3207841017775</v>
      </c>
      <c r="J1646" s="4" t="str">
        <f aca="false">IFERROR("PN"&amp;SMALL(PN_list,COUNTIF(PN_list,"&lt;"&amp;I1646*bar_per_m)+1),"&gt; max PN")</f>
        <v>PN10</v>
      </c>
      <c r="K1646" s="4" t="str">
        <f aca="false">IF(L1646="no","end at tank",IF(H1646&lt;0,"NEGATIVE",IF(H1646&lt;p_min-0.005,"low","OK")))</f>
        <v>OK</v>
      </c>
      <c r="L1646" s="4" t="s">
        <v>414</v>
      </c>
    </row>
    <row r="1647" customFormat="false" ht="15" hidden="false" customHeight="false" outlineLevel="0" collapsed="false">
      <c r="A1647" s="4" t="s">
        <v>44</v>
      </c>
      <c r="B1647" s="4" t="s">
        <v>373</v>
      </c>
      <c r="C1647" s="47" t="n">
        <v>9179.62</v>
      </c>
      <c r="D1647" s="48" t="n">
        <v>1680.48</v>
      </c>
      <c r="E1647" s="49" t="n">
        <f aca="false">D1647-cover</f>
        <v>1679.28</v>
      </c>
      <c r="F1647" s="50" t="n">
        <f aca="false">'Z6 Nkangamo-Uhuru'!S18-'Z6 Nkangamo-Uhuru'!P18*C1647/'Z6 Nkangamo-Uhuru'!G18</f>
        <v>1723.92961522218</v>
      </c>
      <c r="G1647" s="51" t="n">
        <f aca="false">'Z6 Nkangamo-Uhuru'!$B$8-E1647</f>
        <v>27.22</v>
      </c>
      <c r="H1647" s="52" t="n">
        <f aca="false">F1647-E1647</f>
        <v>44.6496152221791</v>
      </c>
      <c r="I1647" s="52" t="n">
        <f aca="false">MAX(H1647,G1647)</f>
        <v>44.6496152221791</v>
      </c>
      <c r="J1647" s="4" t="str">
        <f aca="false">IFERROR("PN"&amp;SMALL(PN_list,COUNTIF(PN_list,"&lt;"&amp;I1647*bar_per_m)+1),"&gt; max PN")</f>
        <v>PN10</v>
      </c>
      <c r="K1647" s="4" t="str">
        <f aca="false">IF(L1647="no","end at tank",IF(H1647&lt;0,"NEGATIVE",IF(H1647&lt;p_min-0.005,"low","OK")))</f>
        <v>OK</v>
      </c>
      <c r="L1647" s="4" t="s">
        <v>414</v>
      </c>
    </row>
    <row r="1648" customFormat="false" ht="15" hidden="false" customHeight="false" outlineLevel="0" collapsed="false">
      <c r="A1648" s="4" t="s">
        <v>44</v>
      </c>
      <c r="B1648" s="4" t="s">
        <v>373</v>
      </c>
      <c r="C1648" s="47" t="n">
        <v>9199.62</v>
      </c>
      <c r="D1648" s="48" t="n">
        <v>1680.98</v>
      </c>
      <c r="E1648" s="49" t="n">
        <f aca="false">D1648-cover</f>
        <v>1679.78</v>
      </c>
      <c r="F1648" s="50" t="n">
        <f aca="false">'Z6 Nkangamo-Uhuru'!S18-'Z6 Nkangamo-Uhuru'!P18*C1648/'Z6 Nkangamo-Uhuru'!G18</f>
        <v>1723.89846191923</v>
      </c>
      <c r="G1648" s="51" t="n">
        <f aca="false">'Z6 Nkangamo-Uhuru'!$B$8-E1648</f>
        <v>26.72</v>
      </c>
      <c r="H1648" s="52" t="n">
        <f aca="false">F1648-E1648</f>
        <v>44.1184619192322</v>
      </c>
      <c r="I1648" s="52" t="n">
        <f aca="false">MAX(H1648,G1648)</f>
        <v>44.1184619192322</v>
      </c>
      <c r="J1648" s="4" t="str">
        <f aca="false">IFERROR("PN"&amp;SMALL(PN_list,COUNTIF(PN_list,"&lt;"&amp;I1648*bar_per_m)+1),"&gt; max PN")</f>
        <v>PN10</v>
      </c>
      <c r="K1648" s="4" t="str">
        <f aca="false">IF(L1648="no","end at tank",IF(H1648&lt;0,"NEGATIVE",IF(H1648&lt;p_min-0.005,"low","OK")))</f>
        <v>OK</v>
      </c>
      <c r="L1648" s="4" t="s">
        <v>414</v>
      </c>
    </row>
    <row r="1649" customFormat="false" ht="15" hidden="false" customHeight="false" outlineLevel="0" collapsed="false">
      <c r="A1649" s="4" t="s">
        <v>44</v>
      </c>
      <c r="B1649" s="4" t="s">
        <v>373</v>
      </c>
      <c r="C1649" s="47" t="n">
        <v>9219.63</v>
      </c>
      <c r="D1649" s="48" t="n">
        <v>1681.38</v>
      </c>
      <c r="E1649" s="49" t="n">
        <f aca="false">D1649-cover</f>
        <v>1680.18</v>
      </c>
      <c r="F1649" s="50" t="n">
        <f aca="false">'Z6 Nkangamo-Uhuru'!S18-'Z6 Nkangamo-Uhuru'!P18*C1649/'Z6 Nkangamo-Uhuru'!G18</f>
        <v>1723.86729303963</v>
      </c>
      <c r="G1649" s="51" t="n">
        <f aca="false">'Z6 Nkangamo-Uhuru'!$B$8-E1649</f>
        <v>26.3199999999999</v>
      </c>
      <c r="H1649" s="52" t="n">
        <f aca="false">F1649-E1649</f>
        <v>43.6872930396339</v>
      </c>
      <c r="I1649" s="52" t="n">
        <f aca="false">MAX(H1649,G1649)</f>
        <v>43.6872930396339</v>
      </c>
      <c r="J1649" s="4" t="str">
        <f aca="false">IFERROR("PN"&amp;SMALL(PN_list,COUNTIF(PN_list,"&lt;"&amp;I1649*bar_per_m)+1),"&gt; max PN")</f>
        <v>PN10</v>
      </c>
      <c r="K1649" s="4" t="str">
        <f aca="false">IF(L1649="no","end at tank",IF(H1649&lt;0,"NEGATIVE",IF(H1649&lt;p_min-0.005,"low","OK")))</f>
        <v>OK</v>
      </c>
      <c r="L1649" s="4" t="s">
        <v>414</v>
      </c>
    </row>
    <row r="1650" customFormat="false" ht="15" hidden="false" customHeight="false" outlineLevel="0" collapsed="false">
      <c r="A1650" s="4" t="s">
        <v>44</v>
      </c>
      <c r="B1650" s="4" t="s">
        <v>373</v>
      </c>
      <c r="C1650" s="47" t="n">
        <v>9239.64</v>
      </c>
      <c r="D1650" s="48" t="n">
        <v>1682.19</v>
      </c>
      <c r="E1650" s="49" t="n">
        <f aca="false">D1650-cover</f>
        <v>1680.99</v>
      </c>
      <c r="F1650" s="50" t="n">
        <f aca="false">'Z6 Nkangamo-Uhuru'!S18-'Z6 Nkangamo-Uhuru'!P18*C1650/'Z6 Nkangamo-Uhuru'!G18</f>
        <v>1723.83612416004</v>
      </c>
      <c r="G1650" s="51" t="n">
        <f aca="false">'Z6 Nkangamo-Uhuru'!$B$8-E1650</f>
        <v>25.51</v>
      </c>
      <c r="H1650" s="52" t="n">
        <f aca="false">F1650-E1650</f>
        <v>42.8461241600355</v>
      </c>
      <c r="I1650" s="52" t="n">
        <f aca="false">MAX(H1650,G1650)</f>
        <v>42.8461241600355</v>
      </c>
      <c r="J1650" s="4" t="str">
        <f aca="false">IFERROR("PN"&amp;SMALL(PN_list,COUNTIF(PN_list,"&lt;"&amp;I1650*bar_per_m)+1),"&gt; max PN")</f>
        <v>PN10</v>
      </c>
      <c r="K1650" s="4" t="str">
        <f aca="false">IF(L1650="no","end at tank",IF(H1650&lt;0,"NEGATIVE",IF(H1650&lt;p_min-0.005,"low","OK")))</f>
        <v>OK</v>
      </c>
      <c r="L1650" s="4" t="s">
        <v>414</v>
      </c>
    </row>
    <row r="1651" customFormat="false" ht="15" hidden="false" customHeight="false" outlineLevel="0" collapsed="false">
      <c r="A1651" s="4" t="s">
        <v>44</v>
      </c>
      <c r="B1651" s="4" t="s">
        <v>373</v>
      </c>
      <c r="C1651" s="47" t="n">
        <v>9259.67</v>
      </c>
      <c r="D1651" s="48" t="n">
        <v>1683.3</v>
      </c>
      <c r="E1651" s="49" t="n">
        <f aca="false">D1651-cover</f>
        <v>1682.1</v>
      </c>
      <c r="F1651" s="50" t="n">
        <f aca="false">'Z6 Nkangamo-Uhuru'!S18-'Z6 Nkangamo-Uhuru'!P18*C1651/'Z6 Nkangamo-Uhuru'!G18</f>
        <v>1723.80492412713</v>
      </c>
      <c r="G1651" s="51" t="n">
        <f aca="false">'Z6 Nkangamo-Uhuru'!$B$8-E1651</f>
        <v>24.4000000000001</v>
      </c>
      <c r="H1651" s="52" t="n">
        <f aca="false">F1651-E1651</f>
        <v>41.7049241271345</v>
      </c>
      <c r="I1651" s="52" t="n">
        <f aca="false">MAX(H1651,G1651)</f>
        <v>41.7049241271345</v>
      </c>
      <c r="J1651" s="4" t="str">
        <f aca="false">IFERROR("PN"&amp;SMALL(PN_list,COUNTIF(PN_list,"&lt;"&amp;I1651*bar_per_m)+1),"&gt; max PN")</f>
        <v>PN10</v>
      </c>
      <c r="K1651" s="4" t="str">
        <f aca="false">IF(L1651="no","end at tank",IF(H1651&lt;0,"NEGATIVE",IF(H1651&lt;p_min-0.005,"low","OK")))</f>
        <v>OK</v>
      </c>
      <c r="L1651" s="4" t="s">
        <v>414</v>
      </c>
    </row>
    <row r="1652" customFormat="false" ht="15" hidden="false" customHeight="false" outlineLevel="0" collapsed="false">
      <c r="A1652" s="4" t="s">
        <v>44</v>
      </c>
      <c r="B1652" s="4" t="s">
        <v>373</v>
      </c>
      <c r="C1652" s="47" t="n">
        <v>9275.48</v>
      </c>
      <c r="D1652" s="48" t="n">
        <v>1684.06</v>
      </c>
      <c r="E1652" s="49" t="n">
        <f aca="false">D1652-cover</f>
        <v>1682.86</v>
      </c>
      <c r="F1652" s="50" t="n">
        <f aca="false">'Z6 Nkangamo-Uhuru'!S18-'Z6 Nkangamo-Uhuru'!P18*C1652/'Z6 Nkangamo-Uhuru'!G18</f>
        <v>1723.78029744115</v>
      </c>
      <c r="G1652" s="51" t="n">
        <f aca="false">'Z6 Nkangamo-Uhuru'!$B$8-E1652</f>
        <v>23.6400000000001</v>
      </c>
      <c r="H1652" s="52" t="n">
        <f aca="false">F1652-E1652</f>
        <v>40.9202974411548</v>
      </c>
      <c r="I1652" s="52" t="n">
        <f aca="false">MAX(H1652,G1652)</f>
        <v>40.9202974411548</v>
      </c>
      <c r="J1652" s="4" t="str">
        <f aca="false">IFERROR("PN"&amp;SMALL(PN_list,COUNTIF(PN_list,"&lt;"&amp;I1652*bar_per_m)+1),"&gt; max PN")</f>
        <v>PN10</v>
      </c>
      <c r="K1652" s="4" t="str">
        <f aca="false">IF(L1652="no","end at tank",IF(H1652&lt;0,"NEGATIVE",IF(H1652&lt;p_min-0.005,"low","OK")))</f>
        <v>OK</v>
      </c>
      <c r="L1652" s="4" t="s">
        <v>414</v>
      </c>
    </row>
    <row r="1653" customFormat="false" ht="15" hidden="false" customHeight="false" outlineLevel="0" collapsed="false">
      <c r="A1653" s="4" t="s">
        <v>44</v>
      </c>
      <c r="B1653" s="4" t="s">
        <v>373</v>
      </c>
      <c r="C1653" s="47" t="n">
        <v>9295.52</v>
      </c>
      <c r="D1653" s="48" t="n">
        <v>1682.87</v>
      </c>
      <c r="E1653" s="49" t="n">
        <f aca="false">D1653-cover</f>
        <v>1681.67</v>
      </c>
      <c r="F1653" s="50" t="n">
        <f aca="false">'Z6 Nkangamo-Uhuru'!S18-'Z6 Nkangamo-Uhuru'!P18*C1653/'Z6 Nkangamo-Uhuru'!G18</f>
        <v>1723.7490818316</v>
      </c>
      <c r="G1653" s="51" t="n">
        <f aca="false">'Z6 Nkangamo-Uhuru'!$B$8-E1653</f>
        <v>24.8300000000002</v>
      </c>
      <c r="H1653" s="52" t="n">
        <f aca="false">F1653-E1653</f>
        <v>42.0790818316023</v>
      </c>
      <c r="I1653" s="52" t="n">
        <f aca="false">MAX(H1653,G1653)</f>
        <v>42.0790818316023</v>
      </c>
      <c r="J1653" s="4" t="str">
        <f aca="false">IFERROR("PN"&amp;SMALL(PN_list,COUNTIF(PN_list,"&lt;"&amp;I1653*bar_per_m)+1),"&gt; max PN")</f>
        <v>PN10</v>
      </c>
      <c r="K1653" s="4" t="str">
        <f aca="false">IF(L1653="no","end at tank",IF(H1653&lt;0,"NEGATIVE",IF(H1653&lt;p_min-0.005,"low","OK")))</f>
        <v>OK</v>
      </c>
      <c r="L1653" s="4" t="s">
        <v>414</v>
      </c>
    </row>
    <row r="1654" customFormat="false" ht="15" hidden="false" customHeight="false" outlineLevel="0" collapsed="false">
      <c r="A1654" s="4" t="s">
        <v>44</v>
      </c>
      <c r="B1654" s="4" t="s">
        <v>373</v>
      </c>
      <c r="C1654" s="47" t="n">
        <v>9315.52</v>
      </c>
      <c r="D1654" s="48" t="n">
        <v>1682.89</v>
      </c>
      <c r="E1654" s="49" t="n">
        <f aca="false">D1654-cover</f>
        <v>1681.69</v>
      </c>
      <c r="F1654" s="50" t="n">
        <f aca="false">'Z6 Nkangamo-Uhuru'!S18-'Z6 Nkangamo-Uhuru'!P18*C1654/'Z6 Nkangamo-Uhuru'!G18</f>
        <v>1723.71792852866</v>
      </c>
      <c r="G1654" s="51" t="n">
        <f aca="false">'Z6 Nkangamo-Uhuru'!$B$8-E1654</f>
        <v>24.8099999999999</v>
      </c>
      <c r="H1654" s="52" t="n">
        <f aca="false">F1654-E1654</f>
        <v>42.0279285286554</v>
      </c>
      <c r="I1654" s="52" t="n">
        <f aca="false">MAX(H1654,G1654)</f>
        <v>42.0279285286554</v>
      </c>
      <c r="J1654" s="4" t="str">
        <f aca="false">IFERROR("PN"&amp;SMALL(PN_list,COUNTIF(PN_list,"&lt;"&amp;I1654*bar_per_m)+1),"&gt; max PN")</f>
        <v>PN10</v>
      </c>
      <c r="K1654" s="4" t="str">
        <f aca="false">IF(L1654="no","end at tank",IF(H1654&lt;0,"NEGATIVE",IF(H1654&lt;p_min-0.005,"low","OK")))</f>
        <v>OK</v>
      </c>
      <c r="L1654" s="4" t="s">
        <v>414</v>
      </c>
    </row>
    <row r="1655" customFormat="false" ht="15" hidden="false" customHeight="false" outlineLevel="0" collapsed="false">
      <c r="A1655" s="4" t="s">
        <v>44</v>
      </c>
      <c r="B1655" s="4" t="s">
        <v>373</v>
      </c>
      <c r="C1655" s="47" t="n">
        <v>9335.52</v>
      </c>
      <c r="D1655" s="48" t="n">
        <v>1682.74</v>
      </c>
      <c r="E1655" s="49" t="n">
        <f aca="false">D1655-cover</f>
        <v>1681.54</v>
      </c>
      <c r="F1655" s="50" t="n">
        <f aca="false">'Z6 Nkangamo-Uhuru'!S18-'Z6 Nkangamo-Uhuru'!P18*C1655/'Z6 Nkangamo-Uhuru'!G18</f>
        <v>1723.68677522571</v>
      </c>
      <c r="G1655" s="51" t="n">
        <f aca="false">'Z6 Nkangamo-Uhuru'!$B$8-E1655</f>
        <v>24.96</v>
      </c>
      <c r="H1655" s="52" t="n">
        <f aca="false">F1655-E1655</f>
        <v>42.1467752257086</v>
      </c>
      <c r="I1655" s="52" t="n">
        <f aca="false">MAX(H1655,G1655)</f>
        <v>42.1467752257086</v>
      </c>
      <c r="J1655" s="4" t="str">
        <f aca="false">IFERROR("PN"&amp;SMALL(PN_list,COUNTIF(PN_list,"&lt;"&amp;I1655*bar_per_m)+1),"&gt; max PN")</f>
        <v>PN10</v>
      </c>
      <c r="K1655" s="4" t="str">
        <f aca="false">IF(L1655="no","end at tank",IF(H1655&lt;0,"NEGATIVE",IF(H1655&lt;p_min-0.005,"low","OK")))</f>
        <v>OK</v>
      </c>
      <c r="L1655" s="4" t="s">
        <v>414</v>
      </c>
    </row>
    <row r="1656" customFormat="false" ht="15" hidden="false" customHeight="false" outlineLevel="0" collapsed="false">
      <c r="A1656" s="4" t="s">
        <v>44</v>
      </c>
      <c r="B1656" s="4" t="s">
        <v>373</v>
      </c>
      <c r="C1656" s="47" t="n">
        <v>9355.58</v>
      </c>
      <c r="D1656" s="48" t="n">
        <v>1684.26</v>
      </c>
      <c r="E1656" s="49" t="n">
        <f aca="false">D1656-cover</f>
        <v>1683.06</v>
      </c>
      <c r="F1656" s="50" t="n">
        <f aca="false">'Z6 Nkangamo-Uhuru'!S18-'Z6 Nkangamo-Uhuru'!P18*C1656/'Z6 Nkangamo-Uhuru'!G18</f>
        <v>1723.65552846285</v>
      </c>
      <c r="G1656" s="51" t="n">
        <f aca="false">'Z6 Nkangamo-Uhuru'!$B$8-E1656</f>
        <v>23.4400000000001</v>
      </c>
      <c r="H1656" s="52" t="n">
        <f aca="false">F1656-E1656</f>
        <v>40.5955284628528</v>
      </c>
      <c r="I1656" s="52" t="n">
        <f aca="false">MAX(H1656,G1656)</f>
        <v>40.5955284628528</v>
      </c>
      <c r="J1656" s="4" t="str">
        <f aca="false">IFERROR("PN"&amp;SMALL(PN_list,COUNTIF(PN_list,"&lt;"&amp;I1656*bar_per_m)+1),"&gt; max PN")</f>
        <v>PN10</v>
      </c>
      <c r="K1656" s="4" t="str">
        <f aca="false">IF(L1656="no","end at tank",IF(H1656&lt;0,"NEGATIVE",IF(H1656&lt;p_min-0.005,"low","OK")))</f>
        <v>OK</v>
      </c>
      <c r="L1656" s="4" t="s">
        <v>414</v>
      </c>
    </row>
    <row r="1657" customFormat="false" ht="15" hidden="false" customHeight="false" outlineLevel="0" collapsed="false">
      <c r="A1657" s="4" t="s">
        <v>44</v>
      </c>
      <c r="B1657" s="4" t="s">
        <v>373</v>
      </c>
      <c r="C1657" s="47" t="n">
        <v>9375.59</v>
      </c>
      <c r="D1657" s="48" t="n">
        <v>1683.56</v>
      </c>
      <c r="E1657" s="49" t="n">
        <f aca="false">D1657-cover</f>
        <v>1682.36</v>
      </c>
      <c r="F1657" s="50" t="n">
        <f aca="false">'Z6 Nkangamo-Uhuru'!S18-'Z6 Nkangamo-Uhuru'!P18*C1657/'Z6 Nkangamo-Uhuru'!G18</f>
        <v>1723.62435958325</v>
      </c>
      <c r="G1657" s="51" t="n">
        <f aca="false">'Z6 Nkangamo-Uhuru'!$B$8-E1657</f>
        <v>24.1400000000001</v>
      </c>
      <c r="H1657" s="52" t="n">
        <f aca="false">F1657-E1657</f>
        <v>41.2643595832546</v>
      </c>
      <c r="I1657" s="52" t="n">
        <f aca="false">MAX(H1657,G1657)</f>
        <v>41.2643595832546</v>
      </c>
      <c r="J1657" s="4" t="str">
        <f aca="false">IFERROR("PN"&amp;SMALL(PN_list,COUNTIF(PN_list,"&lt;"&amp;I1657*bar_per_m)+1),"&gt; max PN")</f>
        <v>PN10</v>
      </c>
      <c r="K1657" s="4" t="str">
        <f aca="false">IF(L1657="no","end at tank",IF(H1657&lt;0,"NEGATIVE",IF(H1657&lt;p_min-0.005,"low","OK")))</f>
        <v>OK</v>
      </c>
      <c r="L1657" s="4" t="s">
        <v>414</v>
      </c>
    </row>
    <row r="1658" customFormat="false" ht="15" hidden="false" customHeight="false" outlineLevel="0" collapsed="false">
      <c r="A1658" s="4" t="s">
        <v>44</v>
      </c>
      <c r="B1658" s="4" t="s">
        <v>373</v>
      </c>
      <c r="C1658" s="47" t="n">
        <v>9395.6</v>
      </c>
      <c r="D1658" s="48" t="n">
        <v>1684.36</v>
      </c>
      <c r="E1658" s="49" t="n">
        <f aca="false">D1658-cover</f>
        <v>1683.16</v>
      </c>
      <c r="F1658" s="50" t="n">
        <f aca="false">'Z6 Nkangamo-Uhuru'!S18-'Z6 Nkangamo-Uhuru'!P18*C1658/'Z6 Nkangamo-Uhuru'!G18</f>
        <v>1723.59319070366</v>
      </c>
      <c r="G1658" s="51" t="n">
        <f aca="false">'Z6 Nkangamo-Uhuru'!$B$8-E1658</f>
        <v>23.3400000000001</v>
      </c>
      <c r="H1658" s="52" t="n">
        <f aca="false">F1658-E1658</f>
        <v>40.4331907036565</v>
      </c>
      <c r="I1658" s="52" t="n">
        <f aca="false">MAX(H1658,G1658)</f>
        <v>40.4331907036565</v>
      </c>
      <c r="J1658" s="4" t="str">
        <f aca="false">IFERROR("PN"&amp;SMALL(PN_list,COUNTIF(PN_list,"&lt;"&amp;I1658*bar_per_m)+1),"&gt; max PN")</f>
        <v>PN10</v>
      </c>
      <c r="K1658" s="4" t="str">
        <f aca="false">IF(L1658="no","end at tank",IF(H1658&lt;0,"NEGATIVE",IF(H1658&lt;p_min-0.005,"low","OK")))</f>
        <v>OK</v>
      </c>
      <c r="L1658" s="4" t="s">
        <v>414</v>
      </c>
    </row>
    <row r="1659" customFormat="false" ht="15" hidden="false" customHeight="false" outlineLevel="0" collapsed="false">
      <c r="A1659" s="4" t="s">
        <v>44</v>
      </c>
      <c r="B1659" s="4" t="s">
        <v>373</v>
      </c>
      <c r="C1659" s="47" t="n">
        <v>9415.64</v>
      </c>
      <c r="D1659" s="48" t="n">
        <v>1683.19</v>
      </c>
      <c r="E1659" s="49" t="n">
        <f aca="false">D1659-cover</f>
        <v>1681.99</v>
      </c>
      <c r="F1659" s="50" t="n">
        <f aca="false">'Z6 Nkangamo-Uhuru'!S18-'Z6 Nkangamo-Uhuru'!P18*C1659/'Z6 Nkangamo-Uhuru'!G18</f>
        <v>1723.5619750941</v>
      </c>
      <c r="G1659" s="51" t="n">
        <f aca="false">'Z6 Nkangamo-Uhuru'!$B$8-E1659</f>
        <v>24.51</v>
      </c>
      <c r="H1659" s="52" t="n">
        <f aca="false">F1659-E1659</f>
        <v>41.5719750941034</v>
      </c>
      <c r="I1659" s="52" t="n">
        <f aca="false">MAX(H1659,G1659)</f>
        <v>41.5719750941034</v>
      </c>
      <c r="J1659" s="4" t="str">
        <f aca="false">IFERROR("PN"&amp;SMALL(PN_list,COUNTIF(PN_list,"&lt;"&amp;I1659*bar_per_m)+1),"&gt; max PN")</f>
        <v>PN10</v>
      </c>
      <c r="K1659" s="4" t="str">
        <f aca="false">IF(L1659="no","end at tank",IF(H1659&lt;0,"NEGATIVE",IF(H1659&lt;p_min-0.005,"low","OK")))</f>
        <v>OK</v>
      </c>
      <c r="L1659" s="4" t="s">
        <v>414</v>
      </c>
    </row>
    <row r="1660" customFormat="false" ht="15" hidden="false" customHeight="false" outlineLevel="0" collapsed="false">
      <c r="A1660" s="4" t="s">
        <v>44</v>
      </c>
      <c r="B1660" s="4" t="s">
        <v>373</v>
      </c>
      <c r="C1660" s="47" t="n">
        <v>9435.64</v>
      </c>
      <c r="D1660" s="48" t="n">
        <v>1683.32</v>
      </c>
      <c r="E1660" s="49" t="n">
        <f aca="false">D1660-cover</f>
        <v>1682.12</v>
      </c>
      <c r="F1660" s="50" t="n">
        <f aca="false">'Z6 Nkangamo-Uhuru'!S18-'Z6 Nkangamo-Uhuru'!P18*C1660/'Z6 Nkangamo-Uhuru'!G18</f>
        <v>1723.53082179116</v>
      </c>
      <c r="G1660" s="51" t="n">
        <f aca="false">'Z6 Nkangamo-Uhuru'!$B$8-E1660</f>
        <v>24.3800000000001</v>
      </c>
      <c r="H1660" s="52" t="n">
        <f aca="false">F1660-E1660</f>
        <v>41.4108217911569</v>
      </c>
      <c r="I1660" s="52" t="n">
        <f aca="false">MAX(H1660,G1660)</f>
        <v>41.4108217911569</v>
      </c>
      <c r="J1660" s="4" t="str">
        <f aca="false">IFERROR("PN"&amp;SMALL(PN_list,COUNTIF(PN_list,"&lt;"&amp;I1660*bar_per_m)+1),"&gt; max PN")</f>
        <v>PN10</v>
      </c>
      <c r="K1660" s="4" t="str">
        <f aca="false">IF(L1660="no","end at tank",IF(H1660&lt;0,"NEGATIVE",IF(H1660&lt;p_min-0.005,"low","OK")))</f>
        <v>OK</v>
      </c>
      <c r="L1660" s="4" t="s">
        <v>414</v>
      </c>
    </row>
    <row r="1661" customFormat="false" ht="15" hidden="false" customHeight="false" outlineLevel="0" collapsed="false">
      <c r="A1661" s="4" t="s">
        <v>44</v>
      </c>
      <c r="B1661" s="4" t="s">
        <v>373</v>
      </c>
      <c r="C1661" s="47" t="n">
        <v>9455.64</v>
      </c>
      <c r="D1661" s="48" t="n">
        <v>1683.49</v>
      </c>
      <c r="E1661" s="49" t="n">
        <f aca="false">D1661-cover</f>
        <v>1682.29</v>
      </c>
      <c r="F1661" s="50" t="n">
        <f aca="false">'Z6 Nkangamo-Uhuru'!S18-'Z6 Nkangamo-Uhuru'!P18*C1661/'Z6 Nkangamo-Uhuru'!G18</f>
        <v>1723.49966848821</v>
      </c>
      <c r="G1661" s="51" t="n">
        <f aca="false">'Z6 Nkangamo-Uhuru'!$B$8-E1661</f>
        <v>24.21</v>
      </c>
      <c r="H1661" s="52" t="n">
        <f aca="false">F1661-E1661</f>
        <v>41.2096684882099</v>
      </c>
      <c r="I1661" s="52" t="n">
        <f aca="false">MAX(H1661,G1661)</f>
        <v>41.2096684882099</v>
      </c>
      <c r="J1661" s="4" t="str">
        <f aca="false">IFERROR("PN"&amp;SMALL(PN_list,COUNTIF(PN_list,"&lt;"&amp;I1661*bar_per_m)+1),"&gt; max PN")</f>
        <v>PN10</v>
      </c>
      <c r="K1661" s="4" t="str">
        <f aca="false">IF(L1661="no","end at tank",IF(H1661&lt;0,"NEGATIVE",IF(H1661&lt;p_min-0.005,"low","OK")))</f>
        <v>OK</v>
      </c>
      <c r="L1661" s="4" t="s">
        <v>414</v>
      </c>
    </row>
    <row r="1662" customFormat="false" ht="15" hidden="false" customHeight="false" outlineLevel="0" collapsed="false">
      <c r="A1662" s="4" t="s">
        <v>44</v>
      </c>
      <c r="B1662" s="4" t="s">
        <v>373</v>
      </c>
      <c r="C1662" s="47" t="n">
        <v>9475.86</v>
      </c>
      <c r="D1662" s="48" t="n">
        <v>1683.39</v>
      </c>
      <c r="E1662" s="49" t="n">
        <f aca="false">D1662-cover</f>
        <v>1682.19</v>
      </c>
      <c r="F1662" s="50" t="n">
        <f aca="false">'Z6 Nkangamo-Uhuru'!S18-'Z6 Nkangamo-Uhuru'!P18*C1662/'Z6 Nkangamo-Uhuru'!G18</f>
        <v>1723.46817249893</v>
      </c>
      <c r="G1662" s="51" t="n">
        <f aca="false">'Z6 Nkangamo-Uhuru'!$B$8-E1662</f>
        <v>24.3099999999999</v>
      </c>
      <c r="H1662" s="52" t="n">
        <f aca="false">F1662-E1662</f>
        <v>41.2781724989306</v>
      </c>
      <c r="I1662" s="52" t="n">
        <f aca="false">MAX(H1662,G1662)</f>
        <v>41.2781724989306</v>
      </c>
      <c r="J1662" s="4" t="str">
        <f aca="false">IFERROR("PN"&amp;SMALL(PN_list,COUNTIF(PN_list,"&lt;"&amp;I1662*bar_per_m)+1),"&gt; max PN")</f>
        <v>PN10</v>
      </c>
      <c r="K1662" s="4" t="str">
        <f aca="false">IF(L1662="no","end at tank",IF(H1662&lt;0,"NEGATIVE",IF(H1662&lt;p_min-0.005,"low","OK")))</f>
        <v>OK</v>
      </c>
      <c r="L1662" s="4" t="s">
        <v>414</v>
      </c>
    </row>
    <row r="1663" customFormat="false" ht="15" hidden="false" customHeight="false" outlineLevel="0" collapsed="false">
      <c r="A1663" s="4" t="s">
        <v>44</v>
      </c>
      <c r="B1663" s="4" t="s">
        <v>373</v>
      </c>
      <c r="C1663" s="47" t="n">
        <v>9495.86</v>
      </c>
      <c r="D1663" s="48" t="n">
        <v>1683.66</v>
      </c>
      <c r="E1663" s="49" t="n">
        <f aca="false">D1663-cover</f>
        <v>1682.46</v>
      </c>
      <c r="F1663" s="50" t="n">
        <f aca="false">'Z6 Nkangamo-Uhuru'!S18-'Z6 Nkangamo-Uhuru'!P18*C1663/'Z6 Nkangamo-Uhuru'!G18</f>
        <v>1723.43701919598</v>
      </c>
      <c r="G1663" s="51" t="n">
        <f aca="false">'Z6 Nkangamo-Uhuru'!$B$8-E1663</f>
        <v>24.04</v>
      </c>
      <c r="H1663" s="52" t="n">
        <f aca="false">F1663-E1663</f>
        <v>40.9770191959838</v>
      </c>
      <c r="I1663" s="52" t="n">
        <f aca="false">MAX(H1663,G1663)</f>
        <v>40.9770191959838</v>
      </c>
      <c r="J1663" s="4" t="str">
        <f aca="false">IFERROR("PN"&amp;SMALL(PN_list,COUNTIF(PN_list,"&lt;"&amp;I1663*bar_per_m)+1),"&gt; max PN")</f>
        <v>PN10</v>
      </c>
      <c r="K1663" s="4" t="str">
        <f aca="false">IF(L1663="no","end at tank",IF(H1663&lt;0,"NEGATIVE",IF(H1663&lt;p_min-0.005,"low","OK")))</f>
        <v>OK</v>
      </c>
      <c r="L1663" s="4" t="s">
        <v>414</v>
      </c>
    </row>
    <row r="1664" customFormat="false" ht="15" hidden="false" customHeight="false" outlineLevel="0" collapsed="false">
      <c r="A1664" s="4" t="s">
        <v>44</v>
      </c>
      <c r="B1664" s="4" t="s">
        <v>373</v>
      </c>
      <c r="C1664" s="47" t="n">
        <v>9515.87</v>
      </c>
      <c r="D1664" s="48" t="n">
        <v>1683.19</v>
      </c>
      <c r="E1664" s="49" t="n">
        <f aca="false">D1664-cover</f>
        <v>1681.99</v>
      </c>
      <c r="F1664" s="50" t="n">
        <f aca="false">'Z6 Nkangamo-Uhuru'!S18-'Z6 Nkangamo-Uhuru'!P18*C1664/'Z6 Nkangamo-Uhuru'!G18</f>
        <v>1723.40585031639</v>
      </c>
      <c r="G1664" s="51" t="n">
        <f aca="false">'Z6 Nkangamo-Uhuru'!$B$8-E1664</f>
        <v>24.51</v>
      </c>
      <c r="H1664" s="52" t="n">
        <f aca="false">F1664-E1664</f>
        <v>41.4158503163856</v>
      </c>
      <c r="I1664" s="52" t="n">
        <f aca="false">MAX(H1664,G1664)</f>
        <v>41.4158503163856</v>
      </c>
      <c r="J1664" s="4" t="str">
        <f aca="false">IFERROR("PN"&amp;SMALL(PN_list,COUNTIF(PN_list,"&lt;"&amp;I1664*bar_per_m)+1),"&gt; max PN")</f>
        <v>PN10</v>
      </c>
      <c r="K1664" s="4" t="str">
        <f aca="false">IF(L1664="no","end at tank",IF(H1664&lt;0,"NEGATIVE",IF(H1664&lt;p_min-0.005,"low","OK")))</f>
        <v>OK</v>
      </c>
      <c r="L1664" s="4" t="s">
        <v>414</v>
      </c>
    </row>
    <row r="1665" customFormat="false" ht="15" hidden="false" customHeight="false" outlineLevel="0" collapsed="false">
      <c r="A1665" s="4" t="s">
        <v>44</v>
      </c>
      <c r="B1665" s="4" t="s">
        <v>373</v>
      </c>
      <c r="C1665" s="47" t="n">
        <v>9535.93</v>
      </c>
      <c r="D1665" s="48" t="n">
        <v>1684.79</v>
      </c>
      <c r="E1665" s="49" t="n">
        <f aca="false">D1665-cover</f>
        <v>1683.59</v>
      </c>
      <c r="F1665" s="50" t="n">
        <f aca="false">'Z6 Nkangamo-Uhuru'!S18-'Z6 Nkangamo-Uhuru'!P18*C1665/'Z6 Nkangamo-Uhuru'!G18</f>
        <v>1723.37460355353</v>
      </c>
      <c r="G1665" s="51" t="n">
        <f aca="false">'Z6 Nkangamo-Uhuru'!$B$8-E1665</f>
        <v>22.9100000000001</v>
      </c>
      <c r="H1665" s="52" t="n">
        <f aca="false">F1665-E1665</f>
        <v>39.7846035535299</v>
      </c>
      <c r="I1665" s="52" t="n">
        <f aca="false">MAX(H1665,G1665)</f>
        <v>39.7846035535299</v>
      </c>
      <c r="J1665" s="4" t="str">
        <f aca="false">IFERROR("PN"&amp;SMALL(PN_list,COUNTIF(PN_list,"&lt;"&amp;I1665*bar_per_m)+1),"&gt; max PN")</f>
        <v>PN10</v>
      </c>
      <c r="K1665" s="4" t="str">
        <f aca="false">IF(L1665="no","end at tank",IF(H1665&lt;0,"NEGATIVE",IF(H1665&lt;p_min-0.005,"low","OK")))</f>
        <v>OK</v>
      </c>
      <c r="L1665" s="4" t="s">
        <v>414</v>
      </c>
    </row>
    <row r="1666" customFormat="false" ht="15" hidden="false" customHeight="false" outlineLevel="0" collapsed="false">
      <c r="A1666" s="4" t="s">
        <v>44</v>
      </c>
      <c r="B1666" s="4" t="s">
        <v>373</v>
      </c>
      <c r="C1666" s="47" t="n">
        <v>9555.96</v>
      </c>
      <c r="D1666" s="48" t="n">
        <v>1683.81</v>
      </c>
      <c r="E1666" s="49" t="n">
        <f aca="false">D1666-cover</f>
        <v>1682.61</v>
      </c>
      <c r="F1666" s="50" t="n">
        <f aca="false">'Z6 Nkangamo-Uhuru'!S18-'Z6 Nkangamo-Uhuru'!P18*C1666/'Z6 Nkangamo-Uhuru'!G18</f>
        <v>1723.34340352063</v>
      </c>
      <c r="G1666" s="51" t="n">
        <f aca="false">'Z6 Nkangamo-Uhuru'!$B$8-E1666</f>
        <v>23.8900000000001</v>
      </c>
      <c r="H1666" s="52" t="n">
        <f aca="false">F1666-E1666</f>
        <v>40.7334035206286</v>
      </c>
      <c r="I1666" s="52" t="n">
        <f aca="false">MAX(H1666,G1666)</f>
        <v>40.7334035206286</v>
      </c>
      <c r="J1666" s="4" t="str">
        <f aca="false">IFERROR("PN"&amp;SMALL(PN_list,COUNTIF(PN_list,"&lt;"&amp;I1666*bar_per_m)+1),"&gt; max PN")</f>
        <v>PN10</v>
      </c>
      <c r="K1666" s="4" t="str">
        <f aca="false">IF(L1666="no","end at tank",IF(H1666&lt;0,"NEGATIVE",IF(H1666&lt;p_min-0.005,"low","OK")))</f>
        <v>OK</v>
      </c>
      <c r="L1666" s="4" t="s">
        <v>414</v>
      </c>
    </row>
    <row r="1667" customFormat="false" ht="15" hidden="false" customHeight="false" outlineLevel="0" collapsed="false">
      <c r="A1667" s="4" t="s">
        <v>44</v>
      </c>
      <c r="B1667" s="4" t="s">
        <v>373</v>
      </c>
      <c r="C1667" s="47" t="n">
        <v>9575.96</v>
      </c>
      <c r="D1667" s="48" t="n">
        <v>1684.02</v>
      </c>
      <c r="E1667" s="49" t="n">
        <f aca="false">D1667-cover</f>
        <v>1682.82</v>
      </c>
      <c r="F1667" s="50" t="n">
        <f aca="false">'Z6 Nkangamo-Uhuru'!S18-'Z6 Nkangamo-Uhuru'!P18*C1667/'Z6 Nkangamo-Uhuru'!G18</f>
        <v>1723.31225021768</v>
      </c>
      <c r="G1667" s="51" t="n">
        <f aca="false">'Z6 Nkangamo-Uhuru'!$B$8-E1667</f>
        <v>23.6800000000001</v>
      </c>
      <c r="H1667" s="52" t="n">
        <f aca="false">F1667-E1667</f>
        <v>40.4922502176819</v>
      </c>
      <c r="I1667" s="52" t="n">
        <f aca="false">MAX(H1667,G1667)</f>
        <v>40.4922502176819</v>
      </c>
      <c r="J1667" s="4" t="str">
        <f aca="false">IFERROR("PN"&amp;SMALL(PN_list,COUNTIF(PN_list,"&lt;"&amp;I1667*bar_per_m)+1),"&gt; max PN")</f>
        <v>PN10</v>
      </c>
      <c r="K1667" s="4" t="str">
        <f aca="false">IF(L1667="no","end at tank",IF(H1667&lt;0,"NEGATIVE",IF(H1667&lt;p_min-0.005,"low","OK")))</f>
        <v>OK</v>
      </c>
      <c r="L1667" s="4" t="s">
        <v>414</v>
      </c>
    </row>
    <row r="1668" customFormat="false" ht="15" hidden="false" customHeight="false" outlineLevel="0" collapsed="false">
      <c r="A1668" s="4" t="s">
        <v>44</v>
      </c>
      <c r="B1668" s="4" t="s">
        <v>373</v>
      </c>
      <c r="C1668" s="47" t="n">
        <v>9595.97</v>
      </c>
      <c r="D1668" s="48" t="n">
        <v>1683.17</v>
      </c>
      <c r="E1668" s="49" t="n">
        <f aca="false">D1668-cover</f>
        <v>1681.97</v>
      </c>
      <c r="F1668" s="50" t="n">
        <f aca="false">'Z6 Nkangamo-Uhuru'!S18-'Z6 Nkangamo-Uhuru'!P18*C1668/'Z6 Nkangamo-Uhuru'!G18</f>
        <v>1723.28108133808</v>
      </c>
      <c r="G1668" s="51" t="n">
        <f aca="false">'Z6 Nkangamo-Uhuru'!$B$8-E1668</f>
        <v>24.53</v>
      </c>
      <c r="H1668" s="52" t="n">
        <f aca="false">F1668-E1668</f>
        <v>41.3110813380833</v>
      </c>
      <c r="I1668" s="52" t="n">
        <f aca="false">MAX(H1668,G1668)</f>
        <v>41.3110813380833</v>
      </c>
      <c r="J1668" s="4" t="str">
        <f aca="false">IFERROR("PN"&amp;SMALL(PN_list,COUNTIF(PN_list,"&lt;"&amp;I1668*bar_per_m)+1),"&gt; max PN")</f>
        <v>PN10</v>
      </c>
      <c r="K1668" s="4" t="str">
        <f aca="false">IF(L1668="no","end at tank",IF(H1668&lt;0,"NEGATIVE",IF(H1668&lt;p_min-0.005,"low","OK")))</f>
        <v>OK</v>
      </c>
      <c r="L1668" s="4" t="s">
        <v>414</v>
      </c>
    </row>
    <row r="1669" customFormat="false" ht="15" hidden="false" customHeight="false" outlineLevel="0" collapsed="false">
      <c r="A1669" s="4" t="s">
        <v>44</v>
      </c>
      <c r="B1669" s="4" t="s">
        <v>373</v>
      </c>
      <c r="C1669" s="47" t="n">
        <v>9616.03</v>
      </c>
      <c r="D1669" s="48" t="n">
        <v>1684.65</v>
      </c>
      <c r="E1669" s="49" t="n">
        <f aca="false">D1669-cover</f>
        <v>1683.45</v>
      </c>
      <c r="F1669" s="50" t="n">
        <f aca="false">'Z6 Nkangamo-Uhuru'!S18-'Z6 Nkangamo-Uhuru'!P18*C1669/'Z6 Nkangamo-Uhuru'!G18</f>
        <v>1723.24983457523</v>
      </c>
      <c r="G1669" s="51" t="n">
        <f aca="false">'Z6 Nkangamo-Uhuru'!$B$8-E1669</f>
        <v>23.05</v>
      </c>
      <c r="H1669" s="52" t="n">
        <f aca="false">F1669-E1669</f>
        <v>39.7998345752278</v>
      </c>
      <c r="I1669" s="52" t="n">
        <f aca="false">MAX(H1669,G1669)</f>
        <v>39.7998345752278</v>
      </c>
      <c r="J1669" s="4" t="str">
        <f aca="false">IFERROR("PN"&amp;SMALL(PN_list,COUNTIF(PN_list,"&lt;"&amp;I1669*bar_per_m)+1),"&gt; max PN")</f>
        <v>PN10</v>
      </c>
      <c r="K1669" s="4" t="str">
        <f aca="false">IF(L1669="no","end at tank",IF(H1669&lt;0,"NEGATIVE",IF(H1669&lt;p_min-0.005,"low","OK")))</f>
        <v>OK</v>
      </c>
      <c r="L1669" s="4" t="s">
        <v>414</v>
      </c>
    </row>
    <row r="1670" customFormat="false" ht="15" hidden="false" customHeight="false" outlineLevel="0" collapsed="false">
      <c r="A1670" s="4" t="s">
        <v>44</v>
      </c>
      <c r="B1670" s="4" t="s">
        <v>373</v>
      </c>
      <c r="C1670" s="47" t="n">
        <v>9636.04</v>
      </c>
      <c r="D1670" s="48" t="n">
        <v>1684.11</v>
      </c>
      <c r="E1670" s="49" t="n">
        <f aca="false">D1670-cover</f>
        <v>1682.91</v>
      </c>
      <c r="F1670" s="50" t="n">
        <f aca="false">'Z6 Nkangamo-Uhuru'!S18-'Z6 Nkangamo-Uhuru'!P18*C1670/'Z6 Nkangamo-Uhuru'!G18</f>
        <v>1723.21866569563</v>
      </c>
      <c r="G1670" s="51" t="n">
        <f aca="false">'Z6 Nkangamo-Uhuru'!$B$8-E1670</f>
        <v>23.5900000000001</v>
      </c>
      <c r="H1670" s="52" t="n">
        <f aca="false">F1670-E1670</f>
        <v>40.3086656956295</v>
      </c>
      <c r="I1670" s="52" t="n">
        <f aca="false">MAX(H1670,G1670)</f>
        <v>40.3086656956295</v>
      </c>
      <c r="J1670" s="4" t="str">
        <f aca="false">IFERROR("PN"&amp;SMALL(PN_list,COUNTIF(PN_list,"&lt;"&amp;I1670*bar_per_m)+1),"&gt; max PN")</f>
        <v>PN10</v>
      </c>
      <c r="K1670" s="4" t="str">
        <f aca="false">IF(L1670="no","end at tank",IF(H1670&lt;0,"NEGATIVE",IF(H1670&lt;p_min-0.005,"low","OK")))</f>
        <v>OK</v>
      </c>
      <c r="L1670" s="4" t="s">
        <v>414</v>
      </c>
    </row>
    <row r="1671" customFormat="false" ht="15" hidden="false" customHeight="false" outlineLevel="0" collapsed="false">
      <c r="A1671" s="4" t="s">
        <v>44</v>
      </c>
      <c r="B1671" s="4" t="s">
        <v>373</v>
      </c>
      <c r="C1671" s="47" t="n">
        <v>9656.05</v>
      </c>
      <c r="D1671" s="48" t="n">
        <v>1683.53</v>
      </c>
      <c r="E1671" s="49" t="n">
        <f aca="false">D1671-cover</f>
        <v>1682.33</v>
      </c>
      <c r="F1671" s="50" t="n">
        <f aca="false">'Z6 Nkangamo-Uhuru'!S18-'Z6 Nkangamo-Uhuru'!P18*C1671/'Z6 Nkangamo-Uhuru'!G18</f>
        <v>1723.18749681603</v>
      </c>
      <c r="G1671" s="51" t="n">
        <f aca="false">'Z6 Nkangamo-Uhuru'!$B$8-E1671</f>
        <v>24.1700000000001</v>
      </c>
      <c r="H1671" s="52" t="n">
        <f aca="false">F1671-E1671</f>
        <v>40.8574968160312</v>
      </c>
      <c r="I1671" s="52" t="n">
        <f aca="false">MAX(H1671,G1671)</f>
        <v>40.8574968160312</v>
      </c>
      <c r="J1671" s="4" t="str">
        <f aca="false">IFERROR("PN"&amp;SMALL(PN_list,COUNTIF(PN_list,"&lt;"&amp;I1671*bar_per_m)+1),"&gt; max PN")</f>
        <v>PN10</v>
      </c>
      <c r="K1671" s="4" t="str">
        <f aca="false">IF(L1671="no","end at tank",IF(H1671&lt;0,"NEGATIVE",IF(H1671&lt;p_min-0.005,"low","OK")))</f>
        <v>OK</v>
      </c>
      <c r="L1671" s="4" t="s">
        <v>414</v>
      </c>
    </row>
    <row r="1672" customFormat="false" ht="15" hidden="false" customHeight="false" outlineLevel="0" collapsed="false">
      <c r="A1672" s="4" t="s">
        <v>44</v>
      </c>
      <c r="B1672" s="4" t="s">
        <v>373</v>
      </c>
      <c r="C1672" s="47" t="n">
        <v>9676.06</v>
      </c>
      <c r="D1672" s="48" t="n">
        <v>1684.18</v>
      </c>
      <c r="E1672" s="49" t="n">
        <f aca="false">D1672-cover</f>
        <v>1682.98</v>
      </c>
      <c r="F1672" s="50" t="n">
        <f aca="false">'Z6 Nkangamo-Uhuru'!S18-'Z6 Nkangamo-Uhuru'!P18*C1672/'Z6 Nkangamo-Uhuru'!G18</f>
        <v>1723.15632793643</v>
      </c>
      <c r="G1672" s="51" t="n">
        <f aca="false">'Z6 Nkangamo-Uhuru'!$B$8-E1672</f>
        <v>23.52</v>
      </c>
      <c r="H1672" s="52" t="n">
        <f aca="false">F1672-E1672</f>
        <v>40.1763279364329</v>
      </c>
      <c r="I1672" s="52" t="n">
        <f aca="false">MAX(H1672,G1672)</f>
        <v>40.1763279364329</v>
      </c>
      <c r="J1672" s="4" t="str">
        <f aca="false">IFERROR("PN"&amp;SMALL(PN_list,COUNTIF(PN_list,"&lt;"&amp;I1672*bar_per_m)+1),"&gt; max PN")</f>
        <v>PN10</v>
      </c>
      <c r="K1672" s="4" t="str">
        <f aca="false">IF(L1672="no","end at tank",IF(H1672&lt;0,"NEGATIVE",IF(H1672&lt;p_min-0.005,"low","OK")))</f>
        <v>OK</v>
      </c>
      <c r="L1672" s="4" t="s">
        <v>414</v>
      </c>
    </row>
    <row r="1673" customFormat="false" ht="15" hidden="false" customHeight="false" outlineLevel="0" collapsed="false">
      <c r="A1673" s="4" t="s">
        <v>44</v>
      </c>
      <c r="B1673" s="4" t="s">
        <v>373</v>
      </c>
      <c r="C1673" s="47" t="n">
        <v>9696.06</v>
      </c>
      <c r="D1673" s="48" t="n">
        <v>1684.36</v>
      </c>
      <c r="E1673" s="49" t="n">
        <f aca="false">D1673-cover</f>
        <v>1683.16</v>
      </c>
      <c r="F1673" s="50" t="n">
        <f aca="false">'Z6 Nkangamo-Uhuru'!S18-'Z6 Nkangamo-Uhuru'!P18*C1673/'Z6 Nkangamo-Uhuru'!G18</f>
        <v>1723.12517463349</v>
      </c>
      <c r="G1673" s="51" t="n">
        <f aca="false">'Z6 Nkangamo-Uhuru'!$B$8-E1673</f>
        <v>23.3400000000001</v>
      </c>
      <c r="H1673" s="52" t="n">
        <f aca="false">F1673-E1673</f>
        <v>39.9651746334862</v>
      </c>
      <c r="I1673" s="52" t="n">
        <f aca="false">MAX(H1673,G1673)</f>
        <v>39.9651746334862</v>
      </c>
      <c r="J1673" s="4" t="str">
        <f aca="false">IFERROR("PN"&amp;SMALL(PN_list,COUNTIF(PN_list,"&lt;"&amp;I1673*bar_per_m)+1),"&gt; max PN")</f>
        <v>PN10</v>
      </c>
      <c r="K1673" s="4" t="str">
        <f aca="false">IF(L1673="no","end at tank",IF(H1673&lt;0,"NEGATIVE",IF(H1673&lt;p_min-0.005,"low","OK")))</f>
        <v>OK</v>
      </c>
      <c r="L1673" s="4" t="s">
        <v>414</v>
      </c>
    </row>
    <row r="1674" customFormat="false" ht="15" hidden="false" customHeight="false" outlineLevel="0" collapsed="false">
      <c r="A1674" s="4" t="s">
        <v>44</v>
      </c>
      <c r="B1674" s="4" t="s">
        <v>373</v>
      </c>
      <c r="C1674" s="47" t="n">
        <v>9716.06</v>
      </c>
      <c r="D1674" s="48" t="n">
        <v>1684.81</v>
      </c>
      <c r="E1674" s="49" t="n">
        <f aca="false">D1674-cover</f>
        <v>1683.61</v>
      </c>
      <c r="F1674" s="50" t="n">
        <f aca="false">'Z6 Nkangamo-Uhuru'!S18-'Z6 Nkangamo-Uhuru'!P18*C1674/'Z6 Nkangamo-Uhuru'!G18</f>
        <v>1723.09402133054</v>
      </c>
      <c r="G1674" s="51" t="n">
        <f aca="false">'Z6 Nkangamo-Uhuru'!$B$8-E1674</f>
        <v>22.8900000000001</v>
      </c>
      <c r="H1674" s="52" t="n">
        <f aca="false">F1674-E1674</f>
        <v>39.4840213305392</v>
      </c>
      <c r="I1674" s="52" t="n">
        <f aca="false">MAX(H1674,G1674)</f>
        <v>39.4840213305392</v>
      </c>
      <c r="J1674" s="4" t="str">
        <f aca="false">IFERROR("PN"&amp;SMALL(PN_list,COUNTIF(PN_list,"&lt;"&amp;I1674*bar_per_m)+1),"&gt; max PN")</f>
        <v>PN10</v>
      </c>
      <c r="K1674" s="4" t="str">
        <f aca="false">IF(L1674="no","end at tank",IF(H1674&lt;0,"NEGATIVE",IF(H1674&lt;p_min-0.005,"low","OK")))</f>
        <v>OK</v>
      </c>
      <c r="L1674" s="4" t="s">
        <v>414</v>
      </c>
    </row>
    <row r="1675" customFormat="false" ht="15" hidden="false" customHeight="false" outlineLevel="0" collapsed="false">
      <c r="A1675" s="4" t="s">
        <v>44</v>
      </c>
      <c r="B1675" s="4" t="s">
        <v>373</v>
      </c>
      <c r="C1675" s="47" t="n">
        <v>9736.07</v>
      </c>
      <c r="D1675" s="48" t="n">
        <v>1685.36</v>
      </c>
      <c r="E1675" s="49" t="n">
        <f aca="false">D1675-cover</f>
        <v>1684.16</v>
      </c>
      <c r="F1675" s="50" t="n">
        <f aca="false">'Z6 Nkangamo-Uhuru'!S18-'Z6 Nkangamo-Uhuru'!P18*C1675/'Z6 Nkangamo-Uhuru'!G18</f>
        <v>1723.06285245094</v>
      </c>
      <c r="G1675" s="51" t="n">
        <f aca="false">'Z6 Nkangamo-Uhuru'!$B$8-E1675</f>
        <v>22.3400000000001</v>
      </c>
      <c r="H1675" s="52" t="n">
        <f aca="false">F1675-E1675</f>
        <v>38.9028524509411</v>
      </c>
      <c r="I1675" s="52" t="n">
        <f aca="false">MAX(H1675,G1675)</f>
        <v>38.9028524509411</v>
      </c>
      <c r="J1675" s="4" t="str">
        <f aca="false">IFERROR("PN"&amp;SMALL(PN_list,COUNTIF(PN_list,"&lt;"&amp;I1675*bar_per_m)+1),"&gt; max PN")</f>
        <v>PN10</v>
      </c>
      <c r="K1675" s="4" t="str">
        <f aca="false">IF(L1675="no","end at tank",IF(H1675&lt;0,"NEGATIVE",IF(H1675&lt;p_min-0.005,"low","OK")))</f>
        <v>OK</v>
      </c>
      <c r="L1675" s="4" t="s">
        <v>414</v>
      </c>
    </row>
    <row r="1676" customFormat="false" ht="15" hidden="false" customHeight="false" outlineLevel="0" collapsed="false">
      <c r="A1676" s="4" t="s">
        <v>44</v>
      </c>
      <c r="B1676" s="4" t="s">
        <v>373</v>
      </c>
      <c r="C1676" s="47" t="n">
        <v>9756.07</v>
      </c>
      <c r="D1676" s="48" t="n">
        <v>1685.47</v>
      </c>
      <c r="E1676" s="49" t="n">
        <f aca="false">D1676-cover</f>
        <v>1684.27</v>
      </c>
      <c r="F1676" s="50" t="n">
        <f aca="false">'Z6 Nkangamo-Uhuru'!S18-'Z6 Nkangamo-Uhuru'!P18*C1676/'Z6 Nkangamo-Uhuru'!G18</f>
        <v>1723.03169914799</v>
      </c>
      <c r="G1676" s="51" t="n">
        <f aca="false">'Z6 Nkangamo-Uhuru'!$B$8-E1676</f>
        <v>22.23</v>
      </c>
      <c r="H1676" s="52" t="n">
        <f aca="false">F1676-E1676</f>
        <v>38.761699147994</v>
      </c>
      <c r="I1676" s="52" t="n">
        <f aca="false">MAX(H1676,G1676)</f>
        <v>38.761699147994</v>
      </c>
      <c r="J1676" s="4" t="str">
        <f aca="false">IFERROR("PN"&amp;SMALL(PN_list,COUNTIF(PN_list,"&lt;"&amp;I1676*bar_per_m)+1),"&gt; max PN")</f>
        <v>PN10</v>
      </c>
      <c r="K1676" s="4" t="str">
        <f aca="false">IF(L1676="no","end at tank",IF(H1676&lt;0,"NEGATIVE",IF(H1676&lt;p_min-0.005,"low","OK")))</f>
        <v>OK</v>
      </c>
      <c r="L1676" s="4" t="s">
        <v>414</v>
      </c>
    </row>
    <row r="1677" customFormat="false" ht="15" hidden="false" customHeight="false" outlineLevel="0" collapsed="false">
      <c r="A1677" s="4" t="s">
        <v>44</v>
      </c>
      <c r="B1677" s="4" t="s">
        <v>373</v>
      </c>
      <c r="C1677" s="47" t="n">
        <v>9776.07</v>
      </c>
      <c r="D1677" s="48" t="n">
        <v>1685.72</v>
      </c>
      <c r="E1677" s="49" t="n">
        <f aca="false">D1677-cover</f>
        <v>1684.52</v>
      </c>
      <c r="F1677" s="50" t="n">
        <f aca="false">'Z6 Nkangamo-Uhuru'!S18-'Z6 Nkangamo-Uhuru'!P18*C1677/'Z6 Nkangamo-Uhuru'!G18</f>
        <v>1723.00054584505</v>
      </c>
      <c r="G1677" s="51" t="n">
        <f aca="false">'Z6 Nkangamo-Uhuru'!$B$8-E1677</f>
        <v>21.98</v>
      </c>
      <c r="H1677" s="52" t="n">
        <f aca="false">F1677-E1677</f>
        <v>38.4805458450473</v>
      </c>
      <c r="I1677" s="52" t="n">
        <f aca="false">MAX(H1677,G1677)</f>
        <v>38.4805458450473</v>
      </c>
      <c r="J1677" s="4" t="str">
        <f aca="false">IFERROR("PN"&amp;SMALL(PN_list,COUNTIF(PN_list,"&lt;"&amp;I1677*bar_per_m)+1),"&gt; max PN")</f>
        <v>PN10</v>
      </c>
      <c r="K1677" s="4" t="str">
        <f aca="false">IF(L1677="no","end at tank",IF(H1677&lt;0,"NEGATIVE",IF(H1677&lt;p_min-0.005,"low","OK")))</f>
        <v>OK</v>
      </c>
      <c r="L1677" s="4" t="s">
        <v>414</v>
      </c>
    </row>
    <row r="1678" customFormat="false" ht="15" hidden="false" customHeight="false" outlineLevel="0" collapsed="false">
      <c r="A1678" s="4" t="s">
        <v>44</v>
      </c>
      <c r="B1678" s="4" t="s">
        <v>373</v>
      </c>
      <c r="C1678" s="47" t="n">
        <v>9796.08</v>
      </c>
      <c r="D1678" s="48" t="n">
        <v>1686.13</v>
      </c>
      <c r="E1678" s="49" t="n">
        <f aca="false">D1678-cover</f>
        <v>1684.93</v>
      </c>
      <c r="F1678" s="50" t="n">
        <f aca="false">'Z6 Nkangamo-Uhuru'!S18-'Z6 Nkangamo-Uhuru'!P18*C1678/'Z6 Nkangamo-Uhuru'!G18</f>
        <v>1722.96937696545</v>
      </c>
      <c r="G1678" s="51" t="n">
        <f aca="false">'Z6 Nkangamo-Uhuru'!$B$8-E1678</f>
        <v>21.5699999999999</v>
      </c>
      <c r="H1678" s="52" t="n">
        <f aca="false">F1678-E1678</f>
        <v>38.0393769654488</v>
      </c>
      <c r="I1678" s="52" t="n">
        <f aca="false">MAX(H1678,G1678)</f>
        <v>38.0393769654488</v>
      </c>
      <c r="J1678" s="4" t="str">
        <f aca="false">IFERROR("PN"&amp;SMALL(PN_list,COUNTIF(PN_list,"&lt;"&amp;I1678*bar_per_m)+1),"&gt; max PN")</f>
        <v>PN10</v>
      </c>
      <c r="K1678" s="4" t="str">
        <f aca="false">IF(L1678="no","end at tank",IF(H1678&lt;0,"NEGATIVE",IF(H1678&lt;p_min-0.005,"low","OK")))</f>
        <v>OK</v>
      </c>
      <c r="L1678" s="4" t="s">
        <v>414</v>
      </c>
    </row>
    <row r="1679" customFormat="false" ht="15" hidden="false" customHeight="false" outlineLevel="0" collapsed="false">
      <c r="A1679" s="4" t="s">
        <v>44</v>
      </c>
      <c r="B1679" s="4" t="s">
        <v>373</v>
      </c>
      <c r="C1679" s="47" t="n">
        <v>9816.08</v>
      </c>
      <c r="D1679" s="48" t="n">
        <v>1686.17</v>
      </c>
      <c r="E1679" s="49" t="n">
        <f aca="false">D1679-cover</f>
        <v>1684.97</v>
      </c>
      <c r="F1679" s="50" t="n">
        <f aca="false">'Z6 Nkangamo-Uhuru'!S18-'Z6 Nkangamo-Uhuru'!P18*C1679/'Z6 Nkangamo-Uhuru'!G18</f>
        <v>1722.9382236625</v>
      </c>
      <c r="G1679" s="51" t="n">
        <f aca="false">'Z6 Nkangamo-Uhuru'!$B$8-E1679</f>
        <v>21.53</v>
      </c>
      <c r="H1679" s="52" t="n">
        <f aca="false">F1679-E1679</f>
        <v>37.9682236625022</v>
      </c>
      <c r="I1679" s="52" t="n">
        <f aca="false">MAX(H1679,G1679)</f>
        <v>37.9682236625022</v>
      </c>
      <c r="J1679" s="4" t="str">
        <f aca="false">IFERROR("PN"&amp;SMALL(PN_list,COUNTIF(PN_list,"&lt;"&amp;I1679*bar_per_m)+1),"&gt; max PN")</f>
        <v>PN10</v>
      </c>
      <c r="K1679" s="4" t="str">
        <f aca="false">IF(L1679="no","end at tank",IF(H1679&lt;0,"NEGATIVE",IF(H1679&lt;p_min-0.005,"low","OK")))</f>
        <v>OK</v>
      </c>
      <c r="L1679" s="4" t="s">
        <v>414</v>
      </c>
    </row>
    <row r="1680" customFormat="false" ht="15" hidden="false" customHeight="false" outlineLevel="0" collapsed="false">
      <c r="A1680" s="4" t="s">
        <v>44</v>
      </c>
      <c r="B1680" s="4" t="s">
        <v>373</v>
      </c>
      <c r="C1680" s="47" t="n">
        <v>9836.08</v>
      </c>
      <c r="D1680" s="48" t="n">
        <v>1686.07</v>
      </c>
      <c r="E1680" s="49" t="n">
        <f aca="false">D1680-cover</f>
        <v>1684.87</v>
      </c>
      <c r="F1680" s="50" t="n">
        <f aca="false">'Z6 Nkangamo-Uhuru'!S18-'Z6 Nkangamo-Uhuru'!P18*C1680/'Z6 Nkangamo-Uhuru'!G18</f>
        <v>1722.90707035956</v>
      </c>
      <c r="G1680" s="51" t="n">
        <f aca="false">'Z6 Nkangamo-Uhuru'!$B$8-E1680</f>
        <v>21.6300000000001</v>
      </c>
      <c r="H1680" s="52" t="n">
        <f aca="false">F1680-E1680</f>
        <v>38.0370703595554</v>
      </c>
      <c r="I1680" s="52" t="n">
        <f aca="false">MAX(H1680,G1680)</f>
        <v>38.0370703595554</v>
      </c>
      <c r="J1680" s="4" t="str">
        <f aca="false">IFERROR("PN"&amp;SMALL(PN_list,COUNTIF(PN_list,"&lt;"&amp;I1680*bar_per_m)+1),"&gt; max PN")</f>
        <v>PN10</v>
      </c>
      <c r="K1680" s="4" t="str">
        <f aca="false">IF(L1680="no","end at tank",IF(H1680&lt;0,"NEGATIVE",IF(H1680&lt;p_min-0.005,"low","OK")))</f>
        <v>OK</v>
      </c>
      <c r="L1680" s="4" t="s">
        <v>414</v>
      </c>
    </row>
    <row r="1681" customFormat="false" ht="15" hidden="false" customHeight="false" outlineLevel="0" collapsed="false">
      <c r="A1681" s="4" t="s">
        <v>44</v>
      </c>
      <c r="B1681" s="4" t="s">
        <v>373</v>
      </c>
      <c r="C1681" s="47" t="n">
        <v>9856.14</v>
      </c>
      <c r="D1681" s="48" t="n">
        <v>1687.71</v>
      </c>
      <c r="E1681" s="49" t="n">
        <f aca="false">D1681-cover</f>
        <v>1686.51</v>
      </c>
      <c r="F1681" s="50" t="n">
        <f aca="false">'Z6 Nkangamo-Uhuru'!S18-'Z6 Nkangamo-Uhuru'!P18*C1681/'Z6 Nkangamo-Uhuru'!G18</f>
        <v>1722.8758235967</v>
      </c>
      <c r="G1681" s="51" t="n">
        <f aca="false">'Z6 Nkangamo-Uhuru'!$B$8-E1681</f>
        <v>19.99</v>
      </c>
      <c r="H1681" s="52" t="n">
        <f aca="false">F1681-E1681</f>
        <v>36.3658235966996</v>
      </c>
      <c r="I1681" s="52" t="n">
        <f aca="false">MAX(H1681,G1681)</f>
        <v>36.3658235966996</v>
      </c>
      <c r="J1681" s="4" t="str">
        <f aca="false">IFERROR("PN"&amp;SMALL(PN_list,COUNTIF(PN_list,"&lt;"&amp;I1681*bar_per_m)+1),"&gt; max PN")</f>
        <v>PN10</v>
      </c>
      <c r="K1681" s="4" t="str">
        <f aca="false">IF(L1681="no","end at tank",IF(H1681&lt;0,"NEGATIVE",IF(H1681&lt;p_min-0.005,"low","OK")))</f>
        <v>OK</v>
      </c>
      <c r="L1681" s="4" t="s">
        <v>414</v>
      </c>
    </row>
    <row r="1682" customFormat="false" ht="15" hidden="false" customHeight="false" outlineLevel="0" collapsed="false">
      <c r="A1682" s="4" t="s">
        <v>44</v>
      </c>
      <c r="B1682" s="4" t="s">
        <v>373</v>
      </c>
      <c r="C1682" s="47" t="n">
        <v>9876.14</v>
      </c>
      <c r="D1682" s="48" t="n">
        <v>1687.75</v>
      </c>
      <c r="E1682" s="49" t="n">
        <f aca="false">D1682-cover</f>
        <v>1686.55</v>
      </c>
      <c r="F1682" s="50" t="n">
        <f aca="false">'Z6 Nkangamo-Uhuru'!S18-'Z6 Nkangamo-Uhuru'!P18*C1682/'Z6 Nkangamo-Uhuru'!G18</f>
        <v>1722.84467029375</v>
      </c>
      <c r="G1682" s="51" t="n">
        <f aca="false">'Z6 Nkangamo-Uhuru'!$B$8-E1682</f>
        <v>19.95</v>
      </c>
      <c r="H1682" s="52" t="n">
        <f aca="false">F1682-E1682</f>
        <v>36.2946702937529</v>
      </c>
      <c r="I1682" s="52" t="n">
        <f aca="false">MAX(H1682,G1682)</f>
        <v>36.2946702937529</v>
      </c>
      <c r="J1682" s="4" t="str">
        <f aca="false">IFERROR("PN"&amp;SMALL(PN_list,COUNTIF(PN_list,"&lt;"&amp;I1682*bar_per_m)+1),"&gt; max PN")</f>
        <v>PN10</v>
      </c>
      <c r="K1682" s="4" t="str">
        <f aca="false">IF(L1682="no","end at tank",IF(H1682&lt;0,"NEGATIVE",IF(H1682&lt;p_min-0.005,"low","OK")))</f>
        <v>OK</v>
      </c>
      <c r="L1682" s="4" t="s">
        <v>414</v>
      </c>
    </row>
    <row r="1683" customFormat="false" ht="15" hidden="false" customHeight="false" outlineLevel="0" collapsed="false">
      <c r="A1683" s="4" t="s">
        <v>44</v>
      </c>
      <c r="B1683" s="4" t="s">
        <v>373</v>
      </c>
      <c r="C1683" s="47" t="n">
        <v>9896.15</v>
      </c>
      <c r="D1683" s="48" t="n">
        <v>1688.23</v>
      </c>
      <c r="E1683" s="49" t="n">
        <f aca="false">D1683-cover</f>
        <v>1687.03</v>
      </c>
      <c r="F1683" s="50" t="n">
        <f aca="false">'Z6 Nkangamo-Uhuru'!S18-'Z6 Nkangamo-Uhuru'!P18*C1683/'Z6 Nkangamo-Uhuru'!G18</f>
        <v>1722.81350141415</v>
      </c>
      <c r="G1683" s="51" t="n">
        <f aca="false">'Z6 Nkangamo-Uhuru'!$B$8-E1683</f>
        <v>19.47</v>
      </c>
      <c r="H1683" s="52" t="n">
        <f aca="false">F1683-E1683</f>
        <v>35.7835014141544</v>
      </c>
      <c r="I1683" s="52" t="n">
        <f aca="false">MAX(H1683,G1683)</f>
        <v>35.7835014141544</v>
      </c>
      <c r="J1683" s="4" t="str">
        <f aca="false">IFERROR("PN"&amp;SMALL(PN_list,COUNTIF(PN_list,"&lt;"&amp;I1683*bar_per_m)+1),"&gt; max PN")</f>
        <v>PN10</v>
      </c>
      <c r="K1683" s="4" t="str">
        <f aca="false">IF(L1683="no","end at tank",IF(H1683&lt;0,"NEGATIVE",IF(H1683&lt;p_min-0.005,"low","OK")))</f>
        <v>OK</v>
      </c>
      <c r="L1683" s="4" t="s">
        <v>414</v>
      </c>
    </row>
    <row r="1684" customFormat="false" ht="15" hidden="false" customHeight="false" outlineLevel="0" collapsed="false">
      <c r="A1684" s="4" t="s">
        <v>44</v>
      </c>
      <c r="B1684" s="4" t="s">
        <v>373</v>
      </c>
      <c r="C1684" s="47" t="n">
        <v>9916.16</v>
      </c>
      <c r="D1684" s="48" t="n">
        <v>1688.81</v>
      </c>
      <c r="E1684" s="49" t="n">
        <f aca="false">D1684-cover</f>
        <v>1687.61</v>
      </c>
      <c r="F1684" s="50" t="n">
        <f aca="false">'Z6 Nkangamo-Uhuru'!S18-'Z6 Nkangamo-Uhuru'!P18*C1684/'Z6 Nkangamo-Uhuru'!G18</f>
        <v>1722.78233253456</v>
      </c>
      <c r="G1684" s="51" t="n">
        <f aca="false">'Z6 Nkangamo-Uhuru'!$B$8-E1684</f>
        <v>18.8900000000001</v>
      </c>
      <c r="H1684" s="52" t="n">
        <f aca="false">F1684-E1684</f>
        <v>35.1723325345563</v>
      </c>
      <c r="I1684" s="52" t="n">
        <f aca="false">MAX(H1684,G1684)</f>
        <v>35.1723325345563</v>
      </c>
      <c r="J1684" s="4" t="str">
        <f aca="false">IFERROR("PN"&amp;SMALL(PN_list,COUNTIF(PN_list,"&lt;"&amp;I1684*bar_per_m)+1),"&gt; max PN")</f>
        <v>PN10</v>
      </c>
      <c r="K1684" s="4" t="str">
        <f aca="false">IF(L1684="no","end at tank",IF(H1684&lt;0,"NEGATIVE",IF(H1684&lt;p_min-0.005,"low","OK")))</f>
        <v>OK</v>
      </c>
      <c r="L1684" s="4" t="s">
        <v>414</v>
      </c>
    </row>
    <row r="1685" customFormat="false" ht="15" hidden="false" customHeight="false" outlineLevel="0" collapsed="false">
      <c r="A1685" s="4" t="s">
        <v>44</v>
      </c>
      <c r="B1685" s="4" t="s">
        <v>373</v>
      </c>
      <c r="C1685" s="47" t="n">
        <v>9936.16</v>
      </c>
      <c r="D1685" s="48" t="n">
        <v>1689.05</v>
      </c>
      <c r="E1685" s="49" t="n">
        <f aca="false">D1685-cover</f>
        <v>1687.85</v>
      </c>
      <c r="F1685" s="50" t="n">
        <f aca="false">'Z6 Nkangamo-Uhuru'!S18-'Z6 Nkangamo-Uhuru'!P18*C1685/'Z6 Nkangamo-Uhuru'!G18</f>
        <v>1722.75117923161</v>
      </c>
      <c r="G1685" s="51" t="n">
        <f aca="false">'Z6 Nkangamo-Uhuru'!$B$8-E1685</f>
        <v>18.6500000000001</v>
      </c>
      <c r="H1685" s="52" t="n">
        <f aca="false">F1685-E1685</f>
        <v>34.9011792316094</v>
      </c>
      <c r="I1685" s="52" t="n">
        <f aca="false">MAX(H1685,G1685)</f>
        <v>34.9011792316094</v>
      </c>
      <c r="J1685" s="4" t="str">
        <f aca="false">IFERROR("PN"&amp;SMALL(PN_list,COUNTIF(PN_list,"&lt;"&amp;I1685*bar_per_m)+1),"&gt; max PN")</f>
        <v>PN10</v>
      </c>
      <c r="K1685" s="4" t="str">
        <f aca="false">IF(L1685="no","end at tank",IF(H1685&lt;0,"NEGATIVE",IF(H1685&lt;p_min-0.005,"low","OK")))</f>
        <v>OK</v>
      </c>
      <c r="L1685" s="4" t="s">
        <v>414</v>
      </c>
    </row>
    <row r="1686" customFormat="false" ht="15" hidden="false" customHeight="false" outlineLevel="0" collapsed="false">
      <c r="A1686" s="4" t="s">
        <v>44</v>
      </c>
      <c r="B1686" s="4" t="s">
        <v>373</v>
      </c>
      <c r="C1686" s="47" t="n">
        <v>9956.16</v>
      </c>
      <c r="D1686" s="48" t="n">
        <v>1689.43</v>
      </c>
      <c r="E1686" s="49" t="n">
        <f aca="false">D1686-cover</f>
        <v>1688.23</v>
      </c>
      <c r="F1686" s="50" t="n">
        <f aca="false">'Z6 Nkangamo-Uhuru'!S18-'Z6 Nkangamo-Uhuru'!P18*C1686/'Z6 Nkangamo-Uhuru'!G18</f>
        <v>1722.72002592866</v>
      </c>
      <c r="G1686" s="51" t="n">
        <f aca="false">'Z6 Nkangamo-Uhuru'!$B$8-E1686</f>
        <v>18.27</v>
      </c>
      <c r="H1686" s="52" t="n">
        <f aca="false">F1686-E1686</f>
        <v>34.4900259286626</v>
      </c>
      <c r="I1686" s="52" t="n">
        <f aca="false">MAX(H1686,G1686)</f>
        <v>34.4900259286626</v>
      </c>
      <c r="J1686" s="4" t="str">
        <f aca="false">IFERROR("PN"&amp;SMALL(PN_list,COUNTIF(PN_list,"&lt;"&amp;I1686*bar_per_m)+1),"&gt; max PN")</f>
        <v>PN10</v>
      </c>
      <c r="K1686" s="4" t="str">
        <f aca="false">IF(L1686="no","end at tank",IF(H1686&lt;0,"NEGATIVE",IF(H1686&lt;p_min-0.005,"low","OK")))</f>
        <v>OK</v>
      </c>
      <c r="L1686" s="4" t="s">
        <v>414</v>
      </c>
    </row>
    <row r="1687" customFormat="false" ht="15" hidden="false" customHeight="false" outlineLevel="0" collapsed="false">
      <c r="A1687" s="4" t="s">
        <v>44</v>
      </c>
      <c r="B1687" s="4" t="s">
        <v>373</v>
      </c>
      <c r="C1687" s="47" t="n">
        <v>9976.17</v>
      </c>
      <c r="D1687" s="48" t="n">
        <v>1689.93</v>
      </c>
      <c r="E1687" s="49" t="n">
        <f aca="false">D1687-cover</f>
        <v>1688.73</v>
      </c>
      <c r="F1687" s="50" t="n">
        <f aca="false">'Z6 Nkangamo-Uhuru'!S18-'Z6 Nkangamo-Uhuru'!P18*C1687/'Z6 Nkangamo-Uhuru'!G18</f>
        <v>1722.68885704906</v>
      </c>
      <c r="G1687" s="51" t="n">
        <f aca="false">'Z6 Nkangamo-Uhuru'!$B$8-E1687</f>
        <v>17.77</v>
      </c>
      <c r="H1687" s="52" t="n">
        <f aca="false">F1687-E1687</f>
        <v>33.9588570490641</v>
      </c>
      <c r="I1687" s="52" t="n">
        <f aca="false">MAX(H1687,G1687)</f>
        <v>33.9588570490641</v>
      </c>
      <c r="J1687" s="4" t="str">
        <f aca="false">IFERROR("PN"&amp;SMALL(PN_list,COUNTIF(PN_list,"&lt;"&amp;I1687*bar_per_m)+1),"&gt; max PN")</f>
        <v>PN10</v>
      </c>
      <c r="K1687" s="4" t="str">
        <f aca="false">IF(L1687="no","end at tank",IF(H1687&lt;0,"NEGATIVE",IF(H1687&lt;p_min-0.005,"low","OK")))</f>
        <v>OK</v>
      </c>
      <c r="L1687" s="4" t="s">
        <v>414</v>
      </c>
    </row>
    <row r="1688" customFormat="false" ht="15" hidden="false" customHeight="false" outlineLevel="0" collapsed="false">
      <c r="A1688" s="4" t="s">
        <v>44</v>
      </c>
      <c r="B1688" s="4" t="s">
        <v>373</v>
      </c>
      <c r="C1688" s="47" t="n">
        <v>9996.17</v>
      </c>
      <c r="D1688" s="48" t="n">
        <v>1690.26</v>
      </c>
      <c r="E1688" s="49" t="n">
        <f aca="false">D1688-cover</f>
        <v>1689.06</v>
      </c>
      <c r="F1688" s="50" t="n">
        <f aca="false">'Z6 Nkangamo-Uhuru'!S18-'Z6 Nkangamo-Uhuru'!P18*C1688/'Z6 Nkangamo-Uhuru'!G18</f>
        <v>1722.65770374612</v>
      </c>
      <c r="G1688" s="51" t="n">
        <f aca="false">'Z6 Nkangamo-Uhuru'!$B$8-E1688</f>
        <v>17.4400000000001</v>
      </c>
      <c r="H1688" s="52" t="n">
        <f aca="false">F1688-E1688</f>
        <v>33.5977037461175</v>
      </c>
      <c r="I1688" s="52" t="n">
        <f aca="false">MAX(H1688,G1688)</f>
        <v>33.5977037461175</v>
      </c>
      <c r="J1688" s="4" t="str">
        <f aca="false">IFERROR("PN"&amp;SMALL(PN_list,COUNTIF(PN_list,"&lt;"&amp;I1688*bar_per_m)+1),"&gt; max PN")</f>
        <v>PN10</v>
      </c>
      <c r="K1688" s="4" t="str">
        <f aca="false">IF(L1688="no","end at tank",IF(H1688&lt;0,"NEGATIVE",IF(H1688&lt;p_min-0.005,"low","OK")))</f>
        <v>OK</v>
      </c>
      <c r="L1688" s="4" t="s">
        <v>414</v>
      </c>
    </row>
    <row r="1689" customFormat="false" ht="15" hidden="false" customHeight="false" outlineLevel="0" collapsed="false">
      <c r="A1689" s="4" t="s">
        <v>44</v>
      </c>
      <c r="B1689" s="4" t="s">
        <v>373</v>
      </c>
      <c r="C1689" s="47" t="n">
        <v>10016.18</v>
      </c>
      <c r="D1689" s="48" t="n">
        <v>1690.81</v>
      </c>
      <c r="E1689" s="49" t="n">
        <f aca="false">D1689-cover</f>
        <v>1689.61</v>
      </c>
      <c r="F1689" s="50" t="n">
        <f aca="false">'Z6 Nkangamo-Uhuru'!S18-'Z6 Nkangamo-Uhuru'!P18*C1689/'Z6 Nkangamo-Uhuru'!G18</f>
        <v>1722.62653486652</v>
      </c>
      <c r="G1689" s="51" t="n">
        <f aca="false">'Z6 Nkangamo-Uhuru'!$B$8-E1689</f>
        <v>16.8900000000001</v>
      </c>
      <c r="H1689" s="52" t="n">
        <f aca="false">F1689-E1689</f>
        <v>33.0165348665191</v>
      </c>
      <c r="I1689" s="52" t="n">
        <f aca="false">MAX(H1689,G1689)</f>
        <v>33.0165348665191</v>
      </c>
      <c r="J1689" s="4" t="str">
        <f aca="false">IFERROR("PN"&amp;SMALL(PN_list,COUNTIF(PN_list,"&lt;"&amp;I1689*bar_per_m)+1),"&gt; max PN")</f>
        <v>PN10</v>
      </c>
      <c r="K1689" s="4" t="str">
        <f aca="false">IF(L1689="no","end at tank",IF(H1689&lt;0,"NEGATIVE",IF(H1689&lt;p_min-0.005,"low","OK")))</f>
        <v>OK</v>
      </c>
      <c r="L1689" s="4" t="s">
        <v>414</v>
      </c>
    </row>
    <row r="1690" customFormat="false" ht="15" hidden="false" customHeight="false" outlineLevel="0" collapsed="false">
      <c r="A1690" s="4" t="s">
        <v>44</v>
      </c>
      <c r="B1690" s="4" t="s">
        <v>373</v>
      </c>
      <c r="C1690" s="47" t="n">
        <v>10036.18</v>
      </c>
      <c r="D1690" s="48" t="n">
        <v>1690.94</v>
      </c>
      <c r="E1690" s="49" t="n">
        <f aca="false">D1690-cover</f>
        <v>1689.74</v>
      </c>
      <c r="F1690" s="50" t="n">
        <f aca="false">'Z6 Nkangamo-Uhuru'!S18-'Z6 Nkangamo-Uhuru'!P18*C1690/'Z6 Nkangamo-Uhuru'!G18</f>
        <v>1722.59538156357</v>
      </c>
      <c r="G1690" s="51" t="n">
        <f aca="false">'Z6 Nkangamo-Uhuru'!$B$8-E1690</f>
        <v>16.76</v>
      </c>
      <c r="H1690" s="52" t="n">
        <f aca="false">F1690-E1690</f>
        <v>32.8553815635723</v>
      </c>
      <c r="I1690" s="52" t="n">
        <f aca="false">MAX(H1690,G1690)</f>
        <v>32.8553815635723</v>
      </c>
      <c r="J1690" s="4" t="str">
        <f aca="false">IFERROR("PN"&amp;SMALL(PN_list,COUNTIF(PN_list,"&lt;"&amp;I1690*bar_per_m)+1),"&gt; max PN")</f>
        <v>PN10</v>
      </c>
      <c r="K1690" s="4" t="str">
        <f aca="false">IF(L1690="no","end at tank",IF(H1690&lt;0,"NEGATIVE",IF(H1690&lt;p_min-0.005,"low","OK")))</f>
        <v>OK</v>
      </c>
      <c r="L1690" s="4" t="s">
        <v>414</v>
      </c>
    </row>
    <row r="1691" customFormat="false" ht="15" hidden="false" customHeight="false" outlineLevel="0" collapsed="false">
      <c r="A1691" s="4" t="s">
        <v>44</v>
      </c>
      <c r="B1691" s="4" t="s">
        <v>373</v>
      </c>
      <c r="C1691" s="47" t="n">
        <v>10056.19</v>
      </c>
      <c r="D1691" s="48" t="n">
        <v>1691.52</v>
      </c>
      <c r="E1691" s="49" t="n">
        <f aca="false">D1691-cover</f>
        <v>1690.32</v>
      </c>
      <c r="F1691" s="50" t="n">
        <f aca="false">'Z6 Nkangamo-Uhuru'!S18-'Z6 Nkangamo-Uhuru'!P18*C1691/'Z6 Nkangamo-Uhuru'!G18</f>
        <v>1722.56421268397</v>
      </c>
      <c r="G1691" s="51" t="n">
        <f aca="false">'Z6 Nkangamo-Uhuru'!$B$8-E1691</f>
        <v>16.1800000000001</v>
      </c>
      <c r="H1691" s="52" t="n">
        <f aca="false">F1691-E1691</f>
        <v>32.244212683974</v>
      </c>
      <c r="I1691" s="52" t="n">
        <f aca="false">MAX(H1691,G1691)</f>
        <v>32.244212683974</v>
      </c>
      <c r="J1691" s="4" t="str">
        <f aca="false">IFERROR("PN"&amp;SMALL(PN_list,COUNTIF(PN_list,"&lt;"&amp;I1691*bar_per_m)+1),"&gt; max PN")</f>
        <v>PN10</v>
      </c>
      <c r="K1691" s="4" t="str">
        <f aca="false">IF(L1691="no","end at tank",IF(H1691&lt;0,"NEGATIVE",IF(H1691&lt;p_min-0.005,"low","OK")))</f>
        <v>OK</v>
      </c>
      <c r="L1691" s="4" t="s">
        <v>414</v>
      </c>
    </row>
    <row r="1692" customFormat="false" ht="15" hidden="false" customHeight="false" outlineLevel="0" collapsed="false">
      <c r="A1692" s="4" t="s">
        <v>44</v>
      </c>
      <c r="B1692" s="4" t="s">
        <v>373</v>
      </c>
      <c r="C1692" s="47" t="n">
        <v>10076.19</v>
      </c>
      <c r="D1692" s="48" t="n">
        <v>1691.78</v>
      </c>
      <c r="E1692" s="49" t="n">
        <f aca="false">D1692-cover</f>
        <v>1690.58</v>
      </c>
      <c r="F1692" s="50" t="n">
        <f aca="false">'Z6 Nkangamo-Uhuru'!S18-'Z6 Nkangamo-Uhuru'!P18*C1692/'Z6 Nkangamo-Uhuru'!G18</f>
        <v>1722.53305938103</v>
      </c>
      <c r="G1692" s="51" t="n">
        <f aca="false">'Z6 Nkangamo-Uhuru'!$B$8-E1692</f>
        <v>15.9200000000001</v>
      </c>
      <c r="H1692" s="52" t="n">
        <f aca="false">F1692-E1692</f>
        <v>31.9530593810273</v>
      </c>
      <c r="I1692" s="52" t="n">
        <f aca="false">MAX(H1692,G1692)</f>
        <v>31.9530593810273</v>
      </c>
      <c r="J1692" s="4" t="str">
        <f aca="false">IFERROR("PN"&amp;SMALL(PN_list,COUNTIF(PN_list,"&lt;"&amp;I1692*bar_per_m)+1),"&gt; max PN")</f>
        <v>PN10</v>
      </c>
      <c r="K1692" s="4" t="str">
        <f aca="false">IF(L1692="no","end at tank",IF(H1692&lt;0,"NEGATIVE",IF(H1692&lt;p_min-0.005,"low","OK")))</f>
        <v>OK</v>
      </c>
      <c r="L1692" s="4" t="s">
        <v>414</v>
      </c>
    </row>
    <row r="1693" customFormat="false" ht="15" hidden="false" customHeight="false" outlineLevel="0" collapsed="false">
      <c r="A1693" s="4" t="s">
        <v>44</v>
      </c>
      <c r="B1693" s="4" t="s">
        <v>373</v>
      </c>
      <c r="C1693" s="47" t="n">
        <v>10096.19</v>
      </c>
      <c r="D1693" s="48" t="n">
        <v>1692.27</v>
      </c>
      <c r="E1693" s="49" t="n">
        <f aca="false">D1693-cover</f>
        <v>1691.07</v>
      </c>
      <c r="F1693" s="50" t="n">
        <f aca="false">'Z6 Nkangamo-Uhuru'!S18-'Z6 Nkangamo-Uhuru'!P18*C1693/'Z6 Nkangamo-Uhuru'!G18</f>
        <v>1722.50190607808</v>
      </c>
      <c r="G1693" s="51" t="n">
        <f aca="false">'Z6 Nkangamo-Uhuru'!$B$8-E1693</f>
        <v>15.4300000000001</v>
      </c>
      <c r="H1693" s="52" t="n">
        <f aca="false">F1693-E1693</f>
        <v>31.4319060780804</v>
      </c>
      <c r="I1693" s="52" t="n">
        <f aca="false">MAX(H1693,G1693)</f>
        <v>31.4319060780804</v>
      </c>
      <c r="J1693" s="4" t="str">
        <f aca="false">IFERROR("PN"&amp;SMALL(PN_list,COUNTIF(PN_list,"&lt;"&amp;I1693*bar_per_m)+1),"&gt; max PN")</f>
        <v>PN10</v>
      </c>
      <c r="K1693" s="4" t="str">
        <f aca="false">IF(L1693="no","end at tank",IF(H1693&lt;0,"NEGATIVE",IF(H1693&lt;p_min-0.005,"low","OK")))</f>
        <v>OK</v>
      </c>
      <c r="L1693" s="4" t="s">
        <v>414</v>
      </c>
    </row>
    <row r="1694" customFormat="false" ht="15" hidden="false" customHeight="false" outlineLevel="0" collapsed="false">
      <c r="A1694" s="4" t="s">
        <v>44</v>
      </c>
      <c r="B1694" s="4" t="s">
        <v>373</v>
      </c>
      <c r="C1694" s="47" t="n">
        <v>10116.21</v>
      </c>
      <c r="D1694" s="48" t="n">
        <v>1692.92</v>
      </c>
      <c r="E1694" s="49" t="n">
        <f aca="false">D1694-cover</f>
        <v>1691.72</v>
      </c>
      <c r="F1694" s="50" t="n">
        <f aca="false">'Z6 Nkangamo-Uhuru'!S18-'Z6 Nkangamo-Uhuru'!P18*C1694/'Z6 Nkangamo-Uhuru'!G18</f>
        <v>1722.47072162183</v>
      </c>
      <c r="G1694" s="51" t="n">
        <f aca="false">'Z6 Nkangamo-Uhuru'!$B$8-E1694</f>
        <v>14.78</v>
      </c>
      <c r="H1694" s="52" t="n">
        <f aca="false">F1694-E1694</f>
        <v>30.7507216218305</v>
      </c>
      <c r="I1694" s="52" t="n">
        <f aca="false">MAX(H1694,G1694)</f>
        <v>30.7507216218305</v>
      </c>
      <c r="J1694" s="4" t="str">
        <f aca="false">IFERROR("PN"&amp;SMALL(PN_list,COUNTIF(PN_list,"&lt;"&amp;I1694*bar_per_m)+1),"&gt; max PN")</f>
        <v>PN10</v>
      </c>
      <c r="K1694" s="4" t="str">
        <f aca="false">IF(L1694="no","end at tank",IF(H1694&lt;0,"NEGATIVE",IF(H1694&lt;p_min-0.005,"low","OK")))</f>
        <v>OK</v>
      </c>
      <c r="L1694" s="4" t="s">
        <v>414</v>
      </c>
    </row>
    <row r="1695" customFormat="false" ht="15" hidden="false" customHeight="false" outlineLevel="0" collapsed="false">
      <c r="A1695" s="4" t="s">
        <v>44</v>
      </c>
      <c r="B1695" s="4" t="s">
        <v>373</v>
      </c>
      <c r="C1695" s="47" t="n">
        <v>10136.21</v>
      </c>
      <c r="D1695" s="48" t="n">
        <v>1693.16</v>
      </c>
      <c r="E1695" s="49" t="n">
        <f aca="false">D1695-cover</f>
        <v>1691.96</v>
      </c>
      <c r="F1695" s="50" t="n">
        <f aca="false">'Z6 Nkangamo-Uhuru'!S18-'Z6 Nkangamo-Uhuru'!P18*C1695/'Z6 Nkangamo-Uhuru'!G18</f>
        <v>1722.43956831888</v>
      </c>
      <c r="G1695" s="51" t="n">
        <f aca="false">'Z6 Nkangamo-Uhuru'!$B$8-E1695</f>
        <v>14.54</v>
      </c>
      <c r="H1695" s="52" t="n">
        <f aca="false">F1695-E1695</f>
        <v>30.4795683188838</v>
      </c>
      <c r="I1695" s="52" t="n">
        <f aca="false">MAX(H1695,G1695)</f>
        <v>30.4795683188838</v>
      </c>
      <c r="J1695" s="4" t="str">
        <f aca="false">IFERROR("PN"&amp;SMALL(PN_list,COUNTIF(PN_list,"&lt;"&amp;I1695*bar_per_m)+1),"&gt; max PN")</f>
        <v>PN10</v>
      </c>
      <c r="K1695" s="4" t="str">
        <f aca="false">IF(L1695="no","end at tank",IF(H1695&lt;0,"NEGATIVE",IF(H1695&lt;p_min-0.005,"low","OK")))</f>
        <v>OK</v>
      </c>
      <c r="L1695" s="4" t="s">
        <v>414</v>
      </c>
    </row>
    <row r="1696" customFormat="false" ht="15" hidden="false" customHeight="false" outlineLevel="0" collapsed="false">
      <c r="A1696" s="4" t="s">
        <v>44</v>
      </c>
      <c r="B1696" s="4" t="s">
        <v>373</v>
      </c>
      <c r="C1696" s="47" t="n">
        <v>10156.21</v>
      </c>
      <c r="D1696" s="48" t="n">
        <v>1693.61</v>
      </c>
      <c r="E1696" s="49" t="n">
        <f aca="false">D1696-cover</f>
        <v>1692.41</v>
      </c>
      <c r="F1696" s="50" t="n">
        <f aca="false">'Z6 Nkangamo-Uhuru'!S18-'Z6 Nkangamo-Uhuru'!P18*C1696/'Z6 Nkangamo-Uhuru'!G18</f>
        <v>1722.40841501594</v>
      </c>
      <c r="G1696" s="51" t="n">
        <f aca="false">'Z6 Nkangamo-Uhuru'!$B$8-E1696</f>
        <v>14.0900000000001</v>
      </c>
      <c r="H1696" s="52" t="n">
        <f aca="false">F1696-E1696</f>
        <v>29.9984150159371</v>
      </c>
      <c r="I1696" s="52" t="n">
        <f aca="false">MAX(H1696,G1696)</f>
        <v>29.9984150159371</v>
      </c>
      <c r="J1696" s="4" t="str">
        <f aca="false">IFERROR("PN"&amp;SMALL(PN_list,COUNTIF(PN_list,"&lt;"&amp;I1696*bar_per_m)+1),"&gt; max PN")</f>
        <v>PN10</v>
      </c>
      <c r="K1696" s="4" t="str">
        <f aca="false">IF(L1696="no","end at tank",IF(H1696&lt;0,"NEGATIVE",IF(H1696&lt;p_min-0.005,"low","OK")))</f>
        <v>OK</v>
      </c>
      <c r="L1696" s="4" t="s">
        <v>414</v>
      </c>
    </row>
    <row r="1697" customFormat="false" ht="15" hidden="false" customHeight="false" outlineLevel="0" collapsed="false">
      <c r="A1697" s="4" t="s">
        <v>44</v>
      </c>
      <c r="B1697" s="4" t="s">
        <v>373</v>
      </c>
      <c r="C1697" s="47" t="n">
        <v>10176.23</v>
      </c>
      <c r="D1697" s="48" t="n">
        <v>1694.36</v>
      </c>
      <c r="E1697" s="49" t="n">
        <f aca="false">D1697-cover</f>
        <v>1693.16</v>
      </c>
      <c r="F1697" s="50" t="n">
        <f aca="false">'Z6 Nkangamo-Uhuru'!S18-'Z6 Nkangamo-Uhuru'!P18*C1697/'Z6 Nkangamo-Uhuru'!G18</f>
        <v>1722.37723055969</v>
      </c>
      <c r="G1697" s="51" t="n">
        <f aca="false">'Z6 Nkangamo-Uhuru'!$B$8-E1697</f>
        <v>13.3400000000001</v>
      </c>
      <c r="H1697" s="52" t="n">
        <f aca="false">F1697-E1697</f>
        <v>29.2172305596873</v>
      </c>
      <c r="I1697" s="52" t="n">
        <f aca="false">MAX(H1697,G1697)</f>
        <v>29.2172305596873</v>
      </c>
      <c r="J1697" s="4" t="str">
        <f aca="false">IFERROR("PN"&amp;SMALL(PN_list,COUNTIF(PN_list,"&lt;"&amp;I1697*bar_per_m)+1),"&gt; max PN")</f>
        <v>PN10</v>
      </c>
      <c r="K1697" s="4" t="str">
        <f aca="false">IF(L1697="no","end at tank",IF(H1697&lt;0,"NEGATIVE",IF(H1697&lt;p_min-0.005,"low","OK")))</f>
        <v>OK</v>
      </c>
      <c r="L1697" s="4" t="s">
        <v>414</v>
      </c>
    </row>
    <row r="1698" customFormat="false" ht="15" hidden="false" customHeight="false" outlineLevel="0" collapsed="false">
      <c r="A1698" s="4" t="s">
        <v>44</v>
      </c>
      <c r="B1698" s="4" t="s">
        <v>373</v>
      </c>
      <c r="C1698" s="47" t="n">
        <v>10196.23</v>
      </c>
      <c r="D1698" s="48" t="n">
        <v>1694.34</v>
      </c>
      <c r="E1698" s="49" t="n">
        <f aca="false">D1698-cover</f>
        <v>1693.14</v>
      </c>
      <c r="F1698" s="50" t="n">
        <f aca="false">'Z6 Nkangamo-Uhuru'!S18-'Z6 Nkangamo-Uhuru'!P18*C1698/'Z6 Nkangamo-Uhuru'!G18</f>
        <v>1722.34607725674</v>
      </c>
      <c r="G1698" s="51" t="n">
        <f aca="false">'Z6 Nkangamo-Uhuru'!$B$8-E1698</f>
        <v>13.3600000000001</v>
      </c>
      <c r="H1698" s="52" t="n">
        <f aca="false">F1698-E1698</f>
        <v>29.2060772567404</v>
      </c>
      <c r="I1698" s="52" t="n">
        <f aca="false">MAX(H1698,G1698)</f>
        <v>29.2060772567404</v>
      </c>
      <c r="J1698" s="4" t="str">
        <f aca="false">IFERROR("PN"&amp;SMALL(PN_list,COUNTIF(PN_list,"&lt;"&amp;I1698*bar_per_m)+1),"&gt; max PN")</f>
        <v>PN10</v>
      </c>
      <c r="K1698" s="4" t="str">
        <f aca="false">IF(L1698="no","end at tank",IF(H1698&lt;0,"NEGATIVE",IF(H1698&lt;p_min-0.005,"low","OK")))</f>
        <v>OK</v>
      </c>
      <c r="L1698" s="4" t="s">
        <v>414</v>
      </c>
    </row>
    <row r="1699" customFormat="false" ht="15" hidden="false" customHeight="false" outlineLevel="0" collapsed="false">
      <c r="A1699" s="4" t="s">
        <v>44</v>
      </c>
      <c r="B1699" s="4" t="s">
        <v>373</v>
      </c>
      <c r="C1699" s="47" t="n">
        <v>10216.23</v>
      </c>
      <c r="D1699" s="48" t="n">
        <v>1694.46</v>
      </c>
      <c r="E1699" s="49" t="n">
        <f aca="false">D1699-cover</f>
        <v>1693.26</v>
      </c>
      <c r="F1699" s="50" t="n">
        <f aca="false">'Z6 Nkangamo-Uhuru'!S18-'Z6 Nkangamo-Uhuru'!P18*C1699/'Z6 Nkangamo-Uhuru'!G18</f>
        <v>1722.31492395379</v>
      </c>
      <c r="G1699" s="51" t="n">
        <f aca="false">'Z6 Nkangamo-Uhuru'!$B$8-E1699</f>
        <v>13.24</v>
      </c>
      <c r="H1699" s="52" t="n">
        <f aca="false">F1699-E1699</f>
        <v>29.0549239537936</v>
      </c>
      <c r="I1699" s="52" t="n">
        <f aca="false">MAX(H1699,G1699)</f>
        <v>29.0549239537936</v>
      </c>
      <c r="J1699" s="4" t="str">
        <f aca="false">IFERROR("PN"&amp;SMALL(PN_list,COUNTIF(PN_list,"&lt;"&amp;I1699*bar_per_m)+1),"&gt; max PN")</f>
        <v>PN10</v>
      </c>
      <c r="K1699" s="4" t="str">
        <f aca="false">IF(L1699="no","end at tank",IF(H1699&lt;0,"NEGATIVE",IF(H1699&lt;p_min-0.005,"low","OK")))</f>
        <v>OK</v>
      </c>
      <c r="L1699" s="4" t="s">
        <v>414</v>
      </c>
    </row>
    <row r="1700" customFormat="false" ht="15" hidden="false" customHeight="false" outlineLevel="0" collapsed="false">
      <c r="A1700" s="4" t="s">
        <v>44</v>
      </c>
      <c r="B1700" s="4" t="s">
        <v>373</v>
      </c>
      <c r="C1700" s="47" t="n">
        <v>10236.23</v>
      </c>
      <c r="D1700" s="48" t="n">
        <v>1694.77</v>
      </c>
      <c r="E1700" s="49" t="n">
        <f aca="false">D1700-cover</f>
        <v>1693.57</v>
      </c>
      <c r="F1700" s="50" t="n">
        <f aca="false">'Z6 Nkangamo-Uhuru'!S18-'Z6 Nkangamo-Uhuru'!P18*C1700/'Z6 Nkangamo-Uhuru'!G18</f>
        <v>1722.28377065085</v>
      </c>
      <c r="G1700" s="51" t="n">
        <f aca="false">'Z6 Nkangamo-Uhuru'!$B$8-E1700</f>
        <v>12.9300000000001</v>
      </c>
      <c r="H1700" s="52" t="n">
        <f aca="false">F1700-E1700</f>
        <v>28.7137706508468</v>
      </c>
      <c r="I1700" s="52" t="n">
        <f aca="false">MAX(H1700,G1700)</f>
        <v>28.7137706508468</v>
      </c>
      <c r="J1700" s="4" t="str">
        <f aca="false">IFERROR("PN"&amp;SMALL(PN_list,COUNTIF(PN_list,"&lt;"&amp;I1700*bar_per_m)+1),"&gt; max PN")</f>
        <v>PN10</v>
      </c>
      <c r="K1700" s="4" t="str">
        <f aca="false">IF(L1700="no","end at tank",IF(H1700&lt;0,"NEGATIVE",IF(H1700&lt;p_min-0.005,"low","OK")))</f>
        <v>OK</v>
      </c>
      <c r="L1700" s="4" t="s">
        <v>414</v>
      </c>
    </row>
    <row r="1701" customFormat="false" ht="15" hidden="false" customHeight="false" outlineLevel="0" collapsed="false">
      <c r="A1701" s="4" t="s">
        <v>44</v>
      </c>
      <c r="B1701" s="4" t="s">
        <v>373</v>
      </c>
      <c r="C1701" s="47" t="n">
        <v>10256.23</v>
      </c>
      <c r="D1701" s="48" t="n">
        <v>1694.99</v>
      </c>
      <c r="E1701" s="49" t="n">
        <f aca="false">D1701-cover</f>
        <v>1693.79</v>
      </c>
      <c r="F1701" s="50" t="n">
        <f aca="false">'Z6 Nkangamo-Uhuru'!S18-'Z6 Nkangamo-Uhuru'!P18*C1701/'Z6 Nkangamo-Uhuru'!G18</f>
        <v>1722.2526173479</v>
      </c>
      <c r="G1701" s="51" t="n">
        <f aca="false">'Z6 Nkangamo-Uhuru'!$B$8-E1701</f>
        <v>12.71</v>
      </c>
      <c r="H1701" s="52" t="n">
        <f aca="false">F1701-E1701</f>
        <v>28.4626173478998</v>
      </c>
      <c r="I1701" s="52" t="n">
        <f aca="false">MAX(H1701,G1701)</f>
        <v>28.4626173478998</v>
      </c>
      <c r="J1701" s="4" t="str">
        <f aca="false">IFERROR("PN"&amp;SMALL(PN_list,COUNTIF(PN_list,"&lt;"&amp;I1701*bar_per_m)+1),"&gt; max PN")</f>
        <v>PN10</v>
      </c>
      <c r="K1701" s="4" t="str">
        <f aca="false">IF(L1701="no","end at tank",IF(H1701&lt;0,"NEGATIVE",IF(H1701&lt;p_min-0.005,"low","OK")))</f>
        <v>OK</v>
      </c>
      <c r="L1701" s="4" t="s">
        <v>414</v>
      </c>
    </row>
    <row r="1702" customFormat="false" ht="15" hidden="false" customHeight="false" outlineLevel="0" collapsed="false">
      <c r="A1702" s="4" t="s">
        <v>44</v>
      </c>
      <c r="B1702" s="4" t="s">
        <v>373</v>
      </c>
      <c r="C1702" s="47" t="n">
        <v>10276.24</v>
      </c>
      <c r="D1702" s="48" t="n">
        <v>1695.48</v>
      </c>
      <c r="E1702" s="49" t="n">
        <f aca="false">D1702-cover</f>
        <v>1694.28</v>
      </c>
      <c r="F1702" s="50" t="n">
        <f aca="false">'Z6 Nkangamo-Uhuru'!S18-'Z6 Nkangamo-Uhuru'!P18*C1702/'Z6 Nkangamo-Uhuru'!G18</f>
        <v>1722.2214484683</v>
      </c>
      <c r="G1702" s="51" t="n">
        <f aca="false">'Z6 Nkangamo-Uhuru'!$B$8-E1702</f>
        <v>12.22</v>
      </c>
      <c r="H1702" s="52" t="n">
        <f aca="false">F1702-E1702</f>
        <v>27.9414484683016</v>
      </c>
      <c r="I1702" s="52" t="n">
        <f aca="false">MAX(H1702,G1702)</f>
        <v>27.9414484683016</v>
      </c>
      <c r="J1702" s="4" t="str">
        <f aca="false">IFERROR("PN"&amp;SMALL(PN_list,COUNTIF(PN_list,"&lt;"&amp;I1702*bar_per_m)+1),"&gt; max PN")</f>
        <v>PN10</v>
      </c>
      <c r="K1702" s="4" t="str">
        <f aca="false">IF(L1702="no","end at tank",IF(H1702&lt;0,"NEGATIVE",IF(H1702&lt;p_min-0.005,"low","OK")))</f>
        <v>OK</v>
      </c>
      <c r="L1702" s="4" t="s">
        <v>414</v>
      </c>
    </row>
    <row r="1703" customFormat="false" ht="15" hidden="false" customHeight="false" outlineLevel="0" collapsed="false">
      <c r="A1703" s="4" t="s">
        <v>44</v>
      </c>
      <c r="B1703" s="4" t="s">
        <v>373</v>
      </c>
      <c r="C1703" s="47" t="n">
        <v>10296.24</v>
      </c>
      <c r="D1703" s="48" t="n">
        <v>1695.75</v>
      </c>
      <c r="E1703" s="49" t="n">
        <f aca="false">D1703-cover</f>
        <v>1694.55</v>
      </c>
      <c r="F1703" s="50" t="n">
        <f aca="false">'Z6 Nkangamo-Uhuru'!S18-'Z6 Nkangamo-Uhuru'!P18*C1703/'Z6 Nkangamo-Uhuru'!G18</f>
        <v>1722.19029516535</v>
      </c>
      <c r="G1703" s="51" t="n">
        <f aca="false">'Z6 Nkangamo-Uhuru'!$B$8-E1703</f>
        <v>11.95</v>
      </c>
      <c r="H1703" s="52" t="n">
        <f aca="false">F1703-E1703</f>
        <v>27.6402951653547</v>
      </c>
      <c r="I1703" s="52" t="n">
        <f aca="false">MAX(H1703,G1703)</f>
        <v>27.6402951653547</v>
      </c>
      <c r="J1703" s="4" t="str">
        <f aca="false">IFERROR("PN"&amp;SMALL(PN_list,COUNTIF(PN_list,"&lt;"&amp;I1703*bar_per_m)+1),"&gt; max PN")</f>
        <v>PN10</v>
      </c>
      <c r="K1703" s="4" t="str">
        <f aca="false">IF(L1703="no","end at tank",IF(H1703&lt;0,"NEGATIVE",IF(H1703&lt;p_min-0.005,"low","OK")))</f>
        <v>OK</v>
      </c>
      <c r="L1703" s="4" t="s">
        <v>414</v>
      </c>
    </row>
    <row r="1704" customFormat="false" ht="15" hidden="false" customHeight="false" outlineLevel="0" collapsed="false">
      <c r="A1704" s="4" t="s">
        <v>44</v>
      </c>
      <c r="B1704" s="4" t="s">
        <v>373</v>
      </c>
      <c r="C1704" s="47" t="n">
        <v>10316.24</v>
      </c>
      <c r="D1704" s="48" t="n">
        <v>1695.99</v>
      </c>
      <c r="E1704" s="49" t="n">
        <f aca="false">D1704-cover</f>
        <v>1694.79</v>
      </c>
      <c r="F1704" s="50" t="n">
        <f aca="false">'Z6 Nkangamo-Uhuru'!S18-'Z6 Nkangamo-Uhuru'!P18*C1704/'Z6 Nkangamo-Uhuru'!G18</f>
        <v>1722.15914186241</v>
      </c>
      <c r="G1704" s="51" t="n">
        <f aca="false">'Z6 Nkangamo-Uhuru'!$B$8-E1704</f>
        <v>11.71</v>
      </c>
      <c r="H1704" s="52" t="n">
        <f aca="false">F1704-E1704</f>
        <v>27.369141862408</v>
      </c>
      <c r="I1704" s="52" t="n">
        <f aca="false">MAX(H1704,G1704)</f>
        <v>27.369141862408</v>
      </c>
      <c r="J1704" s="4" t="str">
        <f aca="false">IFERROR("PN"&amp;SMALL(PN_list,COUNTIF(PN_list,"&lt;"&amp;I1704*bar_per_m)+1),"&gt; max PN")</f>
        <v>PN10</v>
      </c>
      <c r="K1704" s="4" t="str">
        <f aca="false">IF(L1704="no","end at tank",IF(H1704&lt;0,"NEGATIVE",IF(H1704&lt;p_min-0.005,"low","OK")))</f>
        <v>OK</v>
      </c>
      <c r="L1704" s="4" t="s">
        <v>414</v>
      </c>
    </row>
    <row r="1705" customFormat="false" ht="15" hidden="false" customHeight="false" outlineLevel="0" collapsed="false">
      <c r="A1705" s="4" t="s">
        <v>44</v>
      </c>
      <c r="B1705" s="4" t="s">
        <v>373</v>
      </c>
      <c r="C1705" s="47" t="n">
        <v>10336.24</v>
      </c>
      <c r="D1705" s="48" t="n">
        <v>1696.11</v>
      </c>
      <c r="E1705" s="49" t="n">
        <f aca="false">D1705-cover</f>
        <v>1694.91</v>
      </c>
      <c r="F1705" s="50" t="n">
        <f aca="false">'Z6 Nkangamo-Uhuru'!S18-'Z6 Nkangamo-Uhuru'!P18*C1705/'Z6 Nkangamo-Uhuru'!G18</f>
        <v>1722.12798855946</v>
      </c>
      <c r="G1705" s="51" t="n">
        <f aca="false">'Z6 Nkangamo-Uhuru'!$B$8-E1705</f>
        <v>11.5900000000001</v>
      </c>
      <c r="H1705" s="52" t="n">
        <f aca="false">F1705-E1705</f>
        <v>27.2179885594612</v>
      </c>
      <c r="I1705" s="52" t="n">
        <f aca="false">MAX(H1705,G1705)</f>
        <v>27.2179885594612</v>
      </c>
      <c r="J1705" s="4" t="str">
        <f aca="false">IFERROR("PN"&amp;SMALL(PN_list,COUNTIF(PN_list,"&lt;"&amp;I1705*bar_per_m)+1),"&gt; max PN")</f>
        <v>PN10</v>
      </c>
      <c r="K1705" s="4" t="str">
        <f aca="false">IF(L1705="no","end at tank",IF(H1705&lt;0,"NEGATIVE",IF(H1705&lt;p_min-0.005,"low","OK")))</f>
        <v>OK</v>
      </c>
      <c r="L1705" s="4" t="s">
        <v>414</v>
      </c>
    </row>
    <row r="1706" customFormat="false" ht="15" hidden="false" customHeight="false" outlineLevel="0" collapsed="false">
      <c r="A1706" s="4" t="s">
        <v>44</v>
      </c>
      <c r="B1706" s="4" t="s">
        <v>373</v>
      </c>
      <c r="C1706" s="47" t="n">
        <v>10356.24</v>
      </c>
      <c r="D1706" s="48" t="n">
        <v>1696.41</v>
      </c>
      <c r="E1706" s="49" t="n">
        <f aca="false">D1706-cover</f>
        <v>1695.21</v>
      </c>
      <c r="F1706" s="50" t="n">
        <f aca="false">'Z6 Nkangamo-Uhuru'!S18-'Z6 Nkangamo-Uhuru'!P18*C1706/'Z6 Nkangamo-Uhuru'!G18</f>
        <v>1722.09683525651</v>
      </c>
      <c r="G1706" s="51" t="n">
        <f aca="false">'Z6 Nkangamo-Uhuru'!$B$8-E1706</f>
        <v>11.29</v>
      </c>
      <c r="H1706" s="52" t="n">
        <f aca="false">F1706-E1706</f>
        <v>26.8868352565141</v>
      </c>
      <c r="I1706" s="52" t="n">
        <f aca="false">MAX(H1706,G1706)</f>
        <v>26.8868352565141</v>
      </c>
      <c r="J1706" s="4" t="str">
        <f aca="false">IFERROR("PN"&amp;SMALL(PN_list,COUNTIF(PN_list,"&lt;"&amp;I1706*bar_per_m)+1),"&gt; max PN")</f>
        <v>PN10</v>
      </c>
      <c r="K1706" s="4" t="str">
        <f aca="false">IF(L1706="no","end at tank",IF(H1706&lt;0,"NEGATIVE",IF(H1706&lt;p_min-0.005,"low","OK")))</f>
        <v>OK</v>
      </c>
      <c r="L1706" s="4" t="s">
        <v>414</v>
      </c>
    </row>
    <row r="1707" customFormat="false" ht="15" hidden="false" customHeight="false" outlineLevel="0" collapsed="false">
      <c r="A1707" s="4" t="s">
        <v>44</v>
      </c>
      <c r="B1707" s="4" t="s">
        <v>373</v>
      </c>
      <c r="C1707" s="47" t="n">
        <v>10376.24</v>
      </c>
      <c r="D1707" s="48" t="n">
        <v>1696.14</v>
      </c>
      <c r="E1707" s="49" t="n">
        <f aca="false">D1707-cover</f>
        <v>1694.94</v>
      </c>
      <c r="F1707" s="50" t="n">
        <f aca="false">'Z6 Nkangamo-Uhuru'!S18-'Z6 Nkangamo-Uhuru'!P18*C1707/'Z6 Nkangamo-Uhuru'!G18</f>
        <v>1722.06568195357</v>
      </c>
      <c r="G1707" s="51" t="n">
        <f aca="false">'Z6 Nkangamo-Uhuru'!$B$8-E1707</f>
        <v>11.5599999999999</v>
      </c>
      <c r="H1707" s="52" t="n">
        <f aca="false">F1707-E1707</f>
        <v>27.1256819535674</v>
      </c>
      <c r="I1707" s="52" t="n">
        <f aca="false">MAX(H1707,G1707)</f>
        <v>27.1256819535674</v>
      </c>
      <c r="J1707" s="4" t="str">
        <f aca="false">IFERROR("PN"&amp;SMALL(PN_list,COUNTIF(PN_list,"&lt;"&amp;I1707*bar_per_m)+1),"&gt; max PN")</f>
        <v>PN10</v>
      </c>
      <c r="K1707" s="4" t="str">
        <f aca="false">IF(L1707="no","end at tank",IF(H1707&lt;0,"NEGATIVE",IF(H1707&lt;p_min-0.005,"low","OK")))</f>
        <v>OK</v>
      </c>
      <c r="L1707" s="4" t="s">
        <v>414</v>
      </c>
    </row>
    <row r="1708" customFormat="false" ht="15" hidden="false" customHeight="false" outlineLevel="0" collapsed="false">
      <c r="A1708" s="4" t="s">
        <v>44</v>
      </c>
      <c r="B1708" s="4" t="s">
        <v>373</v>
      </c>
      <c r="C1708" s="47" t="n">
        <v>10396.24</v>
      </c>
      <c r="D1708" s="48" t="n">
        <v>1696.28</v>
      </c>
      <c r="E1708" s="49" t="n">
        <f aca="false">D1708-cover</f>
        <v>1695.08</v>
      </c>
      <c r="F1708" s="50" t="n">
        <f aca="false">'Z6 Nkangamo-Uhuru'!S18-'Z6 Nkangamo-Uhuru'!P18*C1708/'Z6 Nkangamo-Uhuru'!G18</f>
        <v>1722.03452865062</v>
      </c>
      <c r="G1708" s="51" t="n">
        <f aca="false">'Z6 Nkangamo-Uhuru'!$B$8-E1708</f>
        <v>11.4200000000001</v>
      </c>
      <c r="H1708" s="52" t="n">
        <f aca="false">F1708-E1708</f>
        <v>26.9545286506207</v>
      </c>
      <c r="I1708" s="52" t="n">
        <f aca="false">MAX(H1708,G1708)</f>
        <v>26.9545286506207</v>
      </c>
      <c r="J1708" s="4" t="str">
        <f aca="false">IFERROR("PN"&amp;SMALL(PN_list,COUNTIF(PN_list,"&lt;"&amp;I1708*bar_per_m)+1),"&gt; max PN")</f>
        <v>PN10</v>
      </c>
      <c r="K1708" s="4" t="str">
        <f aca="false">IF(L1708="no","end at tank",IF(H1708&lt;0,"NEGATIVE",IF(H1708&lt;p_min-0.005,"low","OK")))</f>
        <v>OK</v>
      </c>
      <c r="L1708" s="4" t="s">
        <v>414</v>
      </c>
    </row>
    <row r="1709" customFormat="false" ht="15" hidden="false" customHeight="false" outlineLevel="0" collapsed="false">
      <c r="A1709" s="4" t="s">
        <v>44</v>
      </c>
      <c r="B1709" s="4" t="s">
        <v>373</v>
      </c>
      <c r="C1709" s="47" t="n">
        <v>10416.24</v>
      </c>
      <c r="D1709" s="48" t="n">
        <v>1696.24</v>
      </c>
      <c r="E1709" s="49" t="n">
        <f aca="false">D1709-cover</f>
        <v>1695.04</v>
      </c>
      <c r="F1709" s="50" t="n">
        <f aca="false">'Z6 Nkangamo-Uhuru'!S18-'Z6 Nkangamo-Uhuru'!P18*C1709/'Z6 Nkangamo-Uhuru'!G18</f>
        <v>1722.00337534767</v>
      </c>
      <c r="G1709" s="51" t="n">
        <f aca="false">'Z6 Nkangamo-Uhuru'!$B$8-E1709</f>
        <v>11.46</v>
      </c>
      <c r="H1709" s="52" t="n">
        <f aca="false">F1709-E1709</f>
        <v>26.9633753476737</v>
      </c>
      <c r="I1709" s="52" t="n">
        <f aca="false">MAX(H1709,G1709)</f>
        <v>26.9633753476737</v>
      </c>
      <c r="J1709" s="4" t="str">
        <f aca="false">IFERROR("PN"&amp;SMALL(PN_list,COUNTIF(PN_list,"&lt;"&amp;I1709*bar_per_m)+1),"&gt; max PN")</f>
        <v>PN10</v>
      </c>
      <c r="K1709" s="4" t="str">
        <f aca="false">IF(L1709="no","end at tank",IF(H1709&lt;0,"NEGATIVE",IF(H1709&lt;p_min-0.005,"low","OK")))</f>
        <v>OK</v>
      </c>
      <c r="L1709" s="4" t="s">
        <v>414</v>
      </c>
    </row>
    <row r="1710" customFormat="false" ht="15" hidden="false" customHeight="false" outlineLevel="0" collapsed="false">
      <c r="A1710" s="4" t="s">
        <v>44</v>
      </c>
      <c r="B1710" s="4" t="s">
        <v>373</v>
      </c>
      <c r="C1710" s="47" t="n">
        <v>10436.25</v>
      </c>
      <c r="D1710" s="48" t="n">
        <v>1696.52</v>
      </c>
      <c r="E1710" s="49" t="n">
        <f aca="false">D1710-cover</f>
        <v>1695.32</v>
      </c>
      <c r="F1710" s="50" t="n">
        <f aca="false">'Z6 Nkangamo-Uhuru'!S18-'Z6 Nkangamo-Uhuru'!P18*C1710/'Z6 Nkangamo-Uhuru'!G18</f>
        <v>1721.97220646808</v>
      </c>
      <c r="G1710" s="51" t="n">
        <f aca="false">'Z6 Nkangamo-Uhuru'!$B$8-E1710</f>
        <v>11.1800000000001</v>
      </c>
      <c r="H1710" s="52" t="n">
        <f aca="false">F1710-E1710</f>
        <v>26.6522064680755</v>
      </c>
      <c r="I1710" s="52" t="n">
        <f aca="false">MAX(H1710,G1710)</f>
        <v>26.6522064680755</v>
      </c>
      <c r="J1710" s="4" t="str">
        <f aca="false">IFERROR("PN"&amp;SMALL(PN_list,COUNTIF(PN_list,"&lt;"&amp;I1710*bar_per_m)+1),"&gt; max PN")</f>
        <v>PN10</v>
      </c>
      <c r="K1710" s="4" t="str">
        <f aca="false">IF(L1710="no","end at tank",IF(H1710&lt;0,"NEGATIVE",IF(H1710&lt;p_min-0.005,"low","OK")))</f>
        <v>OK</v>
      </c>
      <c r="L1710" s="4" t="s">
        <v>414</v>
      </c>
    </row>
    <row r="1711" customFormat="false" ht="15" hidden="false" customHeight="false" outlineLevel="0" collapsed="false">
      <c r="A1711" s="4" t="s">
        <v>44</v>
      </c>
      <c r="B1711" s="4" t="s">
        <v>373</v>
      </c>
      <c r="C1711" s="47" t="n">
        <v>10456.25</v>
      </c>
      <c r="D1711" s="48" t="n">
        <v>1696.39</v>
      </c>
      <c r="E1711" s="49" t="n">
        <f aca="false">D1711-cover</f>
        <v>1695.19</v>
      </c>
      <c r="F1711" s="50" t="n">
        <f aca="false">'Z6 Nkangamo-Uhuru'!S18-'Z6 Nkangamo-Uhuru'!P18*C1711/'Z6 Nkangamo-Uhuru'!G18</f>
        <v>1721.94105316513</v>
      </c>
      <c r="G1711" s="51" t="n">
        <f aca="false">'Z6 Nkangamo-Uhuru'!$B$8-E1711</f>
        <v>11.3099999999999</v>
      </c>
      <c r="H1711" s="52" t="n">
        <f aca="false">F1711-E1711</f>
        <v>26.7510531651285</v>
      </c>
      <c r="I1711" s="52" t="n">
        <f aca="false">MAX(H1711,G1711)</f>
        <v>26.7510531651285</v>
      </c>
      <c r="J1711" s="4" t="str">
        <f aca="false">IFERROR("PN"&amp;SMALL(PN_list,COUNTIF(PN_list,"&lt;"&amp;I1711*bar_per_m)+1),"&gt; max PN")</f>
        <v>PN10</v>
      </c>
      <c r="K1711" s="4" t="str">
        <f aca="false">IF(L1711="no","end at tank",IF(H1711&lt;0,"NEGATIVE",IF(H1711&lt;p_min-0.005,"low","OK")))</f>
        <v>OK</v>
      </c>
      <c r="L1711" s="4" t="s">
        <v>414</v>
      </c>
    </row>
    <row r="1712" customFormat="false" ht="15" hidden="false" customHeight="false" outlineLevel="0" collapsed="false">
      <c r="A1712" s="4" t="s">
        <v>44</v>
      </c>
      <c r="B1712" s="4" t="s">
        <v>373</v>
      </c>
      <c r="C1712" s="47" t="n">
        <v>10476.25</v>
      </c>
      <c r="D1712" s="48" t="n">
        <v>1696.14</v>
      </c>
      <c r="E1712" s="49" t="n">
        <f aca="false">D1712-cover</f>
        <v>1694.94</v>
      </c>
      <c r="F1712" s="50" t="n">
        <f aca="false">'Z6 Nkangamo-Uhuru'!S18-'Z6 Nkangamo-Uhuru'!P18*C1712/'Z6 Nkangamo-Uhuru'!G18</f>
        <v>1721.90989986218</v>
      </c>
      <c r="G1712" s="51" t="n">
        <f aca="false">'Z6 Nkangamo-Uhuru'!$B$8-E1712</f>
        <v>11.5599999999999</v>
      </c>
      <c r="H1712" s="52" t="n">
        <f aca="false">F1712-E1712</f>
        <v>26.9698998621818</v>
      </c>
      <c r="I1712" s="52" t="n">
        <f aca="false">MAX(H1712,G1712)</f>
        <v>26.9698998621818</v>
      </c>
      <c r="J1712" s="4" t="str">
        <f aca="false">IFERROR("PN"&amp;SMALL(PN_list,COUNTIF(PN_list,"&lt;"&amp;I1712*bar_per_m)+1),"&gt; max PN")</f>
        <v>PN10</v>
      </c>
      <c r="K1712" s="4" t="str">
        <f aca="false">IF(L1712="no","end at tank",IF(H1712&lt;0,"NEGATIVE",IF(H1712&lt;p_min-0.005,"low","OK")))</f>
        <v>OK</v>
      </c>
      <c r="L1712" s="4" t="s">
        <v>414</v>
      </c>
    </row>
    <row r="1713" customFormat="false" ht="15" hidden="false" customHeight="false" outlineLevel="0" collapsed="false">
      <c r="A1713" s="4" t="s">
        <v>44</v>
      </c>
      <c r="B1713" s="4" t="s">
        <v>373</v>
      </c>
      <c r="C1713" s="47" t="n">
        <v>10496.25</v>
      </c>
      <c r="D1713" s="48" t="n">
        <v>1696.12</v>
      </c>
      <c r="E1713" s="49" t="n">
        <f aca="false">D1713-cover</f>
        <v>1694.92</v>
      </c>
      <c r="F1713" s="50" t="n">
        <f aca="false">'Z6 Nkangamo-Uhuru'!S18-'Z6 Nkangamo-Uhuru'!P18*C1713/'Z6 Nkangamo-Uhuru'!G18</f>
        <v>1721.87874655924</v>
      </c>
      <c r="G1713" s="51" t="n">
        <f aca="false">'Z6 Nkangamo-Uhuru'!$B$8-E1713</f>
        <v>11.5800000000002</v>
      </c>
      <c r="H1713" s="52" t="n">
        <f aca="false">F1713-E1713</f>
        <v>26.9587465592351</v>
      </c>
      <c r="I1713" s="52" t="n">
        <f aca="false">MAX(H1713,G1713)</f>
        <v>26.9587465592351</v>
      </c>
      <c r="J1713" s="4" t="str">
        <f aca="false">IFERROR("PN"&amp;SMALL(PN_list,COUNTIF(PN_list,"&lt;"&amp;I1713*bar_per_m)+1),"&gt; max PN")</f>
        <v>PN10</v>
      </c>
      <c r="K1713" s="4" t="str">
        <f aca="false">IF(L1713="no","end at tank",IF(H1713&lt;0,"NEGATIVE",IF(H1713&lt;p_min-0.005,"low","OK")))</f>
        <v>OK</v>
      </c>
      <c r="L1713" s="4" t="s">
        <v>414</v>
      </c>
    </row>
    <row r="1714" customFormat="false" ht="15" hidden="false" customHeight="false" outlineLevel="0" collapsed="false">
      <c r="A1714" s="4" t="s">
        <v>44</v>
      </c>
      <c r="B1714" s="4" t="s">
        <v>373</v>
      </c>
      <c r="C1714" s="47" t="n">
        <v>10516.25</v>
      </c>
      <c r="D1714" s="48" t="n">
        <v>1696.03</v>
      </c>
      <c r="E1714" s="49" t="n">
        <f aca="false">D1714-cover</f>
        <v>1694.83</v>
      </c>
      <c r="F1714" s="50" t="n">
        <f aca="false">'Z6 Nkangamo-Uhuru'!S18-'Z6 Nkangamo-Uhuru'!P18*C1714/'Z6 Nkangamo-Uhuru'!G18</f>
        <v>1721.84759325629</v>
      </c>
      <c r="G1714" s="51" t="n">
        <f aca="false">'Z6 Nkangamo-Uhuru'!$B$8-E1714</f>
        <v>11.6700000000001</v>
      </c>
      <c r="H1714" s="52" t="n">
        <f aca="false">F1714-E1714</f>
        <v>27.0175932562881</v>
      </c>
      <c r="I1714" s="52" t="n">
        <f aca="false">MAX(H1714,G1714)</f>
        <v>27.0175932562881</v>
      </c>
      <c r="J1714" s="4" t="str">
        <f aca="false">IFERROR("PN"&amp;SMALL(PN_list,COUNTIF(PN_list,"&lt;"&amp;I1714*bar_per_m)+1),"&gt; max PN")</f>
        <v>PN10</v>
      </c>
      <c r="K1714" s="4" t="str">
        <f aca="false">IF(L1714="no","end at tank",IF(H1714&lt;0,"NEGATIVE",IF(H1714&lt;p_min-0.005,"low","OK")))</f>
        <v>OK</v>
      </c>
      <c r="L1714" s="4" t="s">
        <v>414</v>
      </c>
    </row>
    <row r="1715" customFormat="false" ht="15" hidden="false" customHeight="false" outlineLevel="0" collapsed="false">
      <c r="A1715" s="4" t="s">
        <v>44</v>
      </c>
      <c r="B1715" s="4" t="s">
        <v>373</v>
      </c>
      <c r="C1715" s="47" t="n">
        <v>10536.25</v>
      </c>
      <c r="D1715" s="48" t="n">
        <v>1695.6</v>
      </c>
      <c r="E1715" s="49" t="n">
        <f aca="false">D1715-cover</f>
        <v>1694.4</v>
      </c>
      <c r="F1715" s="50" t="n">
        <f aca="false">'Z6 Nkangamo-Uhuru'!S18-'Z6 Nkangamo-Uhuru'!P18*C1715/'Z6 Nkangamo-Uhuru'!G18</f>
        <v>1721.81643995334</v>
      </c>
      <c r="G1715" s="51" t="n">
        <f aca="false">'Z6 Nkangamo-Uhuru'!$B$8-E1715</f>
        <v>12.1000000000001</v>
      </c>
      <c r="H1715" s="52" t="n">
        <f aca="false">F1715-E1715</f>
        <v>27.4164399533415</v>
      </c>
      <c r="I1715" s="52" t="n">
        <f aca="false">MAX(H1715,G1715)</f>
        <v>27.4164399533415</v>
      </c>
      <c r="J1715" s="4" t="str">
        <f aca="false">IFERROR("PN"&amp;SMALL(PN_list,COUNTIF(PN_list,"&lt;"&amp;I1715*bar_per_m)+1),"&gt; max PN")</f>
        <v>PN10</v>
      </c>
      <c r="K1715" s="4" t="str">
        <f aca="false">IF(L1715="no","end at tank",IF(H1715&lt;0,"NEGATIVE",IF(H1715&lt;p_min-0.005,"low","OK")))</f>
        <v>OK</v>
      </c>
      <c r="L1715" s="4" t="s">
        <v>414</v>
      </c>
    </row>
    <row r="1716" customFormat="false" ht="15" hidden="false" customHeight="false" outlineLevel="0" collapsed="false">
      <c r="A1716" s="4" t="s">
        <v>44</v>
      </c>
      <c r="B1716" s="4" t="s">
        <v>373</v>
      </c>
      <c r="C1716" s="47" t="n">
        <v>10556.25</v>
      </c>
      <c r="D1716" s="48" t="n">
        <v>1695.59</v>
      </c>
      <c r="E1716" s="49" t="n">
        <f aca="false">D1716-cover</f>
        <v>1694.39</v>
      </c>
      <c r="F1716" s="50" t="n">
        <f aca="false">'Z6 Nkangamo-Uhuru'!S18-'Z6 Nkangamo-Uhuru'!P18*C1716/'Z6 Nkangamo-Uhuru'!G18</f>
        <v>1721.78528665039</v>
      </c>
      <c r="G1716" s="51" t="n">
        <f aca="false">'Z6 Nkangamo-Uhuru'!$B$8-E1716</f>
        <v>12.1100000000001</v>
      </c>
      <c r="H1716" s="52" t="n">
        <f aca="false">F1716-E1716</f>
        <v>27.3952866503946</v>
      </c>
      <c r="I1716" s="52" t="n">
        <f aca="false">MAX(H1716,G1716)</f>
        <v>27.3952866503946</v>
      </c>
      <c r="J1716" s="4" t="str">
        <f aca="false">IFERROR("PN"&amp;SMALL(PN_list,COUNTIF(PN_list,"&lt;"&amp;I1716*bar_per_m)+1),"&gt; max PN")</f>
        <v>PN10</v>
      </c>
      <c r="K1716" s="4" t="str">
        <f aca="false">IF(L1716="no","end at tank",IF(H1716&lt;0,"NEGATIVE",IF(H1716&lt;p_min-0.005,"low","OK")))</f>
        <v>OK</v>
      </c>
      <c r="L1716" s="4" t="s">
        <v>414</v>
      </c>
    </row>
    <row r="1717" customFormat="false" ht="15" hidden="false" customHeight="false" outlineLevel="0" collapsed="false">
      <c r="A1717" s="4" t="s">
        <v>44</v>
      </c>
      <c r="B1717" s="4" t="s">
        <v>373</v>
      </c>
      <c r="C1717" s="47" t="n">
        <v>10576.28</v>
      </c>
      <c r="D1717" s="48" t="n">
        <v>1694.51</v>
      </c>
      <c r="E1717" s="49" t="n">
        <f aca="false">D1717-cover</f>
        <v>1693.31</v>
      </c>
      <c r="F1717" s="50" t="n">
        <f aca="false">'Z6 Nkangamo-Uhuru'!S18-'Z6 Nkangamo-Uhuru'!P18*C1717/'Z6 Nkangamo-Uhuru'!G18</f>
        <v>1721.75408661749</v>
      </c>
      <c r="G1717" s="51" t="n">
        <f aca="false">'Z6 Nkangamo-Uhuru'!$B$8-E1717</f>
        <v>13.1900000000001</v>
      </c>
      <c r="H1717" s="52" t="n">
        <f aca="false">F1717-E1717</f>
        <v>28.4440866174932</v>
      </c>
      <c r="I1717" s="52" t="n">
        <f aca="false">MAX(H1717,G1717)</f>
        <v>28.4440866174932</v>
      </c>
      <c r="J1717" s="4" t="str">
        <f aca="false">IFERROR("PN"&amp;SMALL(PN_list,COUNTIF(PN_list,"&lt;"&amp;I1717*bar_per_m)+1),"&gt; max PN")</f>
        <v>PN10</v>
      </c>
      <c r="K1717" s="4" t="str">
        <f aca="false">IF(L1717="no","end at tank",IF(H1717&lt;0,"NEGATIVE",IF(H1717&lt;p_min-0.005,"low","OK")))</f>
        <v>OK</v>
      </c>
      <c r="L1717" s="4" t="s">
        <v>414</v>
      </c>
    </row>
    <row r="1718" customFormat="false" ht="15" hidden="false" customHeight="false" outlineLevel="0" collapsed="false">
      <c r="A1718" s="4" t="s">
        <v>44</v>
      </c>
      <c r="B1718" s="4" t="s">
        <v>373</v>
      </c>
      <c r="C1718" s="47" t="n">
        <v>10596.28</v>
      </c>
      <c r="D1718" s="48" t="n">
        <v>1694.78</v>
      </c>
      <c r="E1718" s="49" t="n">
        <f aca="false">D1718-cover</f>
        <v>1693.58</v>
      </c>
      <c r="F1718" s="50" t="n">
        <f aca="false">'Z6 Nkangamo-Uhuru'!S18-'Z6 Nkangamo-Uhuru'!P18*C1718/'Z6 Nkangamo-Uhuru'!G18</f>
        <v>1721.72293331455</v>
      </c>
      <c r="G1718" s="51" t="n">
        <f aca="false">'Z6 Nkangamo-Uhuru'!$B$8-E1718</f>
        <v>12.9200000000001</v>
      </c>
      <c r="H1718" s="52" t="n">
        <f aca="false">F1718-E1718</f>
        <v>28.1429333145466</v>
      </c>
      <c r="I1718" s="52" t="n">
        <f aca="false">MAX(H1718,G1718)</f>
        <v>28.1429333145466</v>
      </c>
      <c r="J1718" s="4" t="str">
        <f aca="false">IFERROR("PN"&amp;SMALL(PN_list,COUNTIF(PN_list,"&lt;"&amp;I1718*bar_per_m)+1),"&gt; max PN")</f>
        <v>PN10</v>
      </c>
      <c r="K1718" s="4" t="str">
        <f aca="false">IF(L1718="no","end at tank",IF(H1718&lt;0,"NEGATIVE",IF(H1718&lt;p_min-0.005,"low","OK")))</f>
        <v>OK</v>
      </c>
      <c r="L1718" s="4" t="s">
        <v>414</v>
      </c>
    </row>
    <row r="1719" customFormat="false" ht="15" hidden="false" customHeight="false" outlineLevel="0" collapsed="false">
      <c r="A1719" s="4" t="s">
        <v>44</v>
      </c>
      <c r="B1719" s="4" t="s">
        <v>373</v>
      </c>
      <c r="C1719" s="47" t="n">
        <v>10616.29</v>
      </c>
      <c r="D1719" s="48" t="n">
        <v>1694.36</v>
      </c>
      <c r="E1719" s="49" t="n">
        <f aca="false">D1719-cover</f>
        <v>1693.16</v>
      </c>
      <c r="F1719" s="50" t="n">
        <f aca="false">'Z6 Nkangamo-Uhuru'!S18-'Z6 Nkangamo-Uhuru'!P18*C1719/'Z6 Nkangamo-Uhuru'!G18</f>
        <v>1721.69176443495</v>
      </c>
      <c r="G1719" s="51" t="n">
        <f aca="false">'Z6 Nkangamo-Uhuru'!$B$8-E1719</f>
        <v>13.3400000000001</v>
      </c>
      <c r="H1719" s="52" t="n">
        <f aca="false">F1719-E1719</f>
        <v>28.5317644349482</v>
      </c>
      <c r="I1719" s="52" t="n">
        <f aca="false">MAX(H1719,G1719)</f>
        <v>28.5317644349482</v>
      </c>
      <c r="J1719" s="4" t="str">
        <f aca="false">IFERROR("PN"&amp;SMALL(PN_list,COUNTIF(PN_list,"&lt;"&amp;I1719*bar_per_m)+1),"&gt; max PN")</f>
        <v>PN10</v>
      </c>
      <c r="K1719" s="4" t="str">
        <f aca="false">IF(L1719="no","end at tank",IF(H1719&lt;0,"NEGATIVE",IF(H1719&lt;p_min-0.005,"low","OK")))</f>
        <v>OK</v>
      </c>
      <c r="L1719" s="4" t="s">
        <v>414</v>
      </c>
    </row>
    <row r="1720" customFormat="false" ht="15" hidden="false" customHeight="false" outlineLevel="0" collapsed="false">
      <c r="A1720" s="4" t="s">
        <v>44</v>
      </c>
      <c r="B1720" s="4" t="s">
        <v>373</v>
      </c>
      <c r="C1720" s="47" t="n">
        <v>10636.29</v>
      </c>
      <c r="D1720" s="48" t="n">
        <v>1694.21</v>
      </c>
      <c r="E1720" s="49" t="n">
        <f aca="false">D1720-cover</f>
        <v>1693.01</v>
      </c>
      <c r="F1720" s="50" t="n">
        <f aca="false">'Z6 Nkangamo-Uhuru'!S18-'Z6 Nkangamo-Uhuru'!P18*C1720/'Z6 Nkangamo-Uhuru'!G18</f>
        <v>1721.660611132</v>
      </c>
      <c r="G1720" s="51" t="n">
        <f aca="false">'Z6 Nkangamo-Uhuru'!$B$8-E1720</f>
        <v>13.49</v>
      </c>
      <c r="H1720" s="52" t="n">
        <f aca="false">F1720-E1720</f>
        <v>28.6506111320014</v>
      </c>
      <c r="I1720" s="52" t="n">
        <f aca="false">MAX(H1720,G1720)</f>
        <v>28.6506111320014</v>
      </c>
      <c r="J1720" s="4" t="str">
        <f aca="false">IFERROR("PN"&amp;SMALL(PN_list,COUNTIF(PN_list,"&lt;"&amp;I1720*bar_per_m)+1),"&gt; max PN")</f>
        <v>PN10</v>
      </c>
      <c r="K1720" s="4" t="str">
        <f aca="false">IF(L1720="no","end at tank",IF(H1720&lt;0,"NEGATIVE",IF(H1720&lt;p_min-0.005,"low","OK")))</f>
        <v>OK</v>
      </c>
      <c r="L1720" s="4" t="s">
        <v>414</v>
      </c>
    </row>
    <row r="1721" customFormat="false" ht="15" hidden="false" customHeight="false" outlineLevel="0" collapsed="false">
      <c r="A1721" s="4" t="s">
        <v>44</v>
      </c>
      <c r="B1721" s="4" t="s">
        <v>373</v>
      </c>
      <c r="C1721" s="47" t="n">
        <v>10656.3</v>
      </c>
      <c r="D1721" s="48" t="n">
        <v>1693.71</v>
      </c>
      <c r="E1721" s="49" t="n">
        <f aca="false">D1721-cover</f>
        <v>1692.51</v>
      </c>
      <c r="F1721" s="50" t="n">
        <f aca="false">'Z6 Nkangamo-Uhuru'!S18-'Z6 Nkangamo-Uhuru'!P18*C1721/'Z6 Nkangamo-Uhuru'!G18</f>
        <v>1721.6294422524</v>
      </c>
      <c r="G1721" s="51" t="n">
        <f aca="false">'Z6 Nkangamo-Uhuru'!$B$8-E1721</f>
        <v>13.99</v>
      </c>
      <c r="H1721" s="52" t="n">
        <f aca="false">F1721-E1721</f>
        <v>29.1194422524029</v>
      </c>
      <c r="I1721" s="52" t="n">
        <f aca="false">MAX(H1721,G1721)</f>
        <v>29.1194422524029</v>
      </c>
      <c r="J1721" s="4" t="str">
        <f aca="false">IFERROR("PN"&amp;SMALL(PN_list,COUNTIF(PN_list,"&lt;"&amp;I1721*bar_per_m)+1),"&gt; max PN")</f>
        <v>PN10</v>
      </c>
      <c r="K1721" s="4" t="str">
        <f aca="false">IF(L1721="no","end at tank",IF(H1721&lt;0,"NEGATIVE",IF(H1721&lt;p_min-0.005,"low","OK")))</f>
        <v>OK</v>
      </c>
      <c r="L1721" s="4" t="s">
        <v>414</v>
      </c>
    </row>
    <row r="1722" customFormat="false" ht="15" hidden="false" customHeight="false" outlineLevel="0" collapsed="false">
      <c r="A1722" s="4" t="s">
        <v>44</v>
      </c>
      <c r="B1722" s="4" t="s">
        <v>373</v>
      </c>
      <c r="C1722" s="47" t="n">
        <v>10676.3</v>
      </c>
      <c r="D1722" s="48" t="n">
        <v>1693.31</v>
      </c>
      <c r="E1722" s="49" t="n">
        <f aca="false">D1722-cover</f>
        <v>1692.11</v>
      </c>
      <c r="F1722" s="50" t="n">
        <f aca="false">'Z6 Nkangamo-Uhuru'!S18-'Z6 Nkangamo-Uhuru'!P18*C1722/'Z6 Nkangamo-Uhuru'!G18</f>
        <v>1721.59828894946</v>
      </c>
      <c r="G1722" s="51" t="n">
        <f aca="false">'Z6 Nkangamo-Uhuru'!$B$8-E1722</f>
        <v>14.3900000000001</v>
      </c>
      <c r="H1722" s="52" t="n">
        <f aca="false">F1722-E1722</f>
        <v>29.4882889494563</v>
      </c>
      <c r="I1722" s="52" t="n">
        <f aca="false">MAX(H1722,G1722)</f>
        <v>29.4882889494563</v>
      </c>
      <c r="J1722" s="4" t="str">
        <f aca="false">IFERROR("PN"&amp;SMALL(PN_list,COUNTIF(PN_list,"&lt;"&amp;I1722*bar_per_m)+1),"&gt; max PN")</f>
        <v>PN10</v>
      </c>
      <c r="K1722" s="4" t="str">
        <f aca="false">IF(L1722="no","end at tank",IF(H1722&lt;0,"NEGATIVE",IF(H1722&lt;p_min-0.005,"low","OK")))</f>
        <v>OK</v>
      </c>
      <c r="L1722" s="4" t="s">
        <v>414</v>
      </c>
    </row>
    <row r="1723" customFormat="false" ht="15" hidden="false" customHeight="false" outlineLevel="0" collapsed="false">
      <c r="A1723" s="4" t="s">
        <v>44</v>
      </c>
      <c r="B1723" s="4" t="s">
        <v>373</v>
      </c>
      <c r="C1723" s="47" t="n">
        <v>10696.3</v>
      </c>
      <c r="D1723" s="48" t="n">
        <v>1692.86</v>
      </c>
      <c r="E1723" s="49" t="n">
        <f aca="false">D1723-cover</f>
        <v>1691.66</v>
      </c>
      <c r="F1723" s="50" t="n">
        <f aca="false">'Z6 Nkangamo-Uhuru'!S18-'Z6 Nkangamo-Uhuru'!P18*C1723/'Z6 Nkangamo-Uhuru'!G18</f>
        <v>1721.56713564651</v>
      </c>
      <c r="G1723" s="51" t="n">
        <f aca="false">'Z6 Nkangamo-Uhuru'!$B$8-E1723</f>
        <v>14.8400000000001</v>
      </c>
      <c r="H1723" s="52" t="n">
        <f aca="false">F1723-E1723</f>
        <v>29.9071356465095</v>
      </c>
      <c r="I1723" s="52" t="n">
        <f aca="false">MAX(H1723,G1723)</f>
        <v>29.9071356465095</v>
      </c>
      <c r="J1723" s="4" t="str">
        <f aca="false">IFERROR("PN"&amp;SMALL(PN_list,COUNTIF(PN_list,"&lt;"&amp;I1723*bar_per_m)+1),"&gt; max PN")</f>
        <v>PN10</v>
      </c>
      <c r="K1723" s="4" t="str">
        <f aca="false">IF(L1723="no","end at tank",IF(H1723&lt;0,"NEGATIVE",IF(H1723&lt;p_min-0.005,"low","OK")))</f>
        <v>OK</v>
      </c>
      <c r="L1723" s="4" t="s">
        <v>414</v>
      </c>
    </row>
    <row r="1724" customFormat="false" ht="15" hidden="false" customHeight="false" outlineLevel="0" collapsed="false">
      <c r="A1724" s="4" t="s">
        <v>44</v>
      </c>
      <c r="B1724" s="4" t="s">
        <v>373</v>
      </c>
      <c r="C1724" s="47" t="n">
        <v>10716.31</v>
      </c>
      <c r="D1724" s="48" t="n">
        <v>1692.59</v>
      </c>
      <c r="E1724" s="49" t="n">
        <f aca="false">D1724-cover</f>
        <v>1691.39</v>
      </c>
      <c r="F1724" s="50" t="n">
        <f aca="false">'Z6 Nkangamo-Uhuru'!S18-'Z6 Nkangamo-Uhuru'!P18*C1724/'Z6 Nkangamo-Uhuru'!G18</f>
        <v>1721.53596676691</v>
      </c>
      <c r="G1724" s="51" t="n">
        <f aca="false">'Z6 Nkangamo-Uhuru'!$B$8-E1724</f>
        <v>15.1100000000001</v>
      </c>
      <c r="H1724" s="52" t="n">
        <f aca="false">F1724-E1724</f>
        <v>30.1459667669112</v>
      </c>
      <c r="I1724" s="52" t="n">
        <f aca="false">MAX(H1724,G1724)</f>
        <v>30.1459667669112</v>
      </c>
      <c r="J1724" s="4" t="str">
        <f aca="false">IFERROR("PN"&amp;SMALL(PN_list,COUNTIF(PN_list,"&lt;"&amp;I1724*bar_per_m)+1),"&gt; max PN")</f>
        <v>PN10</v>
      </c>
      <c r="K1724" s="4" t="str">
        <f aca="false">IF(L1724="no","end at tank",IF(H1724&lt;0,"NEGATIVE",IF(H1724&lt;p_min-0.005,"low","OK")))</f>
        <v>OK</v>
      </c>
      <c r="L1724" s="4" t="s">
        <v>414</v>
      </c>
    </row>
    <row r="1725" customFormat="false" ht="15" hidden="false" customHeight="false" outlineLevel="0" collapsed="false">
      <c r="A1725" s="4" t="s">
        <v>44</v>
      </c>
      <c r="B1725" s="4" t="s">
        <v>373</v>
      </c>
      <c r="C1725" s="47" t="n">
        <v>10736.32</v>
      </c>
      <c r="D1725" s="48" t="n">
        <v>1691.91</v>
      </c>
      <c r="E1725" s="49" t="n">
        <f aca="false">D1725-cover</f>
        <v>1690.71</v>
      </c>
      <c r="F1725" s="50" t="n">
        <f aca="false">'Z6 Nkangamo-Uhuru'!S18-'Z6 Nkangamo-Uhuru'!P18*C1725/'Z6 Nkangamo-Uhuru'!G18</f>
        <v>1721.50479788731</v>
      </c>
      <c r="G1725" s="51" t="n">
        <f aca="false">'Z6 Nkangamo-Uhuru'!$B$8-E1725</f>
        <v>15.79</v>
      </c>
      <c r="H1725" s="52" t="n">
        <f aca="false">F1725-E1725</f>
        <v>30.7947978873126</v>
      </c>
      <c r="I1725" s="52" t="n">
        <f aca="false">MAX(H1725,G1725)</f>
        <v>30.7947978873126</v>
      </c>
      <c r="J1725" s="4" t="str">
        <f aca="false">IFERROR("PN"&amp;SMALL(PN_list,COUNTIF(PN_list,"&lt;"&amp;I1725*bar_per_m)+1),"&gt; max PN")</f>
        <v>PN10</v>
      </c>
      <c r="K1725" s="4" t="str">
        <f aca="false">IF(L1725="no","end at tank",IF(H1725&lt;0,"NEGATIVE",IF(H1725&lt;p_min-0.005,"low","OK")))</f>
        <v>OK</v>
      </c>
      <c r="L1725" s="4" t="s">
        <v>414</v>
      </c>
    </row>
    <row r="1726" customFormat="false" ht="15" hidden="false" customHeight="false" outlineLevel="0" collapsed="false">
      <c r="A1726" s="4" t="s">
        <v>44</v>
      </c>
      <c r="B1726" s="4" t="s">
        <v>373</v>
      </c>
      <c r="C1726" s="47" t="n">
        <v>10756.32</v>
      </c>
      <c r="D1726" s="48" t="n">
        <v>1691.41</v>
      </c>
      <c r="E1726" s="49" t="n">
        <f aca="false">D1726-cover</f>
        <v>1690.21</v>
      </c>
      <c r="F1726" s="50" t="n">
        <f aca="false">'Z6 Nkangamo-Uhuru'!S18-'Z6 Nkangamo-Uhuru'!P18*C1726/'Z6 Nkangamo-Uhuru'!G18</f>
        <v>1721.47364458437</v>
      </c>
      <c r="G1726" s="51" t="n">
        <f aca="false">'Z6 Nkangamo-Uhuru'!$B$8-E1726</f>
        <v>16.29</v>
      </c>
      <c r="H1726" s="52" t="n">
        <f aca="false">F1726-E1726</f>
        <v>31.2636445843659</v>
      </c>
      <c r="I1726" s="52" t="n">
        <f aca="false">MAX(H1726,G1726)</f>
        <v>31.2636445843659</v>
      </c>
      <c r="J1726" s="4" t="str">
        <f aca="false">IFERROR("PN"&amp;SMALL(PN_list,COUNTIF(PN_list,"&lt;"&amp;I1726*bar_per_m)+1),"&gt; max PN")</f>
        <v>PN10</v>
      </c>
      <c r="K1726" s="4" t="str">
        <f aca="false">IF(L1726="no","end at tank",IF(H1726&lt;0,"NEGATIVE",IF(H1726&lt;p_min-0.005,"low","OK")))</f>
        <v>OK</v>
      </c>
      <c r="L1726" s="4" t="s">
        <v>414</v>
      </c>
    </row>
    <row r="1727" customFormat="false" ht="15" hidden="false" customHeight="false" outlineLevel="0" collapsed="false">
      <c r="A1727" s="4" t="s">
        <v>44</v>
      </c>
      <c r="B1727" s="4" t="s">
        <v>373</v>
      </c>
      <c r="C1727" s="47" t="n">
        <v>10776.33</v>
      </c>
      <c r="D1727" s="48" t="n">
        <v>1691.09</v>
      </c>
      <c r="E1727" s="49" t="n">
        <f aca="false">D1727-cover</f>
        <v>1689.89</v>
      </c>
      <c r="F1727" s="50" t="n">
        <f aca="false">'Z6 Nkangamo-Uhuru'!S18-'Z6 Nkangamo-Uhuru'!P18*C1727/'Z6 Nkangamo-Uhuru'!G18</f>
        <v>1721.44247570477</v>
      </c>
      <c r="G1727" s="51" t="n">
        <f aca="false">'Z6 Nkangamo-Uhuru'!$B$8-E1727</f>
        <v>16.6100000000001</v>
      </c>
      <c r="H1727" s="52" t="n">
        <f aca="false">F1727-E1727</f>
        <v>31.5524757047676</v>
      </c>
      <c r="I1727" s="52" t="n">
        <f aca="false">MAX(H1727,G1727)</f>
        <v>31.5524757047676</v>
      </c>
      <c r="J1727" s="4" t="str">
        <f aca="false">IFERROR("PN"&amp;SMALL(PN_list,COUNTIF(PN_list,"&lt;"&amp;I1727*bar_per_m)+1),"&gt; max PN")</f>
        <v>PN10</v>
      </c>
      <c r="K1727" s="4" t="str">
        <f aca="false">IF(L1727="no","end at tank",IF(H1727&lt;0,"NEGATIVE",IF(H1727&lt;p_min-0.005,"low","OK")))</f>
        <v>OK</v>
      </c>
      <c r="L1727" s="4" t="s">
        <v>414</v>
      </c>
    </row>
    <row r="1728" customFormat="false" ht="15" hidden="false" customHeight="false" outlineLevel="0" collapsed="false">
      <c r="A1728" s="4" t="s">
        <v>44</v>
      </c>
      <c r="B1728" s="4" t="s">
        <v>373</v>
      </c>
      <c r="C1728" s="47" t="n">
        <v>10796.35</v>
      </c>
      <c r="D1728" s="48" t="n">
        <v>1690.14</v>
      </c>
      <c r="E1728" s="49" t="n">
        <f aca="false">D1728-cover</f>
        <v>1688.94</v>
      </c>
      <c r="F1728" s="50" t="n">
        <f aca="false">'Z6 Nkangamo-Uhuru'!S18-'Z6 Nkangamo-Uhuru'!P18*C1728/'Z6 Nkangamo-Uhuru'!G18</f>
        <v>1721.41129124852</v>
      </c>
      <c r="G1728" s="51" t="n">
        <f aca="false">'Z6 Nkangamo-Uhuru'!$B$8-E1728</f>
        <v>17.5599999999999</v>
      </c>
      <c r="H1728" s="52" t="n">
        <f aca="false">F1728-E1728</f>
        <v>32.4712912485177</v>
      </c>
      <c r="I1728" s="52" t="n">
        <f aca="false">MAX(H1728,G1728)</f>
        <v>32.4712912485177</v>
      </c>
      <c r="J1728" s="4" t="str">
        <f aca="false">IFERROR("PN"&amp;SMALL(PN_list,COUNTIF(PN_list,"&lt;"&amp;I1728*bar_per_m)+1),"&gt; max PN")</f>
        <v>PN10</v>
      </c>
      <c r="K1728" s="4" t="str">
        <f aca="false">IF(L1728="no","end at tank",IF(H1728&lt;0,"NEGATIVE",IF(H1728&lt;p_min-0.005,"low","OK")))</f>
        <v>OK</v>
      </c>
      <c r="L1728" s="4" t="s">
        <v>414</v>
      </c>
    </row>
    <row r="1729" customFormat="false" ht="15" hidden="false" customHeight="false" outlineLevel="0" collapsed="false">
      <c r="A1729" s="4" t="s">
        <v>44</v>
      </c>
      <c r="B1729" s="4" t="s">
        <v>373</v>
      </c>
      <c r="C1729" s="47" t="n">
        <v>10816.35</v>
      </c>
      <c r="D1729" s="48" t="n">
        <v>1689.91</v>
      </c>
      <c r="E1729" s="49" t="n">
        <f aca="false">D1729-cover</f>
        <v>1688.71</v>
      </c>
      <c r="F1729" s="50" t="n">
        <f aca="false">'Z6 Nkangamo-Uhuru'!S18-'Z6 Nkangamo-Uhuru'!P18*C1729/'Z6 Nkangamo-Uhuru'!G18</f>
        <v>1721.38013794557</v>
      </c>
      <c r="G1729" s="51" t="n">
        <f aca="false">'Z6 Nkangamo-Uhuru'!$B$8-E1729</f>
        <v>17.79</v>
      </c>
      <c r="H1729" s="52" t="n">
        <f aca="false">F1729-E1729</f>
        <v>32.670137945571</v>
      </c>
      <c r="I1729" s="52" t="n">
        <f aca="false">MAX(H1729,G1729)</f>
        <v>32.670137945571</v>
      </c>
      <c r="J1729" s="4" t="str">
        <f aca="false">IFERROR("PN"&amp;SMALL(PN_list,COUNTIF(PN_list,"&lt;"&amp;I1729*bar_per_m)+1),"&gt; max PN")</f>
        <v>PN10</v>
      </c>
      <c r="K1729" s="4" t="str">
        <f aca="false">IF(L1729="no","end at tank",IF(H1729&lt;0,"NEGATIVE",IF(H1729&lt;p_min-0.005,"low","OK")))</f>
        <v>OK</v>
      </c>
      <c r="L1729" s="4" t="s">
        <v>414</v>
      </c>
    </row>
    <row r="1730" customFormat="false" ht="15" hidden="false" customHeight="false" outlineLevel="0" collapsed="false">
      <c r="A1730" s="4" t="s">
        <v>44</v>
      </c>
      <c r="B1730" s="4" t="s">
        <v>373</v>
      </c>
      <c r="C1730" s="47" t="n">
        <v>10836.36</v>
      </c>
      <c r="D1730" s="48" t="n">
        <v>1689.21</v>
      </c>
      <c r="E1730" s="49" t="n">
        <f aca="false">D1730-cover</f>
        <v>1688.01</v>
      </c>
      <c r="F1730" s="50" t="n">
        <f aca="false">'Z6 Nkangamo-Uhuru'!S18-'Z6 Nkangamo-Uhuru'!P18*C1730/'Z6 Nkangamo-Uhuru'!G18</f>
        <v>1721.34896906597</v>
      </c>
      <c r="G1730" s="51" t="n">
        <f aca="false">'Z6 Nkangamo-Uhuru'!$B$8-E1730</f>
        <v>18.49</v>
      </c>
      <c r="H1730" s="52" t="n">
        <f aca="false">F1730-E1730</f>
        <v>33.3389690659726</v>
      </c>
      <c r="I1730" s="52" t="n">
        <f aca="false">MAX(H1730,G1730)</f>
        <v>33.3389690659726</v>
      </c>
      <c r="J1730" s="4" t="str">
        <f aca="false">IFERROR("PN"&amp;SMALL(PN_list,COUNTIF(PN_list,"&lt;"&amp;I1730*bar_per_m)+1),"&gt; max PN")</f>
        <v>PN10</v>
      </c>
      <c r="K1730" s="4" t="str">
        <f aca="false">IF(L1730="no","end at tank",IF(H1730&lt;0,"NEGATIVE",IF(H1730&lt;p_min-0.005,"low","OK")))</f>
        <v>OK</v>
      </c>
      <c r="L1730" s="4" t="s">
        <v>414</v>
      </c>
    </row>
    <row r="1731" customFormat="false" ht="15" hidden="false" customHeight="false" outlineLevel="0" collapsed="false">
      <c r="A1731" s="4" t="s">
        <v>44</v>
      </c>
      <c r="B1731" s="4" t="s">
        <v>373</v>
      </c>
      <c r="C1731" s="47" t="n">
        <v>10856.36</v>
      </c>
      <c r="D1731" s="48" t="n">
        <v>1689</v>
      </c>
      <c r="E1731" s="49" t="n">
        <f aca="false">D1731-cover</f>
        <v>1687.8</v>
      </c>
      <c r="F1731" s="50" t="n">
        <f aca="false">'Z6 Nkangamo-Uhuru'!S18-'Z6 Nkangamo-Uhuru'!P18*C1731/'Z6 Nkangamo-Uhuru'!G18</f>
        <v>1721.31781576303</v>
      </c>
      <c r="G1731" s="51" t="n">
        <f aca="false">'Z6 Nkangamo-Uhuru'!$B$8-E1731</f>
        <v>18.7</v>
      </c>
      <c r="H1731" s="52" t="n">
        <f aca="false">F1731-E1731</f>
        <v>33.517815763026</v>
      </c>
      <c r="I1731" s="52" t="n">
        <f aca="false">MAX(H1731,G1731)</f>
        <v>33.517815763026</v>
      </c>
      <c r="J1731" s="4" t="str">
        <f aca="false">IFERROR("PN"&amp;SMALL(PN_list,COUNTIF(PN_list,"&lt;"&amp;I1731*bar_per_m)+1),"&gt; max PN")</f>
        <v>PN10</v>
      </c>
      <c r="K1731" s="4" t="str">
        <f aca="false">IF(L1731="no","end at tank",IF(H1731&lt;0,"NEGATIVE",IF(H1731&lt;p_min-0.005,"low","OK")))</f>
        <v>OK</v>
      </c>
      <c r="L1731" s="4" t="s">
        <v>414</v>
      </c>
    </row>
    <row r="1732" customFormat="false" ht="15" hidden="false" customHeight="false" outlineLevel="0" collapsed="false">
      <c r="A1732" s="4" t="s">
        <v>44</v>
      </c>
      <c r="B1732" s="4" t="s">
        <v>373</v>
      </c>
      <c r="C1732" s="47" t="n">
        <v>10876.38</v>
      </c>
      <c r="D1732" s="48" t="n">
        <v>1688.27</v>
      </c>
      <c r="E1732" s="49" t="n">
        <f aca="false">D1732-cover</f>
        <v>1687.07</v>
      </c>
      <c r="F1732" s="50" t="n">
        <f aca="false">'Z6 Nkangamo-Uhuru'!S18-'Z6 Nkangamo-Uhuru'!P18*C1732/'Z6 Nkangamo-Uhuru'!G18</f>
        <v>1721.28663130678</v>
      </c>
      <c r="G1732" s="51" t="n">
        <f aca="false">'Z6 Nkangamo-Uhuru'!$B$8-E1732</f>
        <v>19.4300000000001</v>
      </c>
      <c r="H1732" s="52" t="n">
        <f aca="false">F1732-E1732</f>
        <v>34.2166313067762</v>
      </c>
      <c r="I1732" s="52" t="n">
        <f aca="false">MAX(H1732,G1732)</f>
        <v>34.2166313067762</v>
      </c>
      <c r="J1732" s="4" t="str">
        <f aca="false">IFERROR("PN"&amp;SMALL(PN_list,COUNTIF(PN_list,"&lt;"&amp;I1732*bar_per_m)+1),"&gt; max PN")</f>
        <v>PN10</v>
      </c>
      <c r="K1732" s="4" t="str">
        <f aca="false">IF(L1732="no","end at tank",IF(H1732&lt;0,"NEGATIVE",IF(H1732&lt;p_min-0.005,"low","OK")))</f>
        <v>OK</v>
      </c>
      <c r="L1732" s="4" t="s">
        <v>414</v>
      </c>
    </row>
    <row r="1733" customFormat="false" ht="15" hidden="false" customHeight="false" outlineLevel="0" collapsed="false">
      <c r="A1733" s="4" t="s">
        <v>44</v>
      </c>
      <c r="B1733" s="4" t="s">
        <v>373</v>
      </c>
      <c r="C1733" s="47" t="n">
        <v>10896.38</v>
      </c>
      <c r="D1733" s="48" t="n">
        <v>1688.2</v>
      </c>
      <c r="E1733" s="49" t="n">
        <f aca="false">D1733-cover</f>
        <v>1687</v>
      </c>
      <c r="F1733" s="50" t="n">
        <f aca="false">'Z6 Nkangamo-Uhuru'!S18-'Z6 Nkangamo-Uhuru'!P18*C1733/'Z6 Nkangamo-Uhuru'!G18</f>
        <v>1721.25547800383</v>
      </c>
      <c r="G1733" s="51" t="n">
        <f aca="false">'Z6 Nkangamo-Uhuru'!$B$8-E1733</f>
        <v>19.5</v>
      </c>
      <c r="H1733" s="52" t="n">
        <f aca="false">F1733-E1733</f>
        <v>34.2554780038292</v>
      </c>
      <c r="I1733" s="52" t="n">
        <f aca="false">MAX(H1733,G1733)</f>
        <v>34.2554780038292</v>
      </c>
      <c r="J1733" s="4" t="str">
        <f aca="false">IFERROR("PN"&amp;SMALL(PN_list,COUNTIF(PN_list,"&lt;"&amp;I1733*bar_per_m)+1),"&gt; max PN")</f>
        <v>PN10</v>
      </c>
      <c r="K1733" s="4" t="str">
        <f aca="false">IF(L1733="no","end at tank",IF(H1733&lt;0,"NEGATIVE",IF(H1733&lt;p_min-0.005,"low","OK")))</f>
        <v>OK</v>
      </c>
      <c r="L1733" s="4" t="s">
        <v>414</v>
      </c>
    </row>
    <row r="1734" customFormat="false" ht="15" hidden="false" customHeight="false" outlineLevel="0" collapsed="false">
      <c r="A1734" s="4" t="s">
        <v>44</v>
      </c>
      <c r="B1734" s="4" t="s">
        <v>373</v>
      </c>
      <c r="C1734" s="47" t="n">
        <v>10916.39</v>
      </c>
      <c r="D1734" s="48" t="n">
        <v>1687.54</v>
      </c>
      <c r="E1734" s="49" t="n">
        <f aca="false">D1734-cover</f>
        <v>1686.34</v>
      </c>
      <c r="F1734" s="50" t="n">
        <f aca="false">'Z6 Nkangamo-Uhuru'!S18-'Z6 Nkangamo-Uhuru'!P18*C1734/'Z6 Nkangamo-Uhuru'!G18</f>
        <v>1721.22430912423</v>
      </c>
      <c r="G1734" s="51" t="n">
        <f aca="false">'Z6 Nkangamo-Uhuru'!$B$8-E1734</f>
        <v>20.1600000000001</v>
      </c>
      <c r="H1734" s="52" t="n">
        <f aca="false">F1734-E1734</f>
        <v>34.8843091242311</v>
      </c>
      <c r="I1734" s="52" t="n">
        <f aca="false">MAX(H1734,G1734)</f>
        <v>34.8843091242311</v>
      </c>
      <c r="J1734" s="4" t="str">
        <f aca="false">IFERROR("PN"&amp;SMALL(PN_list,COUNTIF(PN_list,"&lt;"&amp;I1734*bar_per_m)+1),"&gt; max PN")</f>
        <v>PN10</v>
      </c>
      <c r="K1734" s="4" t="str">
        <f aca="false">IF(L1734="no","end at tank",IF(H1734&lt;0,"NEGATIVE",IF(H1734&lt;p_min-0.005,"low","OK")))</f>
        <v>OK</v>
      </c>
      <c r="L1734" s="4" t="s">
        <v>414</v>
      </c>
    </row>
    <row r="1735" customFormat="false" ht="15" hidden="false" customHeight="false" outlineLevel="0" collapsed="false">
      <c r="A1735" s="4" t="s">
        <v>44</v>
      </c>
      <c r="B1735" s="4" t="s">
        <v>373</v>
      </c>
      <c r="C1735" s="47" t="n">
        <v>10936.4</v>
      </c>
      <c r="D1735" s="48" t="n">
        <v>1686.96</v>
      </c>
      <c r="E1735" s="49" t="n">
        <f aca="false">D1735-cover</f>
        <v>1685.76</v>
      </c>
      <c r="F1735" s="50" t="n">
        <f aca="false">'Z6 Nkangamo-Uhuru'!S18-'Z6 Nkangamo-Uhuru'!P18*C1735/'Z6 Nkangamo-Uhuru'!G18</f>
        <v>1721.19314024463</v>
      </c>
      <c r="G1735" s="51" t="n">
        <f aca="false">'Z6 Nkangamo-Uhuru'!$B$8-E1735</f>
        <v>20.74</v>
      </c>
      <c r="H1735" s="52" t="n">
        <f aca="false">F1735-E1735</f>
        <v>35.4331402446328</v>
      </c>
      <c r="I1735" s="52" t="n">
        <f aca="false">MAX(H1735,G1735)</f>
        <v>35.4331402446328</v>
      </c>
      <c r="J1735" s="4" t="str">
        <f aca="false">IFERROR("PN"&amp;SMALL(PN_list,COUNTIF(PN_list,"&lt;"&amp;I1735*bar_per_m)+1),"&gt; max PN")</f>
        <v>PN10</v>
      </c>
      <c r="K1735" s="4" t="str">
        <f aca="false">IF(L1735="no","end at tank",IF(H1735&lt;0,"NEGATIVE",IF(H1735&lt;p_min-0.005,"low","OK")))</f>
        <v>OK</v>
      </c>
      <c r="L1735" s="4" t="s">
        <v>414</v>
      </c>
    </row>
    <row r="1736" customFormat="false" ht="15" hidden="false" customHeight="false" outlineLevel="0" collapsed="false">
      <c r="A1736" s="4" t="s">
        <v>44</v>
      </c>
      <c r="B1736" s="4" t="s">
        <v>373</v>
      </c>
      <c r="C1736" s="47" t="n">
        <v>10956.4</v>
      </c>
      <c r="D1736" s="48" t="n">
        <v>1686.92</v>
      </c>
      <c r="E1736" s="49" t="n">
        <f aca="false">D1736-cover</f>
        <v>1685.72</v>
      </c>
      <c r="F1736" s="50" t="n">
        <f aca="false">'Z6 Nkangamo-Uhuru'!S18-'Z6 Nkangamo-Uhuru'!P18*C1736/'Z6 Nkangamo-Uhuru'!G18</f>
        <v>1721.16198694169</v>
      </c>
      <c r="G1736" s="51" t="n">
        <f aca="false">'Z6 Nkangamo-Uhuru'!$B$8-E1736</f>
        <v>20.78</v>
      </c>
      <c r="H1736" s="52" t="n">
        <f aca="false">F1736-E1736</f>
        <v>35.4419869416859</v>
      </c>
      <c r="I1736" s="52" t="n">
        <f aca="false">MAX(H1736,G1736)</f>
        <v>35.4419869416859</v>
      </c>
      <c r="J1736" s="4" t="str">
        <f aca="false">IFERROR("PN"&amp;SMALL(PN_list,COUNTIF(PN_list,"&lt;"&amp;I1736*bar_per_m)+1),"&gt; max PN")</f>
        <v>PN10</v>
      </c>
      <c r="K1736" s="4" t="str">
        <f aca="false">IF(L1736="no","end at tank",IF(H1736&lt;0,"NEGATIVE",IF(H1736&lt;p_min-0.005,"low","OK")))</f>
        <v>OK</v>
      </c>
      <c r="L1736" s="4" t="s">
        <v>414</v>
      </c>
    </row>
    <row r="1737" customFormat="false" ht="15" hidden="false" customHeight="false" outlineLevel="0" collapsed="false">
      <c r="A1737" s="4" t="s">
        <v>44</v>
      </c>
      <c r="B1737" s="4" t="s">
        <v>373</v>
      </c>
      <c r="C1737" s="47" t="n">
        <v>10976.41</v>
      </c>
      <c r="D1737" s="48" t="n">
        <v>1686.31</v>
      </c>
      <c r="E1737" s="49" t="n">
        <f aca="false">D1737-cover</f>
        <v>1685.11</v>
      </c>
      <c r="F1737" s="50" t="n">
        <f aca="false">'Z6 Nkangamo-Uhuru'!S18-'Z6 Nkangamo-Uhuru'!P18*C1737/'Z6 Nkangamo-Uhuru'!G18</f>
        <v>1721.13081806209</v>
      </c>
      <c r="G1737" s="51" t="n">
        <f aca="false">'Z6 Nkangamo-Uhuru'!$B$8-E1737</f>
        <v>21.3900000000001</v>
      </c>
      <c r="H1737" s="52" t="n">
        <f aca="false">F1737-E1737</f>
        <v>36.0208180620878</v>
      </c>
      <c r="I1737" s="52" t="n">
        <f aca="false">MAX(H1737,G1737)</f>
        <v>36.0208180620878</v>
      </c>
      <c r="J1737" s="4" t="str">
        <f aca="false">IFERROR("PN"&amp;SMALL(PN_list,COUNTIF(PN_list,"&lt;"&amp;I1737*bar_per_m)+1),"&gt; max PN")</f>
        <v>PN10</v>
      </c>
      <c r="K1737" s="4" t="str">
        <f aca="false">IF(L1737="no","end at tank",IF(H1737&lt;0,"NEGATIVE",IF(H1737&lt;p_min-0.005,"low","OK")))</f>
        <v>OK</v>
      </c>
      <c r="L1737" s="4" t="s">
        <v>414</v>
      </c>
    </row>
    <row r="1738" customFormat="false" ht="15" hidden="false" customHeight="false" outlineLevel="0" collapsed="false">
      <c r="A1738" s="4" t="s">
        <v>44</v>
      </c>
      <c r="B1738" s="4" t="s">
        <v>373</v>
      </c>
      <c r="C1738" s="47" t="n">
        <v>10996.41</v>
      </c>
      <c r="D1738" s="48" t="n">
        <v>1686.1</v>
      </c>
      <c r="E1738" s="49" t="n">
        <f aca="false">D1738-cover</f>
        <v>1684.9</v>
      </c>
      <c r="F1738" s="50" t="n">
        <f aca="false">'Z6 Nkangamo-Uhuru'!S18-'Z6 Nkangamo-Uhuru'!P18*C1738/'Z6 Nkangamo-Uhuru'!G18</f>
        <v>1721.09966475914</v>
      </c>
      <c r="G1738" s="51" t="n">
        <f aca="false">'Z6 Nkangamo-Uhuru'!$B$8-E1738</f>
        <v>21.6000000000001</v>
      </c>
      <c r="H1738" s="52" t="n">
        <f aca="false">F1738-E1738</f>
        <v>36.1996647591409</v>
      </c>
      <c r="I1738" s="52" t="n">
        <f aca="false">MAX(H1738,G1738)</f>
        <v>36.1996647591409</v>
      </c>
      <c r="J1738" s="4" t="str">
        <f aca="false">IFERROR("PN"&amp;SMALL(PN_list,COUNTIF(PN_list,"&lt;"&amp;I1738*bar_per_m)+1),"&gt; max PN")</f>
        <v>PN10</v>
      </c>
      <c r="K1738" s="4" t="str">
        <f aca="false">IF(L1738="no","end at tank",IF(H1738&lt;0,"NEGATIVE",IF(H1738&lt;p_min-0.005,"low","OK")))</f>
        <v>OK</v>
      </c>
      <c r="L1738" s="4" t="s">
        <v>414</v>
      </c>
    </row>
    <row r="1739" customFormat="false" ht="15" hidden="false" customHeight="false" outlineLevel="0" collapsed="false">
      <c r="A1739" s="4" t="s">
        <v>44</v>
      </c>
      <c r="B1739" s="4" t="s">
        <v>373</v>
      </c>
      <c r="C1739" s="47" t="n">
        <v>11015.91</v>
      </c>
      <c r="D1739" s="48" t="n">
        <v>1685.99</v>
      </c>
      <c r="E1739" s="49" t="n">
        <f aca="false">D1739-cover</f>
        <v>1684.79</v>
      </c>
      <c r="F1739" s="50" t="n">
        <f aca="false">'Z6 Nkangamo-Uhuru'!S18-'Z6 Nkangamo-Uhuru'!P18*C1739/'Z6 Nkangamo-Uhuru'!G18</f>
        <v>1721.06929028877</v>
      </c>
      <c r="G1739" s="51" t="n">
        <f aca="false">'Z6 Nkangamo-Uhuru'!$B$8-E1739</f>
        <v>21.71</v>
      </c>
      <c r="H1739" s="52" t="n">
        <f aca="false">F1739-E1739</f>
        <v>36.2792902887677</v>
      </c>
      <c r="I1739" s="52" t="n">
        <f aca="false">MAX(H1739,G1739)</f>
        <v>36.2792902887677</v>
      </c>
      <c r="J1739" s="4" t="str">
        <f aca="false">IFERROR("PN"&amp;SMALL(PN_list,COUNTIF(PN_list,"&lt;"&amp;I1739*bar_per_m)+1),"&gt; max PN")</f>
        <v>PN10</v>
      </c>
      <c r="K1739" s="4" t="str">
        <f aca="false">IF(L1739="no","end at tank",IF(H1739&lt;0,"NEGATIVE",IF(H1739&lt;p_min-0.005,"low","OK")))</f>
        <v>OK</v>
      </c>
      <c r="L1739" s="4" t="s">
        <v>414</v>
      </c>
    </row>
    <row r="1740" customFormat="false" ht="15" hidden="false" customHeight="false" outlineLevel="0" collapsed="false">
      <c r="A1740" s="4" t="s">
        <v>44</v>
      </c>
      <c r="B1740" s="4" t="s">
        <v>373</v>
      </c>
      <c r="C1740" s="47" t="n">
        <v>11035.91</v>
      </c>
      <c r="D1740" s="48" t="n">
        <v>1685.5</v>
      </c>
      <c r="E1740" s="49" t="n">
        <f aca="false">D1740-cover</f>
        <v>1684.3</v>
      </c>
      <c r="F1740" s="50" t="n">
        <f aca="false">'Z6 Nkangamo-Uhuru'!S18-'Z6 Nkangamo-Uhuru'!P18*C1740/'Z6 Nkangamo-Uhuru'!G18</f>
        <v>1721.03813698582</v>
      </c>
      <c r="G1740" s="51" t="n">
        <f aca="false">'Z6 Nkangamo-Uhuru'!$B$8-E1740</f>
        <v>22.2</v>
      </c>
      <c r="H1740" s="52" t="n">
        <f aca="false">F1740-E1740</f>
        <v>36.7381369858208</v>
      </c>
      <c r="I1740" s="52" t="n">
        <f aca="false">MAX(H1740,G1740)</f>
        <v>36.7381369858208</v>
      </c>
      <c r="J1740" s="4" t="str">
        <f aca="false">IFERROR("PN"&amp;SMALL(PN_list,COUNTIF(PN_list,"&lt;"&amp;I1740*bar_per_m)+1),"&gt; max PN")</f>
        <v>PN10</v>
      </c>
      <c r="K1740" s="4" t="str">
        <f aca="false">IF(L1740="no","end at tank",IF(H1740&lt;0,"NEGATIVE",IF(H1740&lt;p_min-0.005,"low","OK")))</f>
        <v>OK</v>
      </c>
      <c r="L1740" s="4" t="s">
        <v>414</v>
      </c>
    </row>
    <row r="1741" customFormat="false" ht="15" hidden="false" customHeight="false" outlineLevel="0" collapsed="false">
      <c r="A1741" s="4" t="s">
        <v>44</v>
      </c>
      <c r="B1741" s="4" t="s">
        <v>373</v>
      </c>
      <c r="C1741" s="47" t="n">
        <v>11055.91</v>
      </c>
      <c r="D1741" s="48" t="n">
        <v>1685.43</v>
      </c>
      <c r="E1741" s="49" t="n">
        <f aca="false">D1741-cover</f>
        <v>1684.23</v>
      </c>
      <c r="F1741" s="50" t="n">
        <f aca="false">'Z6 Nkangamo-Uhuru'!S18-'Z6 Nkangamo-Uhuru'!P18*C1741/'Z6 Nkangamo-Uhuru'!G18</f>
        <v>1721.00698368287</v>
      </c>
      <c r="G1741" s="51" t="n">
        <f aca="false">'Z6 Nkangamo-Uhuru'!$B$8-E1741</f>
        <v>22.27</v>
      </c>
      <c r="H1741" s="52" t="n">
        <f aca="false">F1741-E1741</f>
        <v>36.7769836828738</v>
      </c>
      <c r="I1741" s="52" t="n">
        <f aca="false">MAX(H1741,G1741)</f>
        <v>36.7769836828738</v>
      </c>
      <c r="J1741" s="4" t="str">
        <f aca="false">IFERROR("PN"&amp;SMALL(PN_list,COUNTIF(PN_list,"&lt;"&amp;I1741*bar_per_m)+1),"&gt; max PN")</f>
        <v>PN10</v>
      </c>
      <c r="K1741" s="4" t="str">
        <f aca="false">IF(L1741="no","end at tank",IF(H1741&lt;0,"NEGATIVE",IF(H1741&lt;p_min-0.005,"low","OK")))</f>
        <v>OK</v>
      </c>
      <c r="L1741" s="4" t="s">
        <v>414</v>
      </c>
    </row>
    <row r="1742" customFormat="false" ht="15" hidden="false" customHeight="false" outlineLevel="0" collapsed="false">
      <c r="A1742" s="4" t="s">
        <v>44</v>
      </c>
      <c r="B1742" s="4" t="s">
        <v>373</v>
      </c>
      <c r="C1742" s="47" t="n">
        <v>11075.91</v>
      </c>
      <c r="D1742" s="48" t="n">
        <v>1685.69</v>
      </c>
      <c r="E1742" s="49" t="n">
        <f aca="false">D1742-cover</f>
        <v>1684.49</v>
      </c>
      <c r="F1742" s="50" t="n">
        <f aca="false">'Z6 Nkangamo-Uhuru'!S18-'Z6 Nkangamo-Uhuru'!P18*C1742/'Z6 Nkangamo-Uhuru'!G18</f>
        <v>1720.97583037993</v>
      </c>
      <c r="G1742" s="51" t="n">
        <f aca="false">'Z6 Nkangamo-Uhuru'!$B$8-E1742</f>
        <v>22.01</v>
      </c>
      <c r="H1742" s="52" t="n">
        <f aca="false">F1742-E1742</f>
        <v>36.4858303799272</v>
      </c>
      <c r="I1742" s="52" t="n">
        <f aca="false">MAX(H1742,G1742)</f>
        <v>36.4858303799272</v>
      </c>
      <c r="J1742" s="4" t="str">
        <f aca="false">IFERROR("PN"&amp;SMALL(PN_list,COUNTIF(PN_list,"&lt;"&amp;I1742*bar_per_m)+1),"&gt; max PN")</f>
        <v>PN10</v>
      </c>
      <c r="K1742" s="4" t="str">
        <f aca="false">IF(L1742="no","end at tank",IF(H1742&lt;0,"NEGATIVE",IF(H1742&lt;p_min-0.005,"low","OK")))</f>
        <v>OK</v>
      </c>
      <c r="L1742" s="4" t="s">
        <v>414</v>
      </c>
    </row>
    <row r="1743" customFormat="false" ht="15" hidden="false" customHeight="false" outlineLevel="0" collapsed="false">
      <c r="A1743" s="4" t="s">
        <v>44</v>
      </c>
      <c r="B1743" s="4" t="s">
        <v>373</v>
      </c>
      <c r="C1743" s="47" t="n">
        <v>11095.92</v>
      </c>
      <c r="D1743" s="48" t="n">
        <v>1685.35</v>
      </c>
      <c r="E1743" s="49" t="n">
        <f aca="false">D1743-cover</f>
        <v>1684.15</v>
      </c>
      <c r="F1743" s="50" t="n">
        <f aca="false">'Z6 Nkangamo-Uhuru'!S18-'Z6 Nkangamo-Uhuru'!P18*C1743/'Z6 Nkangamo-Uhuru'!G18</f>
        <v>1720.94466150033</v>
      </c>
      <c r="G1743" s="51" t="n">
        <f aca="false">'Z6 Nkangamo-Uhuru'!$B$8-E1743</f>
        <v>22.3500000000001</v>
      </c>
      <c r="H1743" s="52" t="n">
        <f aca="false">F1743-E1743</f>
        <v>36.7946615003289</v>
      </c>
      <c r="I1743" s="52" t="n">
        <f aca="false">MAX(H1743,G1743)</f>
        <v>36.7946615003289</v>
      </c>
      <c r="J1743" s="4" t="str">
        <f aca="false">IFERROR("PN"&amp;SMALL(PN_list,COUNTIF(PN_list,"&lt;"&amp;I1743*bar_per_m)+1),"&gt; max PN")</f>
        <v>PN10</v>
      </c>
      <c r="K1743" s="4" t="str">
        <f aca="false">IF(L1743="no","end at tank",IF(H1743&lt;0,"NEGATIVE",IF(H1743&lt;p_min-0.005,"low","OK")))</f>
        <v>OK</v>
      </c>
      <c r="L1743" s="4" t="s">
        <v>414</v>
      </c>
    </row>
    <row r="1744" customFormat="false" ht="15" hidden="false" customHeight="false" outlineLevel="0" collapsed="false">
      <c r="A1744" s="4" t="s">
        <v>44</v>
      </c>
      <c r="B1744" s="4" t="s">
        <v>373</v>
      </c>
      <c r="C1744" s="47" t="n">
        <v>11115.92</v>
      </c>
      <c r="D1744" s="48" t="n">
        <v>1684.98</v>
      </c>
      <c r="E1744" s="49" t="n">
        <f aca="false">D1744-cover</f>
        <v>1683.78</v>
      </c>
      <c r="F1744" s="50" t="n">
        <f aca="false">'Z6 Nkangamo-Uhuru'!S18-'Z6 Nkangamo-Uhuru'!P18*C1744/'Z6 Nkangamo-Uhuru'!G18</f>
        <v>1720.91350819738</v>
      </c>
      <c r="G1744" s="51" t="n">
        <f aca="false">'Z6 Nkangamo-Uhuru'!$B$8-E1744</f>
        <v>22.72</v>
      </c>
      <c r="H1744" s="52" t="n">
        <f aca="false">F1744-E1744</f>
        <v>37.1335081973821</v>
      </c>
      <c r="I1744" s="52" t="n">
        <f aca="false">MAX(H1744,G1744)</f>
        <v>37.1335081973821</v>
      </c>
      <c r="J1744" s="4" t="str">
        <f aca="false">IFERROR("PN"&amp;SMALL(PN_list,COUNTIF(PN_list,"&lt;"&amp;I1744*bar_per_m)+1),"&gt; max PN")</f>
        <v>PN10</v>
      </c>
      <c r="K1744" s="4" t="str">
        <f aca="false">IF(L1744="no","end at tank",IF(H1744&lt;0,"NEGATIVE",IF(H1744&lt;p_min-0.005,"low","OK")))</f>
        <v>OK</v>
      </c>
      <c r="L1744" s="4" t="s">
        <v>414</v>
      </c>
    </row>
    <row r="1745" customFormat="false" ht="15" hidden="false" customHeight="false" outlineLevel="0" collapsed="false">
      <c r="A1745" s="4" t="s">
        <v>44</v>
      </c>
      <c r="B1745" s="4" t="s">
        <v>373</v>
      </c>
      <c r="C1745" s="47" t="n">
        <v>11135.92</v>
      </c>
      <c r="D1745" s="48" t="n">
        <v>1684.88</v>
      </c>
      <c r="E1745" s="49" t="n">
        <f aca="false">D1745-cover</f>
        <v>1683.68</v>
      </c>
      <c r="F1745" s="50" t="n">
        <f aca="false">'Z6 Nkangamo-Uhuru'!S18-'Z6 Nkangamo-Uhuru'!P18*C1745/'Z6 Nkangamo-Uhuru'!G18</f>
        <v>1720.88235489444</v>
      </c>
      <c r="G1745" s="51" t="n">
        <f aca="false">'Z6 Nkangamo-Uhuru'!$B$8-E1745</f>
        <v>22.8199999999999</v>
      </c>
      <c r="H1745" s="52" t="n">
        <f aca="false">F1745-E1745</f>
        <v>37.2023548944351</v>
      </c>
      <c r="I1745" s="52" t="n">
        <f aca="false">MAX(H1745,G1745)</f>
        <v>37.2023548944351</v>
      </c>
      <c r="J1745" s="4" t="str">
        <f aca="false">IFERROR("PN"&amp;SMALL(PN_list,COUNTIF(PN_list,"&lt;"&amp;I1745*bar_per_m)+1),"&gt; max PN")</f>
        <v>PN10</v>
      </c>
      <c r="K1745" s="4" t="str">
        <f aca="false">IF(L1745="no","end at tank",IF(H1745&lt;0,"NEGATIVE",IF(H1745&lt;p_min-0.005,"low","OK")))</f>
        <v>OK</v>
      </c>
      <c r="L1745" s="4" t="s">
        <v>414</v>
      </c>
    </row>
    <row r="1746" customFormat="false" ht="15" hidden="false" customHeight="false" outlineLevel="0" collapsed="false">
      <c r="A1746" s="4" t="s">
        <v>44</v>
      </c>
      <c r="B1746" s="4" t="s">
        <v>373</v>
      </c>
      <c r="C1746" s="47" t="n">
        <v>11155.92</v>
      </c>
      <c r="D1746" s="48" t="n">
        <v>1685.06</v>
      </c>
      <c r="E1746" s="49" t="n">
        <f aca="false">D1746-cover</f>
        <v>1683.86</v>
      </c>
      <c r="F1746" s="50" t="n">
        <f aca="false">'Z6 Nkangamo-Uhuru'!S18-'Z6 Nkangamo-Uhuru'!P18*C1746/'Z6 Nkangamo-Uhuru'!G18</f>
        <v>1720.85120159149</v>
      </c>
      <c r="G1746" s="51" t="n">
        <f aca="false">'Z6 Nkangamo-Uhuru'!$B$8-E1746</f>
        <v>22.6400000000001</v>
      </c>
      <c r="H1746" s="52" t="n">
        <f aca="false">F1746-E1746</f>
        <v>36.9912015914883</v>
      </c>
      <c r="I1746" s="52" t="n">
        <f aca="false">MAX(H1746,G1746)</f>
        <v>36.9912015914883</v>
      </c>
      <c r="J1746" s="4" t="str">
        <f aca="false">IFERROR("PN"&amp;SMALL(PN_list,COUNTIF(PN_list,"&lt;"&amp;I1746*bar_per_m)+1),"&gt; max PN")</f>
        <v>PN10</v>
      </c>
      <c r="K1746" s="4" t="str">
        <f aca="false">IF(L1746="no","end at tank",IF(H1746&lt;0,"NEGATIVE",IF(H1746&lt;p_min-0.005,"low","OK")))</f>
        <v>OK</v>
      </c>
      <c r="L1746" s="4" t="s">
        <v>414</v>
      </c>
    </row>
    <row r="1747" customFormat="false" ht="15" hidden="false" customHeight="false" outlineLevel="0" collapsed="false">
      <c r="A1747" s="4" t="s">
        <v>44</v>
      </c>
      <c r="B1747" s="4" t="s">
        <v>373</v>
      </c>
      <c r="C1747" s="47" t="n">
        <v>11175.93</v>
      </c>
      <c r="D1747" s="48" t="n">
        <v>1684.63</v>
      </c>
      <c r="E1747" s="49" t="n">
        <f aca="false">D1747-cover</f>
        <v>1683.43</v>
      </c>
      <c r="F1747" s="50" t="n">
        <f aca="false">'Z6 Nkangamo-Uhuru'!S18-'Z6 Nkangamo-Uhuru'!P18*C1747/'Z6 Nkangamo-Uhuru'!G18</f>
        <v>1720.82003271189</v>
      </c>
      <c r="G1747" s="51" t="n">
        <f aca="false">'Z6 Nkangamo-Uhuru'!$B$8-E1747</f>
        <v>23.0699999999999</v>
      </c>
      <c r="H1747" s="52" t="n">
        <f aca="false">F1747-E1747</f>
        <v>37.3900327118899</v>
      </c>
      <c r="I1747" s="52" t="n">
        <f aca="false">MAX(H1747,G1747)</f>
        <v>37.3900327118899</v>
      </c>
      <c r="J1747" s="4" t="str">
        <f aca="false">IFERROR("PN"&amp;SMALL(PN_list,COUNTIF(PN_list,"&lt;"&amp;I1747*bar_per_m)+1),"&gt; max PN")</f>
        <v>PN10</v>
      </c>
      <c r="K1747" s="4" t="str">
        <f aca="false">IF(L1747="no","end at tank",IF(H1747&lt;0,"NEGATIVE",IF(H1747&lt;p_min-0.005,"low","OK")))</f>
        <v>OK</v>
      </c>
      <c r="L1747" s="4" t="s">
        <v>414</v>
      </c>
    </row>
    <row r="1748" customFormat="false" ht="15" hidden="false" customHeight="false" outlineLevel="0" collapsed="false">
      <c r="A1748" s="4" t="s">
        <v>44</v>
      </c>
      <c r="B1748" s="4" t="s">
        <v>373</v>
      </c>
      <c r="C1748" s="47" t="n">
        <v>11195.93</v>
      </c>
      <c r="D1748" s="48" t="n">
        <v>1684.77</v>
      </c>
      <c r="E1748" s="49" t="n">
        <f aca="false">D1748-cover</f>
        <v>1683.57</v>
      </c>
      <c r="F1748" s="50" t="n">
        <f aca="false">'Z6 Nkangamo-Uhuru'!S18-'Z6 Nkangamo-Uhuru'!P18*C1748/'Z6 Nkangamo-Uhuru'!G18</f>
        <v>1720.78887940894</v>
      </c>
      <c r="G1748" s="51" t="n">
        <f aca="false">'Z6 Nkangamo-Uhuru'!$B$8-E1748</f>
        <v>22.9300000000001</v>
      </c>
      <c r="H1748" s="52" t="n">
        <f aca="false">F1748-E1748</f>
        <v>37.2188794089432</v>
      </c>
      <c r="I1748" s="52" t="n">
        <f aca="false">MAX(H1748,G1748)</f>
        <v>37.2188794089432</v>
      </c>
      <c r="J1748" s="4" t="str">
        <f aca="false">IFERROR("PN"&amp;SMALL(PN_list,COUNTIF(PN_list,"&lt;"&amp;I1748*bar_per_m)+1),"&gt; max PN")</f>
        <v>PN10</v>
      </c>
      <c r="K1748" s="4" t="str">
        <f aca="false">IF(L1748="no","end at tank",IF(H1748&lt;0,"NEGATIVE",IF(H1748&lt;p_min-0.005,"low","OK")))</f>
        <v>OK</v>
      </c>
      <c r="L1748" s="4" t="s">
        <v>414</v>
      </c>
    </row>
    <row r="1749" customFormat="false" ht="15" hidden="false" customHeight="false" outlineLevel="0" collapsed="false">
      <c r="A1749" s="4" t="s">
        <v>44</v>
      </c>
      <c r="B1749" s="4" t="s">
        <v>373</v>
      </c>
      <c r="C1749" s="47" t="n">
        <v>11215.93</v>
      </c>
      <c r="D1749" s="48" t="n">
        <v>1684.76</v>
      </c>
      <c r="E1749" s="49" t="n">
        <f aca="false">D1749-cover</f>
        <v>1683.56</v>
      </c>
      <c r="F1749" s="50" t="n">
        <f aca="false">'Z6 Nkangamo-Uhuru'!S18-'Z6 Nkangamo-Uhuru'!P18*C1749/'Z6 Nkangamo-Uhuru'!G18</f>
        <v>1720.757726106</v>
      </c>
      <c r="G1749" s="51" t="n">
        <f aca="false">'Z6 Nkangamo-Uhuru'!$B$8-E1749</f>
        <v>22.9400000000001</v>
      </c>
      <c r="H1749" s="52" t="n">
        <f aca="false">F1749-E1749</f>
        <v>37.1977261059965</v>
      </c>
      <c r="I1749" s="52" t="n">
        <f aca="false">MAX(H1749,G1749)</f>
        <v>37.1977261059965</v>
      </c>
      <c r="J1749" s="4" t="str">
        <f aca="false">IFERROR("PN"&amp;SMALL(PN_list,COUNTIF(PN_list,"&lt;"&amp;I1749*bar_per_m)+1),"&gt; max PN")</f>
        <v>PN10</v>
      </c>
      <c r="K1749" s="4" t="str">
        <f aca="false">IF(L1749="no","end at tank",IF(H1749&lt;0,"NEGATIVE",IF(H1749&lt;p_min-0.005,"low","OK")))</f>
        <v>OK</v>
      </c>
      <c r="L1749" s="4" t="s">
        <v>414</v>
      </c>
    </row>
    <row r="1750" customFormat="false" ht="15" hidden="false" customHeight="false" outlineLevel="0" collapsed="false">
      <c r="A1750" s="4" t="s">
        <v>44</v>
      </c>
      <c r="B1750" s="4" t="s">
        <v>373</v>
      </c>
      <c r="C1750" s="47" t="n">
        <v>11235.85</v>
      </c>
      <c r="D1750" s="48" t="n">
        <v>1685.04</v>
      </c>
      <c r="E1750" s="49" t="n">
        <f aca="false">D1750-cover</f>
        <v>1683.84</v>
      </c>
      <c r="F1750" s="50" t="n">
        <f aca="false">'Z6 Nkangamo-Uhuru'!S18-'Z6 Nkangamo-Uhuru'!P18*C1750/'Z6 Nkangamo-Uhuru'!G18</f>
        <v>1720.72669741626</v>
      </c>
      <c r="G1750" s="51" t="n">
        <f aca="false">'Z6 Nkangamo-Uhuru'!$B$8-E1750</f>
        <v>22.6600000000001</v>
      </c>
      <c r="H1750" s="52" t="n">
        <f aca="false">F1750-E1750</f>
        <v>36.8866974162613</v>
      </c>
      <c r="I1750" s="52" t="n">
        <f aca="false">MAX(H1750,G1750)</f>
        <v>36.8866974162613</v>
      </c>
      <c r="J1750" s="4" t="str">
        <f aca="false">IFERROR("PN"&amp;SMALL(PN_list,COUNTIF(PN_list,"&lt;"&amp;I1750*bar_per_m)+1),"&gt; max PN")</f>
        <v>PN10</v>
      </c>
      <c r="K1750" s="4" t="str">
        <f aca="false">IF(L1750="no","end at tank",IF(H1750&lt;0,"NEGATIVE",IF(H1750&lt;p_min-0.005,"low","OK")))</f>
        <v>OK</v>
      </c>
      <c r="L1750" s="4" t="s">
        <v>414</v>
      </c>
    </row>
    <row r="1751" customFormat="false" ht="15" hidden="false" customHeight="false" outlineLevel="0" collapsed="false">
      <c r="A1751" s="4" t="s">
        <v>44</v>
      </c>
      <c r="B1751" s="4" t="s">
        <v>373</v>
      </c>
      <c r="C1751" s="47" t="n">
        <v>11255.85</v>
      </c>
      <c r="D1751" s="48" t="n">
        <v>1684.88</v>
      </c>
      <c r="E1751" s="49" t="n">
        <f aca="false">D1751-cover</f>
        <v>1683.68</v>
      </c>
      <c r="F1751" s="50" t="n">
        <f aca="false">'Z6 Nkangamo-Uhuru'!S18-'Z6 Nkangamo-Uhuru'!P18*C1751/'Z6 Nkangamo-Uhuru'!G18</f>
        <v>1720.69554411331</v>
      </c>
      <c r="G1751" s="51" t="n">
        <f aca="false">'Z6 Nkangamo-Uhuru'!$B$8-E1751</f>
        <v>22.8199999999999</v>
      </c>
      <c r="H1751" s="52" t="n">
        <f aca="false">F1751-E1751</f>
        <v>37.0155441133145</v>
      </c>
      <c r="I1751" s="52" t="n">
        <f aca="false">MAX(H1751,G1751)</f>
        <v>37.0155441133145</v>
      </c>
      <c r="J1751" s="4" t="str">
        <f aca="false">IFERROR("PN"&amp;SMALL(PN_list,COUNTIF(PN_list,"&lt;"&amp;I1751*bar_per_m)+1),"&gt; max PN")</f>
        <v>PN10</v>
      </c>
      <c r="K1751" s="4" t="str">
        <f aca="false">IF(L1751="no","end at tank",IF(H1751&lt;0,"NEGATIVE",IF(H1751&lt;p_min-0.005,"low","OK")))</f>
        <v>OK</v>
      </c>
      <c r="L1751" s="4" t="s">
        <v>414</v>
      </c>
    </row>
    <row r="1752" customFormat="false" ht="15" hidden="false" customHeight="false" outlineLevel="0" collapsed="false">
      <c r="A1752" s="4" t="s">
        <v>44</v>
      </c>
      <c r="B1752" s="4" t="s">
        <v>373</v>
      </c>
      <c r="C1752" s="47" t="n">
        <v>11275.85</v>
      </c>
      <c r="D1752" s="48" t="n">
        <v>1685.3</v>
      </c>
      <c r="E1752" s="49" t="n">
        <f aca="false">D1752-cover</f>
        <v>1684.1</v>
      </c>
      <c r="F1752" s="50" t="n">
        <f aca="false">'Z6 Nkangamo-Uhuru'!S18-'Z6 Nkangamo-Uhuru'!P18*C1752/'Z6 Nkangamo-Uhuru'!G18</f>
        <v>1720.66439081037</v>
      </c>
      <c r="G1752" s="51" t="n">
        <f aca="false">'Z6 Nkangamo-Uhuru'!$B$8-E1752</f>
        <v>22.4000000000001</v>
      </c>
      <c r="H1752" s="52" t="n">
        <f aca="false">F1752-E1752</f>
        <v>36.5643908103677</v>
      </c>
      <c r="I1752" s="52" t="n">
        <f aca="false">MAX(H1752,G1752)</f>
        <v>36.5643908103677</v>
      </c>
      <c r="J1752" s="4" t="str">
        <f aca="false">IFERROR("PN"&amp;SMALL(PN_list,COUNTIF(PN_list,"&lt;"&amp;I1752*bar_per_m)+1),"&gt; max PN")</f>
        <v>PN10</v>
      </c>
      <c r="K1752" s="4" t="str">
        <f aca="false">IF(L1752="no","end at tank",IF(H1752&lt;0,"NEGATIVE",IF(H1752&lt;p_min-0.005,"low","OK")))</f>
        <v>OK</v>
      </c>
      <c r="L1752" s="4" t="s">
        <v>414</v>
      </c>
    </row>
    <row r="1753" customFormat="false" ht="15" hidden="false" customHeight="false" outlineLevel="0" collapsed="false">
      <c r="A1753" s="4" t="s">
        <v>44</v>
      </c>
      <c r="B1753" s="4" t="s">
        <v>373</v>
      </c>
      <c r="C1753" s="47" t="n">
        <v>11295.86</v>
      </c>
      <c r="D1753" s="48" t="n">
        <v>1685.02</v>
      </c>
      <c r="E1753" s="49" t="n">
        <f aca="false">D1753-cover</f>
        <v>1683.82</v>
      </c>
      <c r="F1753" s="50" t="n">
        <f aca="false">'Z6 Nkangamo-Uhuru'!S18-'Z6 Nkangamo-Uhuru'!P18*C1753/'Z6 Nkangamo-Uhuru'!G18</f>
        <v>1720.63322193077</v>
      </c>
      <c r="G1753" s="51" t="n">
        <f aca="false">'Z6 Nkangamo-Uhuru'!$B$8-E1753</f>
        <v>22.6800000000001</v>
      </c>
      <c r="H1753" s="52" t="n">
        <f aca="false">F1753-E1753</f>
        <v>36.8132219307695</v>
      </c>
      <c r="I1753" s="52" t="n">
        <f aca="false">MAX(H1753,G1753)</f>
        <v>36.8132219307695</v>
      </c>
      <c r="J1753" s="4" t="str">
        <f aca="false">IFERROR("PN"&amp;SMALL(PN_list,COUNTIF(PN_list,"&lt;"&amp;I1753*bar_per_m)+1),"&gt; max PN")</f>
        <v>PN10</v>
      </c>
      <c r="K1753" s="4" t="str">
        <f aca="false">IF(L1753="no","end at tank",IF(H1753&lt;0,"NEGATIVE",IF(H1753&lt;p_min-0.005,"low","OK")))</f>
        <v>OK</v>
      </c>
      <c r="L1753" s="4" t="s">
        <v>414</v>
      </c>
    </row>
    <row r="1754" customFormat="false" ht="15" hidden="false" customHeight="false" outlineLevel="0" collapsed="false">
      <c r="A1754" s="4" t="s">
        <v>44</v>
      </c>
      <c r="B1754" s="4" t="s">
        <v>373</v>
      </c>
      <c r="C1754" s="47" t="n">
        <v>11315.86</v>
      </c>
      <c r="D1754" s="48" t="n">
        <v>1685.6</v>
      </c>
      <c r="E1754" s="49" t="n">
        <f aca="false">D1754-cover</f>
        <v>1684.4</v>
      </c>
      <c r="F1754" s="50" t="n">
        <f aca="false">'Z6 Nkangamo-Uhuru'!S18-'Z6 Nkangamo-Uhuru'!P18*C1754/'Z6 Nkangamo-Uhuru'!G18</f>
        <v>1720.60206862782</v>
      </c>
      <c r="G1754" s="51" t="n">
        <f aca="false">'Z6 Nkangamo-Uhuru'!$B$8-E1754</f>
        <v>22.1000000000001</v>
      </c>
      <c r="H1754" s="52" t="n">
        <f aca="false">F1754-E1754</f>
        <v>36.2020686278227</v>
      </c>
      <c r="I1754" s="52" t="n">
        <f aca="false">MAX(H1754,G1754)</f>
        <v>36.2020686278227</v>
      </c>
      <c r="J1754" s="4" t="str">
        <f aca="false">IFERROR("PN"&amp;SMALL(PN_list,COUNTIF(PN_list,"&lt;"&amp;I1754*bar_per_m)+1),"&gt; max PN")</f>
        <v>PN10</v>
      </c>
      <c r="K1754" s="4" t="str">
        <f aca="false">IF(L1754="no","end at tank",IF(H1754&lt;0,"NEGATIVE",IF(H1754&lt;p_min-0.005,"low","OK")))</f>
        <v>OK</v>
      </c>
      <c r="L1754" s="4" t="s">
        <v>414</v>
      </c>
    </row>
    <row r="1755" customFormat="false" ht="15" hidden="false" customHeight="false" outlineLevel="0" collapsed="false">
      <c r="A1755" s="4" t="s">
        <v>44</v>
      </c>
      <c r="B1755" s="4" t="s">
        <v>373</v>
      </c>
      <c r="C1755" s="47" t="n">
        <v>11335.86</v>
      </c>
      <c r="D1755" s="48" t="n">
        <v>1685.62</v>
      </c>
      <c r="E1755" s="49" t="n">
        <f aca="false">D1755-cover</f>
        <v>1684.42</v>
      </c>
      <c r="F1755" s="50" t="n">
        <f aca="false">'Z6 Nkangamo-Uhuru'!S18-'Z6 Nkangamo-Uhuru'!P18*C1755/'Z6 Nkangamo-Uhuru'!G18</f>
        <v>1720.57091532488</v>
      </c>
      <c r="G1755" s="51" t="n">
        <f aca="false">'Z6 Nkangamo-Uhuru'!$B$8-E1755</f>
        <v>22.0800000000002</v>
      </c>
      <c r="H1755" s="52" t="n">
        <f aca="false">F1755-E1755</f>
        <v>36.1509153248758</v>
      </c>
      <c r="I1755" s="52" t="n">
        <f aca="false">MAX(H1755,G1755)</f>
        <v>36.1509153248758</v>
      </c>
      <c r="J1755" s="4" t="str">
        <f aca="false">IFERROR("PN"&amp;SMALL(PN_list,COUNTIF(PN_list,"&lt;"&amp;I1755*bar_per_m)+1),"&gt; max PN")</f>
        <v>PN10</v>
      </c>
      <c r="K1755" s="4" t="str">
        <f aca="false">IF(L1755="no","end at tank",IF(H1755&lt;0,"NEGATIVE",IF(H1755&lt;p_min-0.005,"low","OK")))</f>
        <v>OK</v>
      </c>
      <c r="L1755" s="4" t="s">
        <v>414</v>
      </c>
    </row>
    <row r="1756" customFormat="false" ht="15" hidden="false" customHeight="false" outlineLevel="0" collapsed="false">
      <c r="A1756" s="4" t="s">
        <v>44</v>
      </c>
      <c r="B1756" s="4" t="s">
        <v>373</v>
      </c>
      <c r="C1756" s="47" t="n">
        <v>11355.87</v>
      </c>
      <c r="D1756" s="48" t="n">
        <v>1685.89</v>
      </c>
      <c r="E1756" s="49" t="n">
        <f aca="false">D1756-cover</f>
        <v>1684.69</v>
      </c>
      <c r="F1756" s="50" t="n">
        <f aca="false">'Z6 Nkangamo-Uhuru'!S18-'Z6 Nkangamo-Uhuru'!P18*C1756/'Z6 Nkangamo-Uhuru'!G18</f>
        <v>1720.53974644528</v>
      </c>
      <c r="G1756" s="51" t="n">
        <f aca="false">'Z6 Nkangamo-Uhuru'!$B$8-E1756</f>
        <v>21.8099999999999</v>
      </c>
      <c r="H1756" s="52" t="n">
        <f aca="false">F1756-E1756</f>
        <v>35.8497464452773</v>
      </c>
      <c r="I1756" s="52" t="n">
        <f aca="false">MAX(H1756,G1756)</f>
        <v>35.8497464452773</v>
      </c>
      <c r="J1756" s="4" t="str">
        <f aca="false">IFERROR("PN"&amp;SMALL(PN_list,COUNTIF(PN_list,"&lt;"&amp;I1756*bar_per_m)+1),"&gt; max PN")</f>
        <v>PN10</v>
      </c>
      <c r="K1756" s="4" t="str">
        <f aca="false">IF(L1756="no","end at tank",IF(H1756&lt;0,"NEGATIVE",IF(H1756&lt;p_min-0.005,"low","OK")))</f>
        <v>OK</v>
      </c>
      <c r="L1756" s="4" t="s">
        <v>414</v>
      </c>
    </row>
    <row r="1757" customFormat="false" ht="15" hidden="false" customHeight="false" outlineLevel="0" collapsed="false">
      <c r="A1757" s="4" t="s">
        <v>44</v>
      </c>
      <c r="B1757" s="4" t="s">
        <v>373</v>
      </c>
      <c r="C1757" s="47" t="n">
        <v>11375.87</v>
      </c>
      <c r="D1757" s="48" t="n">
        <v>1686.03</v>
      </c>
      <c r="E1757" s="49" t="n">
        <f aca="false">D1757-cover</f>
        <v>1684.83</v>
      </c>
      <c r="F1757" s="50" t="n">
        <f aca="false">'Z6 Nkangamo-Uhuru'!S18-'Z6 Nkangamo-Uhuru'!P18*C1757/'Z6 Nkangamo-Uhuru'!G18</f>
        <v>1720.50859314233</v>
      </c>
      <c r="G1757" s="51" t="n">
        <f aca="false">'Z6 Nkangamo-Uhuru'!$B$8-E1757</f>
        <v>21.6700000000001</v>
      </c>
      <c r="H1757" s="52" t="n">
        <f aca="false">F1757-E1757</f>
        <v>35.6785931423306</v>
      </c>
      <c r="I1757" s="52" t="n">
        <f aca="false">MAX(H1757,G1757)</f>
        <v>35.6785931423306</v>
      </c>
      <c r="J1757" s="4" t="str">
        <f aca="false">IFERROR("PN"&amp;SMALL(PN_list,COUNTIF(PN_list,"&lt;"&amp;I1757*bar_per_m)+1),"&gt; max PN")</f>
        <v>PN10</v>
      </c>
      <c r="K1757" s="4" t="str">
        <f aca="false">IF(L1757="no","end at tank",IF(H1757&lt;0,"NEGATIVE",IF(H1757&lt;p_min-0.005,"low","OK")))</f>
        <v>OK</v>
      </c>
      <c r="L1757" s="4" t="s">
        <v>414</v>
      </c>
    </row>
    <row r="1758" customFormat="false" ht="15" hidden="false" customHeight="false" outlineLevel="0" collapsed="false">
      <c r="A1758" s="4" t="s">
        <v>44</v>
      </c>
      <c r="B1758" s="4" t="s">
        <v>373</v>
      </c>
      <c r="C1758" s="47" t="n">
        <v>11395.87</v>
      </c>
      <c r="D1758" s="48" t="n">
        <v>1686.14</v>
      </c>
      <c r="E1758" s="49" t="n">
        <f aca="false">D1758-cover</f>
        <v>1684.94</v>
      </c>
      <c r="F1758" s="50" t="n">
        <f aca="false">'Z6 Nkangamo-Uhuru'!S18-'Z6 Nkangamo-Uhuru'!P18*C1758/'Z6 Nkangamo-Uhuru'!G18</f>
        <v>1720.47743983938</v>
      </c>
      <c r="G1758" s="51" t="n">
        <f aca="false">'Z6 Nkangamo-Uhuru'!$B$8-E1758</f>
        <v>21.5599999999999</v>
      </c>
      <c r="H1758" s="52" t="n">
        <f aca="false">F1758-E1758</f>
        <v>35.5374398393838</v>
      </c>
      <c r="I1758" s="52" t="n">
        <f aca="false">MAX(H1758,G1758)</f>
        <v>35.5374398393838</v>
      </c>
      <c r="J1758" s="4" t="str">
        <f aca="false">IFERROR("PN"&amp;SMALL(PN_list,COUNTIF(PN_list,"&lt;"&amp;I1758*bar_per_m)+1),"&gt; max PN")</f>
        <v>PN10</v>
      </c>
      <c r="K1758" s="4" t="str">
        <f aca="false">IF(L1758="no","end at tank",IF(H1758&lt;0,"NEGATIVE",IF(H1758&lt;p_min-0.005,"low","OK")))</f>
        <v>OK</v>
      </c>
      <c r="L1758" s="4" t="s">
        <v>414</v>
      </c>
    </row>
    <row r="1759" customFormat="false" ht="15" hidden="false" customHeight="false" outlineLevel="0" collapsed="false">
      <c r="A1759" s="4" t="s">
        <v>44</v>
      </c>
      <c r="B1759" s="4" t="s">
        <v>373</v>
      </c>
      <c r="C1759" s="47" t="n">
        <v>11415.87</v>
      </c>
      <c r="D1759" s="48" t="n">
        <v>1686.36</v>
      </c>
      <c r="E1759" s="49" t="n">
        <f aca="false">D1759-cover</f>
        <v>1685.16</v>
      </c>
      <c r="F1759" s="50" t="n">
        <f aca="false">'Z6 Nkangamo-Uhuru'!S18-'Z6 Nkangamo-Uhuru'!P18*C1759/'Z6 Nkangamo-Uhuru'!G18</f>
        <v>1720.44628653644</v>
      </c>
      <c r="G1759" s="51" t="n">
        <f aca="false">'Z6 Nkangamo-Uhuru'!$B$8-E1759</f>
        <v>21.3400000000001</v>
      </c>
      <c r="H1759" s="52" t="n">
        <f aca="false">F1759-E1759</f>
        <v>35.286286536437</v>
      </c>
      <c r="I1759" s="52" t="n">
        <f aca="false">MAX(H1759,G1759)</f>
        <v>35.286286536437</v>
      </c>
      <c r="J1759" s="4" t="str">
        <f aca="false">IFERROR("PN"&amp;SMALL(PN_list,COUNTIF(PN_list,"&lt;"&amp;I1759*bar_per_m)+1),"&gt; max PN")</f>
        <v>PN10</v>
      </c>
      <c r="K1759" s="4" t="str">
        <f aca="false">IF(L1759="no","end at tank",IF(H1759&lt;0,"NEGATIVE",IF(H1759&lt;p_min-0.005,"low","OK")))</f>
        <v>OK</v>
      </c>
      <c r="L1759" s="4" t="s">
        <v>414</v>
      </c>
    </row>
    <row r="1760" customFormat="false" ht="15" hidden="false" customHeight="false" outlineLevel="0" collapsed="false">
      <c r="A1760" s="4" t="s">
        <v>44</v>
      </c>
      <c r="B1760" s="4" t="s">
        <v>373</v>
      </c>
      <c r="C1760" s="47" t="n">
        <v>11435.87</v>
      </c>
      <c r="D1760" s="48" t="n">
        <v>1686.43</v>
      </c>
      <c r="E1760" s="49" t="n">
        <f aca="false">D1760-cover</f>
        <v>1685.23</v>
      </c>
      <c r="F1760" s="50" t="n">
        <f aca="false">'Z6 Nkangamo-Uhuru'!S18-'Z6 Nkangamo-Uhuru'!P18*C1760/'Z6 Nkangamo-Uhuru'!G18</f>
        <v>1720.41513323349</v>
      </c>
      <c r="G1760" s="51" t="n">
        <f aca="false">'Z6 Nkangamo-Uhuru'!$B$8-E1760</f>
        <v>21.27</v>
      </c>
      <c r="H1760" s="52" t="n">
        <f aca="false">F1760-E1760</f>
        <v>35.18513323349</v>
      </c>
      <c r="I1760" s="52" t="n">
        <f aca="false">MAX(H1760,G1760)</f>
        <v>35.18513323349</v>
      </c>
      <c r="J1760" s="4" t="str">
        <f aca="false">IFERROR("PN"&amp;SMALL(PN_list,COUNTIF(PN_list,"&lt;"&amp;I1760*bar_per_m)+1),"&gt; max PN")</f>
        <v>PN10</v>
      </c>
      <c r="K1760" s="4" t="str">
        <f aca="false">IF(L1760="no","end at tank",IF(H1760&lt;0,"NEGATIVE",IF(H1760&lt;p_min-0.005,"low","OK")))</f>
        <v>OK</v>
      </c>
      <c r="L1760" s="4" t="s">
        <v>414</v>
      </c>
    </row>
    <row r="1761" customFormat="false" ht="15" hidden="false" customHeight="false" outlineLevel="0" collapsed="false">
      <c r="A1761" s="4" t="s">
        <v>44</v>
      </c>
      <c r="B1761" s="4" t="s">
        <v>373</v>
      </c>
      <c r="C1761" s="47" t="n">
        <v>11455.89</v>
      </c>
      <c r="D1761" s="48" t="n">
        <v>1687.26</v>
      </c>
      <c r="E1761" s="49" t="n">
        <f aca="false">D1761-cover</f>
        <v>1686.06</v>
      </c>
      <c r="F1761" s="50" t="n">
        <f aca="false">'Z6 Nkangamo-Uhuru'!S18-'Z6 Nkangamo-Uhuru'!P18*C1761/'Z6 Nkangamo-Uhuru'!G18</f>
        <v>1720.38394877724</v>
      </c>
      <c r="G1761" s="51" t="n">
        <f aca="false">'Z6 Nkangamo-Uhuru'!$B$8-E1761</f>
        <v>20.4400000000001</v>
      </c>
      <c r="H1761" s="52" t="n">
        <f aca="false">F1761-E1761</f>
        <v>34.3239487772403</v>
      </c>
      <c r="I1761" s="52" t="n">
        <f aca="false">MAX(H1761,G1761)</f>
        <v>34.3239487772403</v>
      </c>
      <c r="J1761" s="4" t="str">
        <f aca="false">IFERROR("PN"&amp;SMALL(PN_list,COUNTIF(PN_list,"&lt;"&amp;I1761*bar_per_m)+1),"&gt; max PN")</f>
        <v>PN10</v>
      </c>
      <c r="K1761" s="4" t="str">
        <f aca="false">IF(L1761="no","end at tank",IF(H1761&lt;0,"NEGATIVE",IF(H1761&lt;p_min-0.005,"low","OK")))</f>
        <v>OK</v>
      </c>
      <c r="L1761" s="4" t="s">
        <v>414</v>
      </c>
    </row>
    <row r="1762" customFormat="false" ht="15" hidden="false" customHeight="false" outlineLevel="0" collapsed="false">
      <c r="A1762" s="4" t="s">
        <v>44</v>
      </c>
      <c r="B1762" s="4" t="s">
        <v>373</v>
      </c>
      <c r="C1762" s="47" t="n">
        <v>11475.89</v>
      </c>
      <c r="D1762" s="48" t="n">
        <v>1687.18</v>
      </c>
      <c r="E1762" s="49" t="n">
        <f aca="false">D1762-cover</f>
        <v>1685.98</v>
      </c>
      <c r="F1762" s="50" t="n">
        <f aca="false">'Z6 Nkangamo-Uhuru'!S18-'Z6 Nkangamo-Uhuru'!P18*C1762/'Z6 Nkangamo-Uhuru'!G18</f>
        <v>1720.35279547429</v>
      </c>
      <c r="G1762" s="51" t="n">
        <f aca="false">'Z6 Nkangamo-Uhuru'!$B$8-E1762</f>
        <v>20.52</v>
      </c>
      <c r="H1762" s="52" t="n">
        <f aca="false">F1762-E1762</f>
        <v>34.3727954742935</v>
      </c>
      <c r="I1762" s="52" t="n">
        <f aca="false">MAX(H1762,G1762)</f>
        <v>34.3727954742935</v>
      </c>
      <c r="J1762" s="4" t="str">
        <f aca="false">IFERROR("PN"&amp;SMALL(PN_list,COUNTIF(PN_list,"&lt;"&amp;I1762*bar_per_m)+1),"&gt; max PN")</f>
        <v>PN10</v>
      </c>
      <c r="K1762" s="4" t="str">
        <f aca="false">IF(L1762="no","end at tank",IF(H1762&lt;0,"NEGATIVE",IF(H1762&lt;p_min-0.005,"low","OK")))</f>
        <v>OK</v>
      </c>
      <c r="L1762" s="4" t="s">
        <v>414</v>
      </c>
    </row>
    <row r="1763" customFormat="false" ht="15" hidden="false" customHeight="false" outlineLevel="0" collapsed="false">
      <c r="A1763" s="4" t="s">
        <v>44</v>
      </c>
      <c r="B1763" s="4" t="s">
        <v>373</v>
      </c>
      <c r="C1763" s="47" t="n">
        <v>11495.89</v>
      </c>
      <c r="D1763" s="48" t="n">
        <v>1687.07</v>
      </c>
      <c r="E1763" s="49" t="n">
        <f aca="false">D1763-cover</f>
        <v>1685.87</v>
      </c>
      <c r="F1763" s="50" t="n">
        <f aca="false">'Z6 Nkangamo-Uhuru'!S18-'Z6 Nkangamo-Uhuru'!P18*C1763/'Z6 Nkangamo-Uhuru'!G18</f>
        <v>1720.32164217135</v>
      </c>
      <c r="G1763" s="51" t="n">
        <f aca="false">'Z6 Nkangamo-Uhuru'!$B$8-E1763</f>
        <v>20.6300000000001</v>
      </c>
      <c r="H1763" s="52" t="n">
        <f aca="false">F1763-E1763</f>
        <v>34.4516421713468</v>
      </c>
      <c r="I1763" s="52" t="n">
        <f aca="false">MAX(H1763,G1763)</f>
        <v>34.4516421713468</v>
      </c>
      <c r="J1763" s="4" t="str">
        <f aca="false">IFERROR("PN"&amp;SMALL(PN_list,COUNTIF(PN_list,"&lt;"&amp;I1763*bar_per_m)+1),"&gt; max PN")</f>
        <v>PN10</v>
      </c>
      <c r="K1763" s="4" t="str">
        <f aca="false">IF(L1763="no","end at tank",IF(H1763&lt;0,"NEGATIVE",IF(H1763&lt;p_min-0.005,"low","OK")))</f>
        <v>OK</v>
      </c>
      <c r="L1763" s="4" t="s">
        <v>414</v>
      </c>
    </row>
    <row r="1764" customFormat="false" ht="15" hidden="false" customHeight="false" outlineLevel="0" collapsed="false">
      <c r="A1764" s="4" t="s">
        <v>44</v>
      </c>
      <c r="B1764" s="4" t="s">
        <v>373</v>
      </c>
      <c r="C1764" s="47" t="n">
        <v>11515.89</v>
      </c>
      <c r="D1764" s="48" t="n">
        <v>1687.25</v>
      </c>
      <c r="E1764" s="49" t="n">
        <f aca="false">D1764-cover</f>
        <v>1686.05</v>
      </c>
      <c r="F1764" s="50" t="n">
        <f aca="false">'Z6 Nkangamo-Uhuru'!S18-'Z6 Nkangamo-Uhuru'!P18*C1764/'Z6 Nkangamo-Uhuru'!G18</f>
        <v>1720.2904888684</v>
      </c>
      <c r="G1764" s="51" t="n">
        <f aca="false">'Z6 Nkangamo-Uhuru'!$B$8-E1764</f>
        <v>20.45</v>
      </c>
      <c r="H1764" s="52" t="n">
        <f aca="false">F1764-E1764</f>
        <v>34.2404888683998</v>
      </c>
      <c r="I1764" s="52" t="n">
        <f aca="false">MAX(H1764,G1764)</f>
        <v>34.2404888683998</v>
      </c>
      <c r="J1764" s="4" t="str">
        <f aca="false">IFERROR("PN"&amp;SMALL(PN_list,COUNTIF(PN_list,"&lt;"&amp;I1764*bar_per_m)+1),"&gt; max PN")</f>
        <v>PN10</v>
      </c>
      <c r="K1764" s="4" t="str">
        <f aca="false">IF(L1764="no","end at tank",IF(H1764&lt;0,"NEGATIVE",IF(H1764&lt;p_min-0.005,"low","OK")))</f>
        <v>OK</v>
      </c>
      <c r="L1764" s="4" t="s">
        <v>414</v>
      </c>
    </row>
    <row r="1765" customFormat="false" ht="15" hidden="false" customHeight="false" outlineLevel="0" collapsed="false">
      <c r="A1765" s="4" t="s">
        <v>44</v>
      </c>
      <c r="B1765" s="4" t="s">
        <v>373</v>
      </c>
      <c r="C1765" s="47" t="n">
        <v>11535.89</v>
      </c>
      <c r="D1765" s="48" t="n">
        <v>1687.32</v>
      </c>
      <c r="E1765" s="49" t="n">
        <f aca="false">D1765-cover</f>
        <v>1686.12</v>
      </c>
      <c r="F1765" s="50" t="n">
        <f aca="false">'Z6 Nkangamo-Uhuru'!S18-'Z6 Nkangamo-Uhuru'!P18*C1765/'Z6 Nkangamo-Uhuru'!G18</f>
        <v>1720.25933556545</v>
      </c>
      <c r="G1765" s="51" t="n">
        <f aca="false">'Z6 Nkangamo-Uhuru'!$B$8-E1765</f>
        <v>20.3800000000001</v>
      </c>
      <c r="H1765" s="52" t="n">
        <f aca="false">F1765-E1765</f>
        <v>34.1393355654532</v>
      </c>
      <c r="I1765" s="52" t="n">
        <f aca="false">MAX(H1765,G1765)</f>
        <v>34.1393355654532</v>
      </c>
      <c r="J1765" s="4" t="str">
        <f aca="false">IFERROR("PN"&amp;SMALL(PN_list,COUNTIF(PN_list,"&lt;"&amp;I1765*bar_per_m)+1),"&gt; max PN")</f>
        <v>PN10</v>
      </c>
      <c r="K1765" s="4" t="str">
        <f aca="false">IF(L1765="no","end at tank",IF(H1765&lt;0,"NEGATIVE",IF(H1765&lt;p_min-0.005,"low","OK")))</f>
        <v>OK</v>
      </c>
      <c r="L1765" s="4" t="s">
        <v>414</v>
      </c>
    </row>
    <row r="1766" customFormat="false" ht="15" hidden="false" customHeight="false" outlineLevel="0" collapsed="false">
      <c r="A1766" s="4" t="s">
        <v>44</v>
      </c>
      <c r="B1766" s="4" t="s">
        <v>373</v>
      </c>
      <c r="C1766" s="47" t="n">
        <v>11555.89</v>
      </c>
      <c r="D1766" s="48" t="n">
        <v>1687.6</v>
      </c>
      <c r="E1766" s="49" t="n">
        <f aca="false">D1766-cover</f>
        <v>1686.4</v>
      </c>
      <c r="F1766" s="50" t="n">
        <f aca="false">'Z6 Nkangamo-Uhuru'!S18-'Z6 Nkangamo-Uhuru'!P18*C1766/'Z6 Nkangamo-Uhuru'!G18</f>
        <v>1720.22818226251</v>
      </c>
      <c r="G1766" s="51" t="n">
        <f aca="false">'Z6 Nkangamo-Uhuru'!$B$8-E1766</f>
        <v>20.1000000000001</v>
      </c>
      <c r="H1766" s="52" t="n">
        <f aca="false">F1766-E1766</f>
        <v>33.8281822625063</v>
      </c>
      <c r="I1766" s="52" t="n">
        <f aca="false">MAX(H1766,G1766)</f>
        <v>33.8281822625063</v>
      </c>
      <c r="J1766" s="4" t="str">
        <f aca="false">IFERROR("PN"&amp;SMALL(PN_list,COUNTIF(PN_list,"&lt;"&amp;I1766*bar_per_m)+1),"&gt; max PN")</f>
        <v>PN10</v>
      </c>
      <c r="K1766" s="4" t="str">
        <f aca="false">IF(L1766="no","end at tank",IF(H1766&lt;0,"NEGATIVE",IF(H1766&lt;p_min-0.005,"low","OK")))</f>
        <v>OK</v>
      </c>
      <c r="L1766" s="4" t="s">
        <v>414</v>
      </c>
    </row>
    <row r="1767" customFormat="false" ht="15" hidden="false" customHeight="false" outlineLevel="0" collapsed="false">
      <c r="A1767" s="4" t="s">
        <v>44</v>
      </c>
      <c r="B1767" s="4" t="s">
        <v>373</v>
      </c>
      <c r="C1767" s="47" t="n">
        <v>11575.89</v>
      </c>
      <c r="D1767" s="48" t="n">
        <v>1687.99</v>
      </c>
      <c r="E1767" s="49" t="n">
        <f aca="false">D1767-cover</f>
        <v>1686.79</v>
      </c>
      <c r="F1767" s="50" t="n">
        <f aca="false">'Z6 Nkangamo-Uhuru'!S18-'Z6 Nkangamo-Uhuru'!P18*C1767/'Z6 Nkangamo-Uhuru'!G18</f>
        <v>1720.19702895956</v>
      </c>
      <c r="G1767" s="51" t="n">
        <f aca="false">'Z6 Nkangamo-Uhuru'!$B$8-E1767</f>
        <v>19.71</v>
      </c>
      <c r="H1767" s="52" t="n">
        <f aca="false">F1767-E1767</f>
        <v>33.4070289595595</v>
      </c>
      <c r="I1767" s="52" t="n">
        <f aca="false">MAX(H1767,G1767)</f>
        <v>33.4070289595595</v>
      </c>
      <c r="J1767" s="4" t="str">
        <f aca="false">IFERROR("PN"&amp;SMALL(PN_list,COUNTIF(PN_list,"&lt;"&amp;I1767*bar_per_m)+1),"&gt; max PN")</f>
        <v>PN10</v>
      </c>
      <c r="K1767" s="4" t="str">
        <f aca="false">IF(L1767="no","end at tank",IF(H1767&lt;0,"NEGATIVE",IF(H1767&lt;p_min-0.005,"low","OK")))</f>
        <v>OK</v>
      </c>
      <c r="L1767" s="4" t="s">
        <v>414</v>
      </c>
    </row>
    <row r="1768" customFormat="false" ht="15" hidden="false" customHeight="false" outlineLevel="0" collapsed="false">
      <c r="A1768" s="4" t="s">
        <v>44</v>
      </c>
      <c r="B1768" s="4" t="s">
        <v>373</v>
      </c>
      <c r="C1768" s="47" t="n">
        <v>11595.89</v>
      </c>
      <c r="D1768" s="48" t="n">
        <v>1688.06</v>
      </c>
      <c r="E1768" s="49" t="n">
        <f aca="false">D1768-cover</f>
        <v>1686.86</v>
      </c>
      <c r="F1768" s="50" t="n">
        <f aca="false">'Z6 Nkangamo-Uhuru'!S18-'Z6 Nkangamo-Uhuru'!P18*C1768/'Z6 Nkangamo-Uhuru'!G18</f>
        <v>1720.16587565661</v>
      </c>
      <c r="G1768" s="51" t="n">
        <f aca="false">'Z6 Nkangamo-Uhuru'!$B$8-E1768</f>
        <v>19.6400000000001</v>
      </c>
      <c r="H1768" s="52" t="n">
        <f aca="false">F1768-E1768</f>
        <v>33.3058756566127</v>
      </c>
      <c r="I1768" s="52" t="n">
        <f aca="false">MAX(H1768,G1768)</f>
        <v>33.3058756566127</v>
      </c>
      <c r="J1768" s="4" t="str">
        <f aca="false">IFERROR("PN"&amp;SMALL(PN_list,COUNTIF(PN_list,"&lt;"&amp;I1768*bar_per_m)+1),"&gt; max PN")</f>
        <v>PN10</v>
      </c>
      <c r="K1768" s="4" t="str">
        <f aca="false">IF(L1768="no","end at tank",IF(H1768&lt;0,"NEGATIVE",IF(H1768&lt;p_min-0.005,"low","OK")))</f>
        <v>OK</v>
      </c>
      <c r="L1768" s="4" t="s">
        <v>414</v>
      </c>
    </row>
    <row r="1769" customFormat="false" ht="15" hidden="false" customHeight="false" outlineLevel="0" collapsed="false">
      <c r="A1769" s="4" t="s">
        <v>44</v>
      </c>
      <c r="B1769" s="4" t="s">
        <v>373</v>
      </c>
      <c r="C1769" s="47" t="n">
        <v>11615.89</v>
      </c>
      <c r="D1769" s="48" t="n">
        <v>1688.29</v>
      </c>
      <c r="E1769" s="49" t="n">
        <f aca="false">D1769-cover</f>
        <v>1687.09</v>
      </c>
      <c r="F1769" s="50" t="n">
        <f aca="false">'Z6 Nkangamo-Uhuru'!S18-'Z6 Nkangamo-Uhuru'!P18*C1769/'Z6 Nkangamo-Uhuru'!G18</f>
        <v>1720.13472235367</v>
      </c>
      <c r="G1769" s="51" t="n">
        <f aca="false">'Z6 Nkangamo-Uhuru'!$B$8-E1769</f>
        <v>19.4100000000001</v>
      </c>
      <c r="H1769" s="52" t="n">
        <f aca="false">F1769-E1769</f>
        <v>33.0447223536658</v>
      </c>
      <c r="I1769" s="52" t="n">
        <f aca="false">MAX(H1769,G1769)</f>
        <v>33.0447223536658</v>
      </c>
      <c r="J1769" s="4" t="str">
        <f aca="false">IFERROR("PN"&amp;SMALL(PN_list,COUNTIF(PN_list,"&lt;"&amp;I1769*bar_per_m)+1),"&gt; max PN")</f>
        <v>PN10</v>
      </c>
      <c r="K1769" s="4" t="str">
        <f aca="false">IF(L1769="no","end at tank",IF(H1769&lt;0,"NEGATIVE",IF(H1769&lt;p_min-0.005,"low","OK")))</f>
        <v>OK</v>
      </c>
      <c r="L1769" s="4" t="s">
        <v>414</v>
      </c>
    </row>
    <row r="1770" customFormat="false" ht="15" hidden="false" customHeight="false" outlineLevel="0" collapsed="false">
      <c r="A1770" s="4" t="s">
        <v>44</v>
      </c>
      <c r="B1770" s="4" t="s">
        <v>373</v>
      </c>
      <c r="C1770" s="47" t="n">
        <v>11635.9</v>
      </c>
      <c r="D1770" s="48" t="n">
        <v>1688.58</v>
      </c>
      <c r="E1770" s="49" t="n">
        <f aca="false">D1770-cover</f>
        <v>1687.38</v>
      </c>
      <c r="F1770" s="50" t="n">
        <f aca="false">'Z6 Nkangamo-Uhuru'!S18-'Z6 Nkangamo-Uhuru'!P18*C1770/'Z6 Nkangamo-Uhuru'!G18</f>
        <v>1720.10355347407</v>
      </c>
      <c r="G1770" s="51" t="n">
        <f aca="false">'Z6 Nkangamo-Uhuru'!$B$8-E1770</f>
        <v>19.1200000000001</v>
      </c>
      <c r="H1770" s="52" t="n">
        <f aca="false">F1770-E1770</f>
        <v>32.7235534740676</v>
      </c>
      <c r="I1770" s="52" t="n">
        <f aca="false">MAX(H1770,G1770)</f>
        <v>32.7235534740676</v>
      </c>
      <c r="J1770" s="4" t="str">
        <f aca="false">IFERROR("PN"&amp;SMALL(PN_list,COUNTIF(PN_list,"&lt;"&amp;I1770*bar_per_m)+1),"&gt; max PN")</f>
        <v>PN10</v>
      </c>
      <c r="K1770" s="4" t="str">
        <f aca="false">IF(L1770="no","end at tank",IF(H1770&lt;0,"NEGATIVE",IF(H1770&lt;p_min-0.005,"low","OK")))</f>
        <v>OK</v>
      </c>
      <c r="L1770" s="4" t="s">
        <v>414</v>
      </c>
    </row>
    <row r="1771" customFormat="false" ht="15" hidden="false" customHeight="false" outlineLevel="0" collapsed="false">
      <c r="A1771" s="4" t="s">
        <v>44</v>
      </c>
      <c r="B1771" s="4" t="s">
        <v>373</v>
      </c>
      <c r="C1771" s="47" t="n">
        <v>11655.91</v>
      </c>
      <c r="D1771" s="48" t="n">
        <v>1689.26</v>
      </c>
      <c r="E1771" s="49" t="n">
        <f aca="false">D1771-cover</f>
        <v>1688.06</v>
      </c>
      <c r="F1771" s="50" t="n">
        <f aca="false">'Z6 Nkangamo-Uhuru'!S18-'Z6 Nkangamo-Uhuru'!P18*C1771/'Z6 Nkangamo-Uhuru'!G18</f>
        <v>1720.07238459447</v>
      </c>
      <c r="G1771" s="51" t="n">
        <f aca="false">'Z6 Nkangamo-Uhuru'!$B$8-E1771</f>
        <v>18.4400000000001</v>
      </c>
      <c r="H1771" s="52" t="n">
        <f aca="false">F1771-E1771</f>
        <v>32.0123845944693</v>
      </c>
      <c r="I1771" s="52" t="n">
        <f aca="false">MAX(H1771,G1771)</f>
        <v>32.0123845944693</v>
      </c>
      <c r="J1771" s="4" t="str">
        <f aca="false">IFERROR("PN"&amp;SMALL(PN_list,COUNTIF(PN_list,"&lt;"&amp;I1771*bar_per_m)+1),"&gt; max PN")</f>
        <v>PN10</v>
      </c>
      <c r="K1771" s="4" t="str">
        <f aca="false">IF(L1771="no","end at tank",IF(H1771&lt;0,"NEGATIVE",IF(H1771&lt;p_min-0.005,"low","OK")))</f>
        <v>OK</v>
      </c>
      <c r="L1771" s="4" t="s">
        <v>414</v>
      </c>
    </row>
    <row r="1772" customFormat="false" ht="15" hidden="false" customHeight="false" outlineLevel="0" collapsed="false">
      <c r="A1772" s="4" t="s">
        <v>44</v>
      </c>
      <c r="B1772" s="4" t="s">
        <v>373</v>
      </c>
      <c r="C1772" s="47" t="n">
        <v>11675.91</v>
      </c>
      <c r="D1772" s="48" t="n">
        <v>1689.38</v>
      </c>
      <c r="E1772" s="49" t="n">
        <f aca="false">D1772-cover</f>
        <v>1688.18</v>
      </c>
      <c r="F1772" s="50" t="n">
        <f aca="false">'Z6 Nkangamo-Uhuru'!S18-'Z6 Nkangamo-Uhuru'!P18*C1772/'Z6 Nkangamo-Uhuru'!G18</f>
        <v>1720.04123129152</v>
      </c>
      <c r="G1772" s="51" t="n">
        <f aca="false">'Z6 Nkangamo-Uhuru'!$B$8-E1772</f>
        <v>18.3199999999999</v>
      </c>
      <c r="H1772" s="52" t="n">
        <f aca="false">F1772-E1772</f>
        <v>31.8612312915222</v>
      </c>
      <c r="I1772" s="52" t="n">
        <f aca="false">MAX(H1772,G1772)</f>
        <v>31.8612312915222</v>
      </c>
      <c r="J1772" s="4" t="str">
        <f aca="false">IFERROR("PN"&amp;SMALL(PN_list,COUNTIF(PN_list,"&lt;"&amp;I1772*bar_per_m)+1),"&gt; max PN")</f>
        <v>PN10</v>
      </c>
      <c r="K1772" s="4" t="str">
        <f aca="false">IF(L1772="no","end at tank",IF(H1772&lt;0,"NEGATIVE",IF(H1772&lt;p_min-0.005,"low","OK")))</f>
        <v>OK</v>
      </c>
      <c r="L1772" s="4" t="s">
        <v>414</v>
      </c>
    </row>
    <row r="1773" customFormat="false" ht="15" hidden="false" customHeight="false" outlineLevel="0" collapsed="false">
      <c r="A1773" s="4" t="s">
        <v>44</v>
      </c>
      <c r="B1773" s="4" t="s">
        <v>373</v>
      </c>
      <c r="C1773" s="47" t="n">
        <v>11695.91</v>
      </c>
      <c r="D1773" s="48" t="n">
        <v>1689.18</v>
      </c>
      <c r="E1773" s="49" t="n">
        <f aca="false">D1773-cover</f>
        <v>1687.98</v>
      </c>
      <c r="F1773" s="50" t="n">
        <f aca="false">'Z6 Nkangamo-Uhuru'!S18-'Z6 Nkangamo-Uhuru'!P18*C1773/'Z6 Nkangamo-Uhuru'!G18</f>
        <v>1720.01007798858</v>
      </c>
      <c r="G1773" s="51" t="n">
        <f aca="false">'Z6 Nkangamo-Uhuru'!$B$8-E1773</f>
        <v>18.52</v>
      </c>
      <c r="H1773" s="52" t="n">
        <f aca="false">F1773-E1773</f>
        <v>32.0300779885754</v>
      </c>
      <c r="I1773" s="52" t="n">
        <f aca="false">MAX(H1773,G1773)</f>
        <v>32.0300779885754</v>
      </c>
      <c r="J1773" s="4" t="str">
        <f aca="false">IFERROR("PN"&amp;SMALL(PN_list,COUNTIF(PN_list,"&lt;"&amp;I1773*bar_per_m)+1),"&gt; max PN")</f>
        <v>PN10</v>
      </c>
      <c r="K1773" s="4" t="str">
        <f aca="false">IF(L1773="no","end at tank",IF(H1773&lt;0,"NEGATIVE",IF(H1773&lt;p_min-0.005,"low","OK")))</f>
        <v>OK</v>
      </c>
      <c r="L1773" s="4" t="s">
        <v>414</v>
      </c>
    </row>
    <row r="1774" customFormat="false" ht="15" hidden="false" customHeight="false" outlineLevel="0" collapsed="false">
      <c r="A1774" s="4" t="s">
        <v>44</v>
      </c>
      <c r="B1774" s="4" t="s">
        <v>373</v>
      </c>
      <c r="C1774" s="47" t="n">
        <v>11715.91</v>
      </c>
      <c r="D1774" s="48" t="n">
        <v>1689.09</v>
      </c>
      <c r="E1774" s="49" t="n">
        <f aca="false">D1774-cover</f>
        <v>1687.89</v>
      </c>
      <c r="F1774" s="50" t="n">
        <f aca="false">'Z6 Nkangamo-Uhuru'!S18-'Z6 Nkangamo-Uhuru'!P18*C1774/'Z6 Nkangamo-Uhuru'!G18</f>
        <v>1719.97892468563</v>
      </c>
      <c r="G1774" s="51" t="n">
        <f aca="false">'Z6 Nkangamo-Uhuru'!$B$8-E1774</f>
        <v>18.6100000000001</v>
      </c>
      <c r="H1774" s="52" t="n">
        <f aca="false">F1774-E1774</f>
        <v>32.0889246856289</v>
      </c>
      <c r="I1774" s="52" t="n">
        <f aca="false">MAX(H1774,G1774)</f>
        <v>32.0889246856289</v>
      </c>
      <c r="J1774" s="4" t="str">
        <f aca="false">IFERROR("PN"&amp;SMALL(PN_list,COUNTIF(PN_list,"&lt;"&amp;I1774*bar_per_m)+1),"&gt; max PN")</f>
        <v>PN10</v>
      </c>
      <c r="K1774" s="4" t="str">
        <f aca="false">IF(L1774="no","end at tank",IF(H1774&lt;0,"NEGATIVE",IF(H1774&lt;p_min-0.005,"low","OK")))</f>
        <v>OK</v>
      </c>
      <c r="L1774" s="4" t="s">
        <v>414</v>
      </c>
    </row>
    <row r="1775" customFormat="false" ht="15" hidden="false" customHeight="false" outlineLevel="0" collapsed="false">
      <c r="A1775" s="4" t="s">
        <v>44</v>
      </c>
      <c r="B1775" s="4" t="s">
        <v>373</v>
      </c>
      <c r="C1775" s="47" t="n">
        <v>11735.92</v>
      </c>
      <c r="D1775" s="48" t="n">
        <v>1689.57</v>
      </c>
      <c r="E1775" s="49" t="n">
        <f aca="false">D1775-cover</f>
        <v>1688.37</v>
      </c>
      <c r="F1775" s="50" t="n">
        <f aca="false">'Z6 Nkangamo-Uhuru'!S18-'Z6 Nkangamo-Uhuru'!P18*C1775/'Z6 Nkangamo-Uhuru'!G18</f>
        <v>1719.94775580603</v>
      </c>
      <c r="G1775" s="51" t="n">
        <f aca="false">'Z6 Nkangamo-Uhuru'!$B$8-E1775</f>
        <v>18.1300000000001</v>
      </c>
      <c r="H1775" s="52" t="n">
        <f aca="false">F1775-E1775</f>
        <v>31.5777558060304</v>
      </c>
      <c r="I1775" s="52" t="n">
        <f aca="false">MAX(H1775,G1775)</f>
        <v>31.5777558060304</v>
      </c>
      <c r="J1775" s="4" t="str">
        <f aca="false">IFERROR("PN"&amp;SMALL(PN_list,COUNTIF(PN_list,"&lt;"&amp;I1775*bar_per_m)+1),"&gt; max PN")</f>
        <v>PN10</v>
      </c>
      <c r="K1775" s="4" t="str">
        <f aca="false">IF(L1775="no","end at tank",IF(H1775&lt;0,"NEGATIVE",IF(H1775&lt;p_min-0.005,"low","OK")))</f>
        <v>OK</v>
      </c>
      <c r="L1775" s="4" t="s">
        <v>414</v>
      </c>
    </row>
    <row r="1776" customFormat="false" ht="15" hidden="false" customHeight="false" outlineLevel="0" collapsed="false">
      <c r="A1776" s="4" t="s">
        <v>44</v>
      </c>
      <c r="B1776" s="4" t="s">
        <v>373</v>
      </c>
      <c r="C1776" s="47" t="n">
        <v>11755.92</v>
      </c>
      <c r="D1776" s="48" t="n">
        <v>1689.73</v>
      </c>
      <c r="E1776" s="49" t="n">
        <f aca="false">D1776-cover</f>
        <v>1688.53</v>
      </c>
      <c r="F1776" s="50" t="n">
        <f aca="false">'Z6 Nkangamo-Uhuru'!S18-'Z6 Nkangamo-Uhuru'!P18*C1776/'Z6 Nkangamo-Uhuru'!G18</f>
        <v>1719.91660250308</v>
      </c>
      <c r="G1776" s="51" t="n">
        <f aca="false">'Z6 Nkangamo-Uhuru'!$B$8-E1776</f>
        <v>17.97</v>
      </c>
      <c r="H1776" s="52" t="n">
        <f aca="false">F1776-E1776</f>
        <v>31.3866025030836</v>
      </c>
      <c r="I1776" s="52" t="n">
        <f aca="false">MAX(H1776,G1776)</f>
        <v>31.3866025030836</v>
      </c>
      <c r="J1776" s="4" t="str">
        <f aca="false">IFERROR("PN"&amp;SMALL(PN_list,COUNTIF(PN_list,"&lt;"&amp;I1776*bar_per_m)+1),"&gt; max PN")</f>
        <v>PN10</v>
      </c>
      <c r="K1776" s="4" t="str">
        <f aca="false">IF(L1776="no","end at tank",IF(H1776&lt;0,"NEGATIVE",IF(H1776&lt;p_min-0.005,"low","OK")))</f>
        <v>OK</v>
      </c>
      <c r="L1776" s="4" t="s">
        <v>414</v>
      </c>
    </row>
    <row r="1777" customFormat="false" ht="15" hidden="false" customHeight="false" outlineLevel="0" collapsed="false">
      <c r="A1777" s="4" t="s">
        <v>44</v>
      </c>
      <c r="B1777" s="4" t="s">
        <v>373</v>
      </c>
      <c r="C1777" s="47" t="n">
        <v>11775.92</v>
      </c>
      <c r="D1777" s="48" t="n">
        <v>1689.54</v>
      </c>
      <c r="E1777" s="49" t="n">
        <f aca="false">D1777-cover</f>
        <v>1688.34</v>
      </c>
      <c r="F1777" s="50" t="n">
        <f aca="false">'Z6 Nkangamo-Uhuru'!S18-'Z6 Nkangamo-Uhuru'!P18*C1777/'Z6 Nkangamo-Uhuru'!G18</f>
        <v>1719.88544920014</v>
      </c>
      <c r="G1777" s="51" t="n">
        <f aca="false">'Z6 Nkangamo-Uhuru'!$B$8-E1777</f>
        <v>18.1600000000001</v>
      </c>
      <c r="H1777" s="52" t="n">
        <f aca="false">F1777-E1777</f>
        <v>31.5454492001368</v>
      </c>
      <c r="I1777" s="52" t="n">
        <f aca="false">MAX(H1777,G1777)</f>
        <v>31.5454492001368</v>
      </c>
      <c r="J1777" s="4" t="str">
        <f aca="false">IFERROR("PN"&amp;SMALL(PN_list,COUNTIF(PN_list,"&lt;"&amp;I1777*bar_per_m)+1),"&gt; max PN")</f>
        <v>PN10</v>
      </c>
      <c r="K1777" s="4" t="str">
        <f aca="false">IF(L1777="no","end at tank",IF(H1777&lt;0,"NEGATIVE",IF(H1777&lt;p_min-0.005,"low","OK")))</f>
        <v>OK</v>
      </c>
      <c r="L1777" s="4" t="s">
        <v>414</v>
      </c>
    </row>
    <row r="1778" customFormat="false" ht="15" hidden="false" customHeight="false" outlineLevel="0" collapsed="false">
      <c r="A1778" s="4" t="s">
        <v>44</v>
      </c>
      <c r="B1778" s="4" t="s">
        <v>373</v>
      </c>
      <c r="C1778" s="47" t="n">
        <v>11795.92</v>
      </c>
      <c r="D1778" s="48" t="n">
        <v>1689.63</v>
      </c>
      <c r="E1778" s="49" t="n">
        <f aca="false">D1778-cover</f>
        <v>1688.43</v>
      </c>
      <c r="F1778" s="50" t="n">
        <f aca="false">'Z6 Nkangamo-Uhuru'!S18-'Z6 Nkangamo-Uhuru'!P18*C1778/'Z6 Nkangamo-Uhuru'!G18</f>
        <v>1719.85429589719</v>
      </c>
      <c r="G1778" s="51" t="n">
        <f aca="false">'Z6 Nkangamo-Uhuru'!$B$8-E1778</f>
        <v>18.0699999999999</v>
      </c>
      <c r="H1778" s="52" t="n">
        <f aca="false">F1778-E1778</f>
        <v>31.4242958971897</v>
      </c>
      <c r="I1778" s="52" t="n">
        <f aca="false">MAX(H1778,G1778)</f>
        <v>31.4242958971897</v>
      </c>
      <c r="J1778" s="4" t="str">
        <f aca="false">IFERROR("PN"&amp;SMALL(PN_list,COUNTIF(PN_list,"&lt;"&amp;I1778*bar_per_m)+1),"&gt; max PN")</f>
        <v>PN10</v>
      </c>
      <c r="K1778" s="4" t="str">
        <f aca="false">IF(L1778="no","end at tank",IF(H1778&lt;0,"NEGATIVE",IF(H1778&lt;p_min-0.005,"low","OK")))</f>
        <v>OK</v>
      </c>
      <c r="L1778" s="4" t="s">
        <v>414</v>
      </c>
    </row>
    <row r="1779" customFormat="false" ht="15" hidden="false" customHeight="false" outlineLevel="0" collapsed="false">
      <c r="A1779" s="4" t="s">
        <v>44</v>
      </c>
      <c r="B1779" s="4" t="s">
        <v>373</v>
      </c>
      <c r="C1779" s="47" t="n">
        <v>11815.92</v>
      </c>
      <c r="D1779" s="48" t="n">
        <v>1689.65</v>
      </c>
      <c r="E1779" s="49" t="n">
        <f aca="false">D1779-cover</f>
        <v>1688.45</v>
      </c>
      <c r="F1779" s="50" t="n">
        <f aca="false">'Z6 Nkangamo-Uhuru'!S18-'Z6 Nkangamo-Uhuru'!P18*C1779/'Z6 Nkangamo-Uhuru'!G18</f>
        <v>1719.82314259424</v>
      </c>
      <c r="G1779" s="51" t="n">
        <f aca="false">'Z6 Nkangamo-Uhuru'!$B$8-E1779</f>
        <v>18.05</v>
      </c>
      <c r="H1779" s="52" t="n">
        <f aca="false">F1779-E1779</f>
        <v>31.3731425942431</v>
      </c>
      <c r="I1779" s="52" t="n">
        <f aca="false">MAX(H1779,G1779)</f>
        <v>31.3731425942431</v>
      </c>
      <c r="J1779" s="4" t="str">
        <f aca="false">IFERROR("PN"&amp;SMALL(PN_list,COUNTIF(PN_list,"&lt;"&amp;I1779*bar_per_m)+1),"&gt; max PN")</f>
        <v>PN10</v>
      </c>
      <c r="K1779" s="4" t="str">
        <f aca="false">IF(L1779="no","end at tank",IF(H1779&lt;0,"NEGATIVE",IF(H1779&lt;p_min-0.005,"low","OK")))</f>
        <v>OK</v>
      </c>
      <c r="L1779" s="4" t="s">
        <v>414</v>
      </c>
    </row>
    <row r="1780" customFormat="false" ht="15" hidden="false" customHeight="false" outlineLevel="0" collapsed="false">
      <c r="A1780" s="4" t="s">
        <v>44</v>
      </c>
      <c r="B1780" s="4" t="s">
        <v>373</v>
      </c>
      <c r="C1780" s="47" t="n">
        <v>11835.92</v>
      </c>
      <c r="D1780" s="48" t="n">
        <v>1689.68</v>
      </c>
      <c r="E1780" s="49" t="n">
        <f aca="false">D1780-cover</f>
        <v>1688.48</v>
      </c>
      <c r="F1780" s="50" t="n">
        <f aca="false">'Z6 Nkangamo-Uhuru'!S18-'Z6 Nkangamo-Uhuru'!P18*C1780/'Z6 Nkangamo-Uhuru'!G18</f>
        <v>1719.7919892913</v>
      </c>
      <c r="G1780" s="51" t="n">
        <f aca="false">'Z6 Nkangamo-Uhuru'!$B$8-E1780</f>
        <v>18.02</v>
      </c>
      <c r="H1780" s="52" t="n">
        <f aca="false">F1780-E1780</f>
        <v>31.3119892912962</v>
      </c>
      <c r="I1780" s="52" t="n">
        <f aca="false">MAX(H1780,G1780)</f>
        <v>31.3119892912962</v>
      </c>
      <c r="J1780" s="4" t="str">
        <f aca="false">IFERROR("PN"&amp;SMALL(PN_list,COUNTIF(PN_list,"&lt;"&amp;I1780*bar_per_m)+1),"&gt; max PN")</f>
        <v>PN10</v>
      </c>
      <c r="K1780" s="4" t="str">
        <f aca="false">IF(L1780="no","end at tank",IF(H1780&lt;0,"NEGATIVE",IF(H1780&lt;p_min-0.005,"low","OK")))</f>
        <v>OK</v>
      </c>
      <c r="L1780" s="4" t="s">
        <v>414</v>
      </c>
    </row>
    <row r="1781" customFormat="false" ht="15" hidden="false" customHeight="false" outlineLevel="0" collapsed="false">
      <c r="A1781" s="4" t="s">
        <v>44</v>
      </c>
      <c r="B1781" s="4" t="s">
        <v>373</v>
      </c>
      <c r="C1781" s="47" t="n">
        <v>11855.92</v>
      </c>
      <c r="D1781" s="48" t="n">
        <v>1689.44</v>
      </c>
      <c r="E1781" s="49" t="n">
        <f aca="false">D1781-cover</f>
        <v>1688.24</v>
      </c>
      <c r="F1781" s="50" t="n">
        <f aca="false">'Z6 Nkangamo-Uhuru'!S18-'Z6 Nkangamo-Uhuru'!P18*C1781/'Z6 Nkangamo-Uhuru'!G18</f>
        <v>1719.76083598835</v>
      </c>
      <c r="G1781" s="51" t="n">
        <f aca="false">'Z6 Nkangamo-Uhuru'!$B$8-E1781</f>
        <v>18.26</v>
      </c>
      <c r="H1781" s="52" t="n">
        <f aca="false">F1781-E1781</f>
        <v>31.5208359883493</v>
      </c>
      <c r="I1781" s="52" t="n">
        <f aca="false">MAX(H1781,G1781)</f>
        <v>31.5208359883493</v>
      </c>
      <c r="J1781" s="4" t="str">
        <f aca="false">IFERROR("PN"&amp;SMALL(PN_list,COUNTIF(PN_list,"&lt;"&amp;I1781*bar_per_m)+1),"&gt; max PN")</f>
        <v>PN10</v>
      </c>
      <c r="K1781" s="4" t="str">
        <f aca="false">IF(L1781="no","end at tank",IF(H1781&lt;0,"NEGATIVE",IF(H1781&lt;p_min-0.005,"low","OK")))</f>
        <v>OK</v>
      </c>
      <c r="L1781" s="4" t="s">
        <v>414</v>
      </c>
    </row>
    <row r="1782" customFormat="false" ht="15" hidden="false" customHeight="false" outlineLevel="0" collapsed="false">
      <c r="A1782" s="4" t="s">
        <v>44</v>
      </c>
      <c r="B1782" s="4" t="s">
        <v>373</v>
      </c>
      <c r="C1782" s="47" t="n">
        <v>11875.92</v>
      </c>
      <c r="D1782" s="48" t="n">
        <v>1689.14</v>
      </c>
      <c r="E1782" s="49" t="n">
        <f aca="false">D1782-cover</f>
        <v>1687.94</v>
      </c>
      <c r="F1782" s="50" t="n">
        <f aca="false">'Z6 Nkangamo-Uhuru'!S18-'Z6 Nkangamo-Uhuru'!P18*C1782/'Z6 Nkangamo-Uhuru'!G18</f>
        <v>1719.7296826854</v>
      </c>
      <c r="G1782" s="51" t="n">
        <f aca="false">'Z6 Nkangamo-Uhuru'!$B$8-E1782</f>
        <v>18.5599999999999</v>
      </c>
      <c r="H1782" s="52" t="n">
        <f aca="false">F1782-E1782</f>
        <v>31.7896826854026</v>
      </c>
      <c r="I1782" s="52" t="n">
        <f aca="false">MAX(H1782,G1782)</f>
        <v>31.7896826854026</v>
      </c>
      <c r="J1782" s="4" t="str">
        <f aca="false">IFERROR("PN"&amp;SMALL(PN_list,COUNTIF(PN_list,"&lt;"&amp;I1782*bar_per_m)+1),"&gt; max PN")</f>
        <v>PN10</v>
      </c>
      <c r="K1782" s="4" t="str">
        <f aca="false">IF(L1782="no","end at tank",IF(H1782&lt;0,"NEGATIVE",IF(H1782&lt;p_min-0.005,"low","OK")))</f>
        <v>OK</v>
      </c>
      <c r="L1782" s="4" t="s">
        <v>414</v>
      </c>
    </row>
    <row r="1783" customFormat="false" ht="15" hidden="false" customHeight="false" outlineLevel="0" collapsed="false">
      <c r="A1783" s="4" t="s">
        <v>44</v>
      </c>
      <c r="B1783" s="4" t="s">
        <v>373</v>
      </c>
      <c r="C1783" s="47" t="n">
        <v>11895.92</v>
      </c>
      <c r="D1783" s="48" t="n">
        <v>1689.08</v>
      </c>
      <c r="E1783" s="49" t="n">
        <f aca="false">D1783-cover</f>
        <v>1687.88</v>
      </c>
      <c r="F1783" s="50" t="n">
        <f aca="false">'Z6 Nkangamo-Uhuru'!S18-'Z6 Nkangamo-Uhuru'!P18*C1783/'Z6 Nkangamo-Uhuru'!G18</f>
        <v>1719.69852938246</v>
      </c>
      <c r="G1783" s="51" t="n">
        <f aca="false">'Z6 Nkangamo-Uhuru'!$B$8-E1783</f>
        <v>18.6200000000001</v>
      </c>
      <c r="H1783" s="52" t="n">
        <f aca="false">F1783-E1783</f>
        <v>31.8185293824558</v>
      </c>
      <c r="I1783" s="52" t="n">
        <f aca="false">MAX(H1783,G1783)</f>
        <v>31.8185293824558</v>
      </c>
      <c r="J1783" s="4" t="str">
        <f aca="false">IFERROR("PN"&amp;SMALL(PN_list,COUNTIF(PN_list,"&lt;"&amp;I1783*bar_per_m)+1),"&gt; max PN")</f>
        <v>PN10</v>
      </c>
      <c r="K1783" s="4" t="str">
        <f aca="false">IF(L1783="no","end at tank",IF(H1783&lt;0,"NEGATIVE",IF(H1783&lt;p_min-0.005,"low","OK")))</f>
        <v>OK</v>
      </c>
      <c r="L1783" s="4" t="s">
        <v>414</v>
      </c>
    </row>
    <row r="1784" customFormat="false" ht="15" hidden="false" customHeight="false" outlineLevel="0" collapsed="false">
      <c r="A1784" s="4" t="s">
        <v>44</v>
      </c>
      <c r="B1784" s="4" t="s">
        <v>373</v>
      </c>
      <c r="C1784" s="47" t="n">
        <v>11915.93</v>
      </c>
      <c r="D1784" s="48" t="n">
        <v>1688.44</v>
      </c>
      <c r="E1784" s="49" t="n">
        <f aca="false">D1784-cover</f>
        <v>1687.24</v>
      </c>
      <c r="F1784" s="50" t="n">
        <f aca="false">'Z6 Nkangamo-Uhuru'!S18-'Z6 Nkangamo-Uhuru'!P18*C1784/'Z6 Nkangamo-Uhuru'!G18</f>
        <v>1719.66736050286</v>
      </c>
      <c r="G1784" s="51" t="n">
        <f aca="false">'Z6 Nkangamo-Uhuru'!$B$8-E1784</f>
        <v>19.26</v>
      </c>
      <c r="H1784" s="52" t="n">
        <f aca="false">F1784-E1784</f>
        <v>32.4273605028575</v>
      </c>
      <c r="I1784" s="52" t="n">
        <f aca="false">MAX(H1784,G1784)</f>
        <v>32.4273605028575</v>
      </c>
      <c r="J1784" s="4" t="str">
        <f aca="false">IFERROR("PN"&amp;SMALL(PN_list,COUNTIF(PN_list,"&lt;"&amp;I1784*bar_per_m)+1),"&gt; max PN")</f>
        <v>PN10</v>
      </c>
      <c r="K1784" s="4" t="str">
        <f aca="false">IF(L1784="no","end at tank",IF(H1784&lt;0,"NEGATIVE",IF(H1784&lt;p_min-0.005,"low","OK")))</f>
        <v>OK</v>
      </c>
      <c r="L1784" s="4" t="s">
        <v>414</v>
      </c>
    </row>
    <row r="1785" customFormat="false" ht="15" hidden="false" customHeight="false" outlineLevel="0" collapsed="false">
      <c r="A1785" s="4" t="s">
        <v>44</v>
      </c>
      <c r="B1785" s="4" t="s">
        <v>373</v>
      </c>
      <c r="C1785" s="47" t="n">
        <v>11935.93</v>
      </c>
      <c r="D1785" s="48" t="n">
        <v>1688.44</v>
      </c>
      <c r="E1785" s="49" t="n">
        <f aca="false">D1785-cover</f>
        <v>1687.24</v>
      </c>
      <c r="F1785" s="50" t="n">
        <f aca="false">'Z6 Nkangamo-Uhuru'!S18-'Z6 Nkangamo-Uhuru'!P18*C1785/'Z6 Nkangamo-Uhuru'!G18</f>
        <v>1719.63620719991</v>
      </c>
      <c r="G1785" s="51" t="n">
        <f aca="false">'Z6 Nkangamo-Uhuru'!$B$8-E1785</f>
        <v>19.26</v>
      </c>
      <c r="H1785" s="52" t="n">
        <f aca="false">F1785-E1785</f>
        <v>32.3962071999106</v>
      </c>
      <c r="I1785" s="52" t="n">
        <f aca="false">MAX(H1785,G1785)</f>
        <v>32.3962071999106</v>
      </c>
      <c r="J1785" s="4" t="str">
        <f aca="false">IFERROR("PN"&amp;SMALL(PN_list,COUNTIF(PN_list,"&lt;"&amp;I1785*bar_per_m)+1),"&gt; max PN")</f>
        <v>PN10</v>
      </c>
      <c r="K1785" s="4" t="str">
        <f aca="false">IF(L1785="no","end at tank",IF(H1785&lt;0,"NEGATIVE",IF(H1785&lt;p_min-0.005,"low","OK")))</f>
        <v>OK</v>
      </c>
      <c r="L1785" s="4" t="s">
        <v>414</v>
      </c>
    </row>
    <row r="1786" customFormat="false" ht="15" hidden="false" customHeight="false" outlineLevel="0" collapsed="false">
      <c r="A1786" s="4" t="s">
        <v>44</v>
      </c>
      <c r="B1786" s="4" t="s">
        <v>373</v>
      </c>
      <c r="C1786" s="47" t="n">
        <v>11955.93</v>
      </c>
      <c r="D1786" s="48" t="n">
        <v>1688.23</v>
      </c>
      <c r="E1786" s="49" t="n">
        <f aca="false">D1786-cover</f>
        <v>1687.03</v>
      </c>
      <c r="F1786" s="50" t="n">
        <f aca="false">'Z6 Nkangamo-Uhuru'!S18-'Z6 Nkangamo-Uhuru'!P18*C1786/'Z6 Nkangamo-Uhuru'!G18</f>
        <v>1719.60505389696</v>
      </c>
      <c r="G1786" s="51" t="n">
        <f aca="false">'Z6 Nkangamo-Uhuru'!$B$8-E1786</f>
        <v>19.47</v>
      </c>
      <c r="H1786" s="52" t="n">
        <f aca="false">F1786-E1786</f>
        <v>32.5750538969637</v>
      </c>
      <c r="I1786" s="52" t="n">
        <f aca="false">MAX(H1786,G1786)</f>
        <v>32.5750538969637</v>
      </c>
      <c r="J1786" s="4" t="str">
        <f aca="false">IFERROR("PN"&amp;SMALL(PN_list,COUNTIF(PN_list,"&lt;"&amp;I1786*bar_per_m)+1),"&gt; max PN")</f>
        <v>PN10</v>
      </c>
      <c r="K1786" s="4" t="str">
        <f aca="false">IF(L1786="no","end at tank",IF(H1786&lt;0,"NEGATIVE",IF(H1786&lt;p_min-0.005,"low","OK")))</f>
        <v>OK</v>
      </c>
      <c r="L1786" s="4" t="s">
        <v>414</v>
      </c>
    </row>
    <row r="1787" customFormat="false" ht="15" hidden="false" customHeight="false" outlineLevel="0" collapsed="false">
      <c r="A1787" s="4" t="s">
        <v>44</v>
      </c>
      <c r="B1787" s="4" t="s">
        <v>373</v>
      </c>
      <c r="C1787" s="47" t="n">
        <v>11975.94</v>
      </c>
      <c r="D1787" s="48" t="n">
        <v>1687.66</v>
      </c>
      <c r="E1787" s="49" t="n">
        <f aca="false">D1787-cover</f>
        <v>1686.46</v>
      </c>
      <c r="F1787" s="50" t="n">
        <f aca="false">'Z6 Nkangamo-Uhuru'!S18-'Z6 Nkangamo-Uhuru'!P18*C1787/'Z6 Nkangamo-Uhuru'!G18</f>
        <v>1719.57388501737</v>
      </c>
      <c r="G1787" s="51" t="n">
        <f aca="false">'Z6 Nkangamo-Uhuru'!$B$8-E1787</f>
        <v>20.04</v>
      </c>
      <c r="H1787" s="52" t="n">
        <f aca="false">F1787-E1787</f>
        <v>33.1138850173654</v>
      </c>
      <c r="I1787" s="52" t="n">
        <f aca="false">MAX(H1787,G1787)</f>
        <v>33.1138850173654</v>
      </c>
      <c r="J1787" s="4" t="str">
        <f aca="false">IFERROR("PN"&amp;SMALL(PN_list,COUNTIF(PN_list,"&lt;"&amp;I1787*bar_per_m)+1),"&gt; max PN")</f>
        <v>PN10</v>
      </c>
      <c r="K1787" s="4" t="str">
        <f aca="false">IF(L1787="no","end at tank",IF(H1787&lt;0,"NEGATIVE",IF(H1787&lt;p_min-0.005,"low","OK")))</f>
        <v>OK</v>
      </c>
      <c r="L1787" s="4" t="s">
        <v>414</v>
      </c>
    </row>
    <row r="1788" customFormat="false" ht="15" hidden="false" customHeight="false" outlineLevel="0" collapsed="false">
      <c r="A1788" s="4" t="s">
        <v>44</v>
      </c>
      <c r="B1788" s="4" t="s">
        <v>373</v>
      </c>
      <c r="C1788" s="47" t="n">
        <v>11995.85</v>
      </c>
      <c r="D1788" s="48" t="n">
        <v>1688.15</v>
      </c>
      <c r="E1788" s="49" t="n">
        <f aca="false">D1788-cover</f>
        <v>1686.95</v>
      </c>
      <c r="F1788" s="50" t="n">
        <f aca="false">'Z6 Nkangamo-Uhuru'!S18-'Z6 Nkangamo-Uhuru'!P18*C1788/'Z6 Nkangamo-Uhuru'!G18</f>
        <v>1719.54287190428</v>
      </c>
      <c r="G1788" s="51" t="n">
        <f aca="false">'Z6 Nkangamo-Uhuru'!$B$8-E1788</f>
        <v>19.55</v>
      </c>
      <c r="H1788" s="52" t="n">
        <f aca="false">F1788-E1788</f>
        <v>32.5928719042818</v>
      </c>
      <c r="I1788" s="52" t="n">
        <f aca="false">MAX(H1788,G1788)</f>
        <v>32.5928719042818</v>
      </c>
      <c r="J1788" s="4" t="str">
        <f aca="false">IFERROR("PN"&amp;SMALL(PN_list,COUNTIF(PN_list,"&lt;"&amp;I1788*bar_per_m)+1),"&gt; max PN")</f>
        <v>PN10</v>
      </c>
      <c r="K1788" s="4" t="str">
        <f aca="false">IF(L1788="no","end at tank",IF(H1788&lt;0,"NEGATIVE",IF(H1788&lt;p_min-0.005,"low","OK")))</f>
        <v>OK</v>
      </c>
      <c r="L1788" s="4" t="s">
        <v>414</v>
      </c>
    </row>
    <row r="1789" customFormat="false" ht="15" hidden="false" customHeight="false" outlineLevel="0" collapsed="false">
      <c r="A1789" s="4" t="s">
        <v>44</v>
      </c>
      <c r="B1789" s="4" t="s">
        <v>373</v>
      </c>
      <c r="C1789" s="47" t="n">
        <v>12015.86</v>
      </c>
      <c r="D1789" s="48" t="n">
        <v>1687.43</v>
      </c>
      <c r="E1789" s="49" t="n">
        <f aca="false">D1789-cover</f>
        <v>1686.23</v>
      </c>
      <c r="F1789" s="50" t="n">
        <f aca="false">'Z6 Nkangamo-Uhuru'!S18-'Z6 Nkangamo-Uhuru'!P18*C1789/'Z6 Nkangamo-Uhuru'!G18</f>
        <v>1719.51170302468</v>
      </c>
      <c r="G1789" s="51" t="n">
        <f aca="false">'Z6 Nkangamo-Uhuru'!$B$8-E1789</f>
        <v>20.27</v>
      </c>
      <c r="H1789" s="52" t="n">
        <f aca="false">F1789-E1789</f>
        <v>33.2817030246836</v>
      </c>
      <c r="I1789" s="52" t="n">
        <f aca="false">MAX(H1789,G1789)</f>
        <v>33.2817030246836</v>
      </c>
      <c r="J1789" s="4" t="str">
        <f aca="false">IFERROR("PN"&amp;SMALL(PN_list,COUNTIF(PN_list,"&lt;"&amp;I1789*bar_per_m)+1),"&gt; max PN")</f>
        <v>PN10</v>
      </c>
      <c r="K1789" s="4" t="str">
        <f aca="false">IF(L1789="no","end at tank",IF(H1789&lt;0,"NEGATIVE",IF(H1789&lt;p_min-0.005,"low","OK")))</f>
        <v>OK</v>
      </c>
      <c r="L1789" s="4" t="s">
        <v>414</v>
      </c>
    </row>
    <row r="1790" customFormat="false" ht="15" hidden="false" customHeight="false" outlineLevel="0" collapsed="false">
      <c r="A1790" s="4" t="s">
        <v>44</v>
      </c>
      <c r="B1790" s="4" t="s">
        <v>373</v>
      </c>
      <c r="C1790" s="47" t="n">
        <v>12035.86</v>
      </c>
      <c r="D1790" s="48" t="n">
        <v>1687.43</v>
      </c>
      <c r="E1790" s="49" t="n">
        <f aca="false">D1790-cover</f>
        <v>1686.23</v>
      </c>
      <c r="F1790" s="50" t="n">
        <f aca="false">'Z6 Nkangamo-Uhuru'!S18-'Z6 Nkangamo-Uhuru'!P18*C1790/'Z6 Nkangamo-Uhuru'!G18</f>
        <v>1719.48054972174</v>
      </c>
      <c r="G1790" s="51" t="n">
        <f aca="false">'Z6 Nkangamo-Uhuru'!$B$8-E1790</f>
        <v>20.27</v>
      </c>
      <c r="H1790" s="52" t="n">
        <f aca="false">F1790-E1790</f>
        <v>33.2505497217367</v>
      </c>
      <c r="I1790" s="52" t="n">
        <f aca="false">MAX(H1790,G1790)</f>
        <v>33.2505497217367</v>
      </c>
      <c r="J1790" s="4" t="str">
        <f aca="false">IFERROR("PN"&amp;SMALL(PN_list,COUNTIF(PN_list,"&lt;"&amp;I1790*bar_per_m)+1),"&gt; max PN")</f>
        <v>PN10</v>
      </c>
      <c r="K1790" s="4" t="str">
        <f aca="false">IF(L1790="no","end at tank",IF(H1790&lt;0,"NEGATIVE",IF(H1790&lt;p_min-0.005,"low","OK")))</f>
        <v>OK</v>
      </c>
      <c r="L1790" s="4" t="s">
        <v>414</v>
      </c>
    </row>
    <row r="1791" customFormat="false" ht="15" hidden="false" customHeight="false" outlineLevel="0" collapsed="false">
      <c r="A1791" s="4" t="s">
        <v>44</v>
      </c>
      <c r="B1791" s="4" t="s">
        <v>373</v>
      </c>
      <c r="C1791" s="47" t="n">
        <v>12055.86</v>
      </c>
      <c r="D1791" s="48" t="n">
        <v>1686.98</v>
      </c>
      <c r="E1791" s="49" t="n">
        <f aca="false">D1791-cover</f>
        <v>1685.78</v>
      </c>
      <c r="F1791" s="50" t="n">
        <f aca="false">'Z6 Nkangamo-Uhuru'!S18-'Z6 Nkangamo-Uhuru'!P18*C1791/'Z6 Nkangamo-Uhuru'!G18</f>
        <v>1719.44939641879</v>
      </c>
      <c r="G1791" s="51" t="n">
        <f aca="false">'Z6 Nkangamo-Uhuru'!$B$8-E1791</f>
        <v>20.72</v>
      </c>
      <c r="H1791" s="52" t="n">
        <f aca="false">F1791-E1791</f>
        <v>33.66939641879</v>
      </c>
      <c r="I1791" s="52" t="n">
        <f aca="false">MAX(H1791,G1791)</f>
        <v>33.66939641879</v>
      </c>
      <c r="J1791" s="4" t="str">
        <f aca="false">IFERROR("PN"&amp;SMALL(PN_list,COUNTIF(PN_list,"&lt;"&amp;I1791*bar_per_m)+1),"&gt; max PN")</f>
        <v>PN10</v>
      </c>
      <c r="K1791" s="4" t="str">
        <f aca="false">IF(L1791="no","end at tank",IF(H1791&lt;0,"NEGATIVE",IF(H1791&lt;p_min-0.005,"low","OK")))</f>
        <v>OK</v>
      </c>
      <c r="L1791" s="4" t="s">
        <v>414</v>
      </c>
    </row>
    <row r="1792" customFormat="false" ht="15" hidden="false" customHeight="false" outlineLevel="0" collapsed="false">
      <c r="A1792" s="4" t="s">
        <v>44</v>
      </c>
      <c r="B1792" s="4" t="s">
        <v>373</v>
      </c>
      <c r="C1792" s="47" t="n">
        <v>12075.86</v>
      </c>
      <c r="D1792" s="48" t="n">
        <v>1686.98</v>
      </c>
      <c r="E1792" s="49" t="n">
        <f aca="false">D1792-cover</f>
        <v>1685.78</v>
      </c>
      <c r="F1792" s="50" t="n">
        <f aca="false">'Z6 Nkangamo-Uhuru'!S18-'Z6 Nkangamo-Uhuru'!P18*C1792/'Z6 Nkangamo-Uhuru'!G18</f>
        <v>1719.41824311584</v>
      </c>
      <c r="G1792" s="51" t="n">
        <f aca="false">'Z6 Nkangamo-Uhuru'!$B$8-E1792</f>
        <v>20.72</v>
      </c>
      <c r="H1792" s="52" t="n">
        <f aca="false">F1792-E1792</f>
        <v>33.6382431158431</v>
      </c>
      <c r="I1792" s="52" t="n">
        <f aca="false">MAX(H1792,G1792)</f>
        <v>33.6382431158431</v>
      </c>
      <c r="J1792" s="4" t="str">
        <f aca="false">IFERROR("PN"&amp;SMALL(PN_list,COUNTIF(PN_list,"&lt;"&amp;I1792*bar_per_m)+1),"&gt; max PN")</f>
        <v>PN10</v>
      </c>
      <c r="K1792" s="4" t="str">
        <f aca="false">IF(L1792="no","end at tank",IF(H1792&lt;0,"NEGATIVE",IF(H1792&lt;p_min-0.005,"low","OK")))</f>
        <v>OK</v>
      </c>
      <c r="L1792" s="4" t="s">
        <v>414</v>
      </c>
    </row>
    <row r="1793" customFormat="false" ht="15" hidden="false" customHeight="false" outlineLevel="0" collapsed="false">
      <c r="A1793" s="4" t="s">
        <v>44</v>
      </c>
      <c r="B1793" s="4" t="s">
        <v>373</v>
      </c>
      <c r="C1793" s="47" t="n">
        <v>12095.88</v>
      </c>
      <c r="D1793" s="48" t="n">
        <v>1686.25</v>
      </c>
      <c r="E1793" s="49" t="n">
        <f aca="false">D1793-cover</f>
        <v>1685.05</v>
      </c>
      <c r="F1793" s="50" t="n">
        <f aca="false">'Z6 Nkangamo-Uhuru'!S18-'Z6 Nkangamo-Uhuru'!P18*C1793/'Z6 Nkangamo-Uhuru'!G18</f>
        <v>1719.38705865959</v>
      </c>
      <c r="G1793" s="51" t="n">
        <f aca="false">'Z6 Nkangamo-Uhuru'!$B$8-E1793</f>
        <v>21.45</v>
      </c>
      <c r="H1793" s="52" t="n">
        <f aca="false">F1793-E1793</f>
        <v>34.3370586595934</v>
      </c>
      <c r="I1793" s="52" t="n">
        <f aca="false">MAX(H1793,G1793)</f>
        <v>34.3370586595934</v>
      </c>
      <c r="J1793" s="4" t="str">
        <f aca="false">IFERROR("PN"&amp;SMALL(PN_list,COUNTIF(PN_list,"&lt;"&amp;I1793*bar_per_m)+1),"&gt; max PN")</f>
        <v>PN10</v>
      </c>
      <c r="K1793" s="4" t="str">
        <f aca="false">IF(L1793="no","end at tank",IF(H1793&lt;0,"NEGATIVE",IF(H1793&lt;p_min-0.005,"low","OK")))</f>
        <v>OK</v>
      </c>
      <c r="L1793" s="4" t="s">
        <v>414</v>
      </c>
    </row>
    <row r="1794" customFormat="false" ht="15" hidden="false" customHeight="false" outlineLevel="0" collapsed="false">
      <c r="A1794" s="4" t="s">
        <v>44</v>
      </c>
      <c r="B1794" s="4" t="s">
        <v>373</v>
      </c>
      <c r="C1794" s="47" t="n">
        <v>12115.88</v>
      </c>
      <c r="D1794" s="48" t="n">
        <v>1686.03</v>
      </c>
      <c r="E1794" s="49" t="n">
        <f aca="false">D1794-cover</f>
        <v>1684.83</v>
      </c>
      <c r="F1794" s="50" t="n">
        <f aca="false">'Z6 Nkangamo-Uhuru'!S18-'Z6 Nkangamo-Uhuru'!P18*C1794/'Z6 Nkangamo-Uhuru'!G18</f>
        <v>1719.35590535665</v>
      </c>
      <c r="G1794" s="51" t="n">
        <f aca="false">'Z6 Nkangamo-Uhuru'!$B$8-E1794</f>
        <v>21.6700000000001</v>
      </c>
      <c r="H1794" s="52" t="n">
        <f aca="false">F1794-E1794</f>
        <v>34.5259053566465</v>
      </c>
      <c r="I1794" s="52" t="n">
        <f aca="false">MAX(H1794,G1794)</f>
        <v>34.5259053566465</v>
      </c>
      <c r="J1794" s="4" t="str">
        <f aca="false">IFERROR("PN"&amp;SMALL(PN_list,COUNTIF(PN_list,"&lt;"&amp;I1794*bar_per_m)+1),"&gt; max PN")</f>
        <v>PN10</v>
      </c>
      <c r="K1794" s="4" t="str">
        <f aca="false">IF(L1794="no","end at tank",IF(H1794&lt;0,"NEGATIVE",IF(H1794&lt;p_min-0.005,"low","OK")))</f>
        <v>OK</v>
      </c>
      <c r="L1794" s="4" t="s">
        <v>414</v>
      </c>
    </row>
    <row r="1795" customFormat="false" ht="15" hidden="false" customHeight="false" outlineLevel="0" collapsed="false">
      <c r="A1795" s="4" t="s">
        <v>44</v>
      </c>
      <c r="B1795" s="4" t="s">
        <v>373</v>
      </c>
      <c r="C1795" s="47" t="n">
        <v>12135.91</v>
      </c>
      <c r="D1795" s="48" t="n">
        <v>1684.88</v>
      </c>
      <c r="E1795" s="49" t="n">
        <f aca="false">D1795-cover</f>
        <v>1683.68</v>
      </c>
      <c r="F1795" s="50" t="n">
        <f aca="false">'Z6 Nkangamo-Uhuru'!S18-'Z6 Nkangamo-Uhuru'!P18*C1795/'Z6 Nkangamo-Uhuru'!G18</f>
        <v>1719.32470532375</v>
      </c>
      <c r="G1795" s="51" t="n">
        <f aca="false">'Z6 Nkangamo-Uhuru'!$B$8-E1795</f>
        <v>22.8199999999999</v>
      </c>
      <c r="H1795" s="52" t="n">
        <f aca="false">F1795-E1795</f>
        <v>35.6447053237453</v>
      </c>
      <c r="I1795" s="52" t="n">
        <f aca="false">MAX(H1795,G1795)</f>
        <v>35.6447053237453</v>
      </c>
      <c r="J1795" s="4" t="str">
        <f aca="false">IFERROR("PN"&amp;SMALL(PN_list,COUNTIF(PN_list,"&lt;"&amp;I1795*bar_per_m)+1),"&gt; max PN")</f>
        <v>PN10</v>
      </c>
      <c r="K1795" s="4" t="str">
        <f aca="false">IF(L1795="no","end at tank",IF(H1795&lt;0,"NEGATIVE",IF(H1795&lt;p_min-0.005,"low","OK")))</f>
        <v>OK</v>
      </c>
      <c r="L1795" s="4" t="s">
        <v>414</v>
      </c>
    </row>
    <row r="1796" customFormat="false" ht="15" hidden="false" customHeight="false" outlineLevel="0" collapsed="false">
      <c r="A1796" s="4" t="s">
        <v>44</v>
      </c>
      <c r="B1796" s="4" t="s">
        <v>373</v>
      </c>
      <c r="C1796" s="47" t="n">
        <v>12155.92</v>
      </c>
      <c r="D1796" s="48" t="n">
        <v>1684.47</v>
      </c>
      <c r="E1796" s="49" t="n">
        <f aca="false">D1796-cover</f>
        <v>1683.27</v>
      </c>
      <c r="F1796" s="50" t="n">
        <f aca="false">'Z6 Nkangamo-Uhuru'!S18-'Z6 Nkangamo-Uhuru'!P18*C1796/'Z6 Nkangamo-Uhuru'!G18</f>
        <v>1719.29353644415</v>
      </c>
      <c r="G1796" s="51" t="n">
        <f aca="false">'Z6 Nkangamo-Uhuru'!$B$8-E1796</f>
        <v>23.23</v>
      </c>
      <c r="H1796" s="52" t="n">
        <f aca="false">F1796-E1796</f>
        <v>36.0235364441469</v>
      </c>
      <c r="I1796" s="52" t="n">
        <f aca="false">MAX(H1796,G1796)</f>
        <v>36.0235364441469</v>
      </c>
      <c r="J1796" s="4" t="str">
        <f aca="false">IFERROR("PN"&amp;SMALL(PN_list,COUNTIF(PN_list,"&lt;"&amp;I1796*bar_per_m)+1),"&gt; max PN")</f>
        <v>PN10</v>
      </c>
      <c r="K1796" s="4" t="str">
        <f aca="false">IF(L1796="no","end at tank",IF(H1796&lt;0,"NEGATIVE",IF(H1796&lt;p_min-0.005,"low","OK")))</f>
        <v>OK</v>
      </c>
      <c r="L1796" s="4" t="s">
        <v>414</v>
      </c>
    </row>
    <row r="1797" customFormat="false" ht="15" hidden="false" customHeight="false" outlineLevel="0" collapsed="false">
      <c r="A1797" s="4" t="s">
        <v>44</v>
      </c>
      <c r="B1797" s="4" t="s">
        <v>373</v>
      </c>
      <c r="C1797" s="47" t="n">
        <v>12175.92</v>
      </c>
      <c r="D1797" s="48" t="n">
        <v>1684.82</v>
      </c>
      <c r="E1797" s="49" t="n">
        <f aca="false">D1797-cover</f>
        <v>1683.62</v>
      </c>
      <c r="F1797" s="50" t="n">
        <f aca="false">'Z6 Nkangamo-Uhuru'!S18-'Z6 Nkangamo-Uhuru'!P18*C1797/'Z6 Nkangamo-Uhuru'!G18</f>
        <v>1719.2623831412</v>
      </c>
      <c r="G1797" s="51" t="n">
        <f aca="false">'Z6 Nkangamo-Uhuru'!$B$8-E1797</f>
        <v>22.8800000000001</v>
      </c>
      <c r="H1797" s="52" t="n">
        <f aca="false">F1797-E1797</f>
        <v>35.6423831412003</v>
      </c>
      <c r="I1797" s="52" t="n">
        <f aca="false">MAX(H1797,G1797)</f>
        <v>35.6423831412003</v>
      </c>
      <c r="J1797" s="4" t="str">
        <f aca="false">IFERROR("PN"&amp;SMALL(PN_list,COUNTIF(PN_list,"&lt;"&amp;I1797*bar_per_m)+1),"&gt; max PN")</f>
        <v>PN10</v>
      </c>
      <c r="K1797" s="4" t="str">
        <f aca="false">IF(L1797="no","end at tank",IF(H1797&lt;0,"NEGATIVE",IF(H1797&lt;p_min-0.005,"low","OK")))</f>
        <v>OK</v>
      </c>
      <c r="L1797" s="4" t="s">
        <v>414</v>
      </c>
    </row>
    <row r="1798" customFormat="false" ht="15" hidden="false" customHeight="false" outlineLevel="0" collapsed="false">
      <c r="A1798" s="4" t="s">
        <v>44</v>
      </c>
      <c r="B1798" s="4" t="s">
        <v>373</v>
      </c>
      <c r="C1798" s="47" t="n">
        <v>12195.99</v>
      </c>
      <c r="D1798" s="48" t="n">
        <v>1683.14</v>
      </c>
      <c r="E1798" s="49" t="n">
        <f aca="false">D1798-cover</f>
        <v>1681.94</v>
      </c>
      <c r="F1798" s="50" t="n">
        <f aca="false">'Z6 Nkangamo-Uhuru'!S18-'Z6 Nkangamo-Uhuru'!P18*C1798/'Z6 Nkangamo-Uhuru'!G18</f>
        <v>1719.23112080169</v>
      </c>
      <c r="G1798" s="51" t="n">
        <f aca="false">'Z6 Nkangamo-Uhuru'!$B$8-E1798</f>
        <v>24.5599999999999</v>
      </c>
      <c r="H1798" s="52" t="n">
        <f aca="false">F1798-E1798</f>
        <v>37.2911208016928</v>
      </c>
      <c r="I1798" s="52" t="n">
        <f aca="false">MAX(H1798,G1798)</f>
        <v>37.2911208016928</v>
      </c>
      <c r="J1798" s="4" t="str">
        <f aca="false">IFERROR("PN"&amp;SMALL(PN_list,COUNTIF(PN_list,"&lt;"&amp;I1798*bar_per_m)+1),"&gt; max PN")</f>
        <v>PN10</v>
      </c>
      <c r="K1798" s="4" t="str">
        <f aca="false">IF(L1798="no","end at tank",IF(H1798&lt;0,"NEGATIVE",IF(H1798&lt;p_min-0.005,"low","OK")))</f>
        <v>OK</v>
      </c>
      <c r="L1798" s="4" t="s">
        <v>414</v>
      </c>
    </row>
    <row r="1799" customFormat="false" ht="15" hidden="false" customHeight="false" outlineLevel="0" collapsed="false">
      <c r="A1799" s="4" t="s">
        <v>44</v>
      </c>
      <c r="B1799" s="4" t="s">
        <v>373</v>
      </c>
      <c r="C1799" s="47" t="n">
        <v>12216.02</v>
      </c>
      <c r="D1799" s="48" t="n">
        <v>1682.05</v>
      </c>
      <c r="E1799" s="49" t="n">
        <f aca="false">D1799-cover</f>
        <v>1680.85</v>
      </c>
      <c r="F1799" s="50" t="n">
        <f aca="false">'Z6 Nkangamo-Uhuru'!S18-'Z6 Nkangamo-Uhuru'!P18*C1799/'Z6 Nkangamo-Uhuru'!G18</f>
        <v>1719.19992076879</v>
      </c>
      <c r="G1799" s="51" t="n">
        <f aca="false">'Z6 Nkangamo-Uhuru'!$B$8-E1799</f>
        <v>25.6500000000001</v>
      </c>
      <c r="H1799" s="52" t="n">
        <f aca="false">F1799-E1799</f>
        <v>38.3499207687919</v>
      </c>
      <c r="I1799" s="52" t="n">
        <f aca="false">MAX(H1799,G1799)</f>
        <v>38.3499207687919</v>
      </c>
      <c r="J1799" s="4" t="str">
        <f aca="false">IFERROR("PN"&amp;SMALL(PN_list,COUNTIF(PN_list,"&lt;"&amp;I1799*bar_per_m)+1),"&gt; max PN")</f>
        <v>PN10</v>
      </c>
      <c r="K1799" s="4" t="str">
        <f aca="false">IF(L1799="no","end at tank",IF(H1799&lt;0,"NEGATIVE",IF(H1799&lt;p_min-0.005,"low","OK")))</f>
        <v>OK</v>
      </c>
      <c r="L1799" s="4" t="s">
        <v>414</v>
      </c>
    </row>
    <row r="1800" customFormat="false" ht="15" hidden="false" customHeight="false" outlineLevel="0" collapsed="false">
      <c r="A1800" s="4" t="s">
        <v>44</v>
      </c>
      <c r="B1800" s="4" t="s">
        <v>373</v>
      </c>
      <c r="C1800" s="47" t="n">
        <v>12236.02</v>
      </c>
      <c r="D1800" s="48" t="n">
        <v>1681.7</v>
      </c>
      <c r="E1800" s="49" t="n">
        <f aca="false">D1800-cover</f>
        <v>1680.5</v>
      </c>
      <c r="F1800" s="50" t="n">
        <f aca="false">'Z6 Nkangamo-Uhuru'!S18-'Z6 Nkangamo-Uhuru'!P18*C1800/'Z6 Nkangamo-Uhuru'!G18</f>
        <v>1719.16876746585</v>
      </c>
      <c r="G1800" s="51" t="n">
        <f aca="false">'Z6 Nkangamo-Uhuru'!$B$8-E1800</f>
        <v>26</v>
      </c>
      <c r="H1800" s="52" t="n">
        <f aca="false">F1800-E1800</f>
        <v>38.6687674658449</v>
      </c>
      <c r="I1800" s="52" t="n">
        <f aca="false">MAX(H1800,G1800)</f>
        <v>38.6687674658449</v>
      </c>
      <c r="J1800" s="4" t="str">
        <f aca="false">IFERROR("PN"&amp;SMALL(PN_list,COUNTIF(PN_list,"&lt;"&amp;I1800*bar_per_m)+1),"&gt; max PN")</f>
        <v>PN10</v>
      </c>
      <c r="K1800" s="4" t="str">
        <f aca="false">IF(L1800="no","end at tank",IF(H1800&lt;0,"NEGATIVE",IF(H1800&lt;p_min-0.005,"low","OK")))</f>
        <v>OK</v>
      </c>
      <c r="L1800" s="4" t="s">
        <v>414</v>
      </c>
    </row>
    <row r="1801" customFormat="false" ht="15" hidden="false" customHeight="false" outlineLevel="0" collapsed="false">
      <c r="A1801" s="4" t="s">
        <v>44</v>
      </c>
      <c r="B1801" s="4" t="s">
        <v>373</v>
      </c>
      <c r="C1801" s="47" t="n">
        <v>12256.05</v>
      </c>
      <c r="D1801" s="48" t="n">
        <v>1680.6</v>
      </c>
      <c r="E1801" s="49" t="n">
        <f aca="false">D1801-cover</f>
        <v>1679.4</v>
      </c>
      <c r="F1801" s="50" t="n">
        <f aca="false">'Z6 Nkangamo-Uhuru'!S18-'Z6 Nkangamo-Uhuru'!P18*C1801/'Z6 Nkangamo-Uhuru'!G18</f>
        <v>1719.13756743294</v>
      </c>
      <c r="G1801" s="51" t="n">
        <f aca="false">'Z6 Nkangamo-Uhuru'!$B$8-E1801</f>
        <v>27.1000000000001</v>
      </c>
      <c r="H1801" s="52" t="n">
        <f aca="false">F1801-E1801</f>
        <v>39.7375674329437</v>
      </c>
      <c r="I1801" s="52" t="n">
        <f aca="false">MAX(H1801,G1801)</f>
        <v>39.7375674329437</v>
      </c>
      <c r="J1801" s="4" t="str">
        <f aca="false">IFERROR("PN"&amp;SMALL(PN_list,COUNTIF(PN_list,"&lt;"&amp;I1801*bar_per_m)+1),"&gt; max PN")</f>
        <v>PN10</v>
      </c>
      <c r="K1801" s="4" t="str">
        <f aca="false">IF(L1801="no","end at tank",IF(H1801&lt;0,"NEGATIVE",IF(H1801&lt;p_min-0.005,"low","OK")))</f>
        <v>OK</v>
      </c>
      <c r="L1801" s="4" t="s">
        <v>414</v>
      </c>
    </row>
    <row r="1802" customFormat="false" ht="15" hidden="false" customHeight="false" outlineLevel="0" collapsed="false">
      <c r="A1802" s="4" t="s">
        <v>44</v>
      </c>
      <c r="B1802" s="4" t="s">
        <v>373</v>
      </c>
      <c r="C1802" s="47" t="n">
        <v>12276.07</v>
      </c>
      <c r="D1802" s="48" t="n">
        <v>1679.66</v>
      </c>
      <c r="E1802" s="49" t="n">
        <f aca="false">D1802-cover</f>
        <v>1678.46</v>
      </c>
      <c r="F1802" s="50" t="n">
        <f aca="false">'Z6 Nkangamo-Uhuru'!S18-'Z6 Nkangamo-Uhuru'!P18*C1802/'Z6 Nkangamo-Uhuru'!G18</f>
        <v>1719.10638297669</v>
      </c>
      <c r="G1802" s="51" t="n">
        <f aca="false">'Z6 Nkangamo-Uhuru'!$B$8-E1802</f>
        <v>28.04</v>
      </c>
      <c r="H1802" s="52" t="n">
        <f aca="false">F1802-E1802</f>
        <v>40.646382976694</v>
      </c>
      <c r="I1802" s="52" t="n">
        <f aca="false">MAX(H1802,G1802)</f>
        <v>40.646382976694</v>
      </c>
      <c r="J1802" s="4" t="str">
        <f aca="false">IFERROR("PN"&amp;SMALL(PN_list,COUNTIF(PN_list,"&lt;"&amp;I1802*bar_per_m)+1),"&gt; max PN")</f>
        <v>PN10</v>
      </c>
      <c r="K1802" s="4" t="str">
        <f aca="false">IF(L1802="no","end at tank",IF(H1802&lt;0,"NEGATIVE",IF(H1802&lt;p_min-0.005,"low","OK")))</f>
        <v>OK</v>
      </c>
      <c r="L1802" s="4" t="s">
        <v>414</v>
      </c>
    </row>
    <row r="1803" customFormat="false" ht="15" hidden="false" customHeight="false" outlineLevel="0" collapsed="false">
      <c r="A1803" s="4" t="s">
        <v>44</v>
      </c>
      <c r="B1803" s="4" t="s">
        <v>373</v>
      </c>
      <c r="C1803" s="47" t="n">
        <v>12296.13</v>
      </c>
      <c r="D1803" s="48" t="n">
        <v>1678.14</v>
      </c>
      <c r="E1803" s="49" t="n">
        <f aca="false">D1803-cover</f>
        <v>1676.94</v>
      </c>
      <c r="F1803" s="50" t="n">
        <f aca="false">'Z6 Nkangamo-Uhuru'!S18-'Z6 Nkangamo-Uhuru'!P18*C1803/'Z6 Nkangamo-Uhuru'!G18</f>
        <v>1719.07513621384</v>
      </c>
      <c r="G1803" s="51" t="n">
        <f aca="false">'Z6 Nkangamo-Uhuru'!$B$8-E1803</f>
        <v>29.5599999999999</v>
      </c>
      <c r="H1803" s="52" t="n">
        <f aca="false">F1803-E1803</f>
        <v>42.1351362138382</v>
      </c>
      <c r="I1803" s="52" t="n">
        <f aca="false">MAX(H1803,G1803)</f>
        <v>42.1351362138382</v>
      </c>
      <c r="J1803" s="4" t="str">
        <f aca="false">IFERROR("PN"&amp;SMALL(PN_list,COUNTIF(PN_list,"&lt;"&amp;I1803*bar_per_m)+1),"&gt; max PN")</f>
        <v>PN10</v>
      </c>
      <c r="K1803" s="4" t="str">
        <f aca="false">IF(L1803="no","end at tank",IF(H1803&lt;0,"NEGATIVE",IF(H1803&lt;p_min-0.005,"low","OK")))</f>
        <v>OK</v>
      </c>
      <c r="L1803" s="4" t="s">
        <v>414</v>
      </c>
    </row>
    <row r="1804" customFormat="false" ht="15" hidden="false" customHeight="false" outlineLevel="0" collapsed="false">
      <c r="A1804" s="4" t="s">
        <v>44</v>
      </c>
      <c r="B1804" s="4" t="s">
        <v>373</v>
      </c>
      <c r="C1804" s="47" t="n">
        <v>12316.14</v>
      </c>
      <c r="D1804" s="48" t="n">
        <v>1677.57</v>
      </c>
      <c r="E1804" s="49" t="n">
        <f aca="false">D1804-cover</f>
        <v>1676.37</v>
      </c>
      <c r="F1804" s="50" t="n">
        <f aca="false">'Z6 Nkangamo-Uhuru'!S18-'Z6 Nkangamo-Uhuru'!P18*C1804/'Z6 Nkangamo-Uhuru'!G18</f>
        <v>1719.04396733424</v>
      </c>
      <c r="G1804" s="51" t="n">
        <f aca="false">'Z6 Nkangamo-Uhuru'!$B$8-E1804</f>
        <v>30.1300000000001</v>
      </c>
      <c r="H1804" s="52" t="n">
        <f aca="false">F1804-E1804</f>
        <v>42.6739673342402</v>
      </c>
      <c r="I1804" s="52" t="n">
        <f aca="false">MAX(H1804,G1804)</f>
        <v>42.6739673342402</v>
      </c>
      <c r="J1804" s="4" t="str">
        <f aca="false">IFERROR("PN"&amp;SMALL(PN_list,COUNTIF(PN_list,"&lt;"&amp;I1804*bar_per_m)+1),"&gt; max PN")</f>
        <v>PN10</v>
      </c>
      <c r="K1804" s="4" t="str">
        <f aca="false">IF(L1804="no","end at tank",IF(H1804&lt;0,"NEGATIVE",IF(H1804&lt;p_min-0.005,"low","OK")))</f>
        <v>OK</v>
      </c>
      <c r="L1804" s="4" t="s">
        <v>414</v>
      </c>
    </row>
    <row r="1805" customFormat="false" ht="15" hidden="false" customHeight="false" outlineLevel="0" collapsed="false">
      <c r="A1805" s="4" t="s">
        <v>44</v>
      </c>
      <c r="B1805" s="4" t="s">
        <v>373</v>
      </c>
      <c r="C1805" s="47" t="n">
        <v>12336.28</v>
      </c>
      <c r="D1805" s="48" t="n">
        <v>1675.18</v>
      </c>
      <c r="E1805" s="49" t="n">
        <f aca="false">D1805-cover</f>
        <v>1673.98</v>
      </c>
      <c r="F1805" s="50" t="n">
        <f aca="false">'Z6 Nkangamo-Uhuru'!S18-'Z6 Nkangamo-Uhuru'!P18*C1805/'Z6 Nkangamo-Uhuru'!G18</f>
        <v>1719.01259595817</v>
      </c>
      <c r="G1805" s="51" t="n">
        <f aca="false">'Z6 Nkangamo-Uhuru'!$B$8-E1805</f>
        <v>32.52</v>
      </c>
      <c r="H1805" s="52" t="n">
        <f aca="false">F1805-E1805</f>
        <v>45.0325959581724</v>
      </c>
      <c r="I1805" s="52" t="n">
        <f aca="false">MAX(H1805,G1805)</f>
        <v>45.0325959581724</v>
      </c>
      <c r="J1805" s="4" t="str">
        <f aca="false">IFERROR("PN"&amp;SMALL(PN_list,COUNTIF(PN_list,"&lt;"&amp;I1805*bar_per_m)+1),"&gt; max PN")</f>
        <v>PN10</v>
      </c>
      <c r="K1805" s="4" t="str">
        <f aca="false">IF(L1805="no","end at tank",IF(H1805&lt;0,"NEGATIVE",IF(H1805&lt;p_min-0.005,"low","OK")))</f>
        <v>OK</v>
      </c>
      <c r="L1805" s="4" t="s">
        <v>414</v>
      </c>
    </row>
    <row r="1806" customFormat="false" ht="15" hidden="false" customHeight="false" outlineLevel="0" collapsed="false">
      <c r="A1806" s="4" t="s">
        <v>44</v>
      </c>
      <c r="B1806" s="4" t="s">
        <v>373</v>
      </c>
      <c r="C1806" s="47" t="n">
        <v>12356.28</v>
      </c>
      <c r="D1806" s="48" t="n">
        <v>1675.18</v>
      </c>
      <c r="E1806" s="49" t="n">
        <f aca="false">D1806-cover</f>
        <v>1673.98</v>
      </c>
      <c r="F1806" s="50" t="n">
        <f aca="false">'Z6 Nkangamo-Uhuru'!S18-'Z6 Nkangamo-Uhuru'!P18*C1806/'Z6 Nkangamo-Uhuru'!G18</f>
        <v>1718.98144265523</v>
      </c>
      <c r="G1806" s="51" t="n">
        <f aca="false">'Z6 Nkangamo-Uhuru'!$B$8-E1806</f>
        <v>32.52</v>
      </c>
      <c r="H1806" s="52" t="n">
        <f aca="false">F1806-E1806</f>
        <v>45.0014426552257</v>
      </c>
      <c r="I1806" s="52" t="n">
        <f aca="false">MAX(H1806,G1806)</f>
        <v>45.0014426552257</v>
      </c>
      <c r="J1806" s="4" t="str">
        <f aca="false">IFERROR("PN"&amp;SMALL(PN_list,COUNTIF(PN_list,"&lt;"&amp;I1806*bar_per_m)+1),"&gt; max PN")</f>
        <v>PN10</v>
      </c>
      <c r="K1806" s="4" t="str">
        <f aca="false">IF(L1806="no","end at tank",IF(H1806&lt;0,"NEGATIVE",IF(H1806&lt;p_min-0.005,"low","OK")))</f>
        <v>OK</v>
      </c>
      <c r="L1806" s="4" t="s">
        <v>414</v>
      </c>
    </row>
    <row r="1807" customFormat="false" ht="15" hidden="false" customHeight="false" outlineLevel="0" collapsed="false">
      <c r="A1807" s="4" t="s">
        <v>44</v>
      </c>
      <c r="B1807" s="4" t="s">
        <v>373</v>
      </c>
      <c r="C1807" s="47" t="n">
        <v>12376.68</v>
      </c>
      <c r="D1807" s="48" t="n">
        <v>1671.17</v>
      </c>
      <c r="E1807" s="49" t="n">
        <f aca="false">D1807-cover</f>
        <v>1669.97</v>
      </c>
      <c r="F1807" s="50" t="n">
        <f aca="false">'Z6 Nkangamo-Uhuru'!S18-'Z6 Nkangamo-Uhuru'!P18*C1807/'Z6 Nkangamo-Uhuru'!G18</f>
        <v>1718.94966628622</v>
      </c>
      <c r="G1807" s="51" t="n">
        <f aca="false">'Z6 Nkangamo-Uhuru'!$B$8-E1807</f>
        <v>36.53</v>
      </c>
      <c r="H1807" s="52" t="n">
        <f aca="false">F1807-E1807</f>
        <v>48.9796662862198</v>
      </c>
      <c r="I1807" s="52" t="n">
        <f aca="false">MAX(H1807,G1807)</f>
        <v>48.9796662862198</v>
      </c>
      <c r="J1807" s="4" t="str">
        <f aca="false">IFERROR("PN"&amp;SMALL(PN_list,COUNTIF(PN_list,"&lt;"&amp;I1807*bar_per_m)+1),"&gt; max PN")</f>
        <v>PN10</v>
      </c>
      <c r="K1807" s="4" t="str">
        <f aca="false">IF(L1807="no","end at tank",IF(H1807&lt;0,"NEGATIVE",IF(H1807&lt;p_min-0.005,"low","OK")))</f>
        <v>OK</v>
      </c>
      <c r="L1807" s="4" t="s">
        <v>414</v>
      </c>
    </row>
    <row r="1808" customFormat="false" ht="15" hidden="false" customHeight="false" outlineLevel="0" collapsed="false">
      <c r="A1808" s="4" t="s">
        <v>44</v>
      </c>
      <c r="B1808" s="4" t="s">
        <v>373</v>
      </c>
      <c r="C1808" s="47" t="n">
        <v>12396.68</v>
      </c>
      <c r="D1808" s="48" t="n">
        <v>1670.96</v>
      </c>
      <c r="E1808" s="49" t="n">
        <f aca="false">D1808-cover</f>
        <v>1669.76</v>
      </c>
      <c r="F1808" s="50" t="n">
        <f aca="false">'Z6 Nkangamo-Uhuru'!S18-'Z6 Nkangamo-Uhuru'!P18*C1808/'Z6 Nkangamo-Uhuru'!G18</f>
        <v>1718.91851298327</v>
      </c>
      <c r="G1808" s="51" t="n">
        <f aca="false">'Z6 Nkangamo-Uhuru'!$B$8-E1808</f>
        <v>36.74</v>
      </c>
      <c r="H1808" s="52" t="n">
        <f aca="false">F1808-E1808</f>
        <v>49.1585129832731</v>
      </c>
      <c r="I1808" s="52" t="n">
        <f aca="false">MAX(H1808,G1808)</f>
        <v>49.1585129832731</v>
      </c>
      <c r="J1808" s="4" t="str">
        <f aca="false">IFERROR("PN"&amp;SMALL(PN_list,COUNTIF(PN_list,"&lt;"&amp;I1808*bar_per_m)+1),"&gt; max PN")</f>
        <v>PN10</v>
      </c>
      <c r="K1808" s="4" t="str">
        <f aca="false">IF(L1808="no","end at tank",IF(H1808&lt;0,"NEGATIVE",IF(H1808&lt;p_min-0.005,"low","OK")))</f>
        <v>OK</v>
      </c>
      <c r="L1808" s="4" t="s">
        <v>414</v>
      </c>
    </row>
    <row r="1809" customFormat="false" ht="15" hidden="false" customHeight="false" outlineLevel="0" collapsed="false">
      <c r="A1809" s="4" t="s">
        <v>44</v>
      </c>
      <c r="B1809" s="4" t="s">
        <v>373</v>
      </c>
      <c r="C1809" s="47" t="n">
        <v>12417</v>
      </c>
      <c r="D1809" s="48" t="n">
        <v>1667.4</v>
      </c>
      <c r="E1809" s="49" t="n">
        <f aca="false">D1809-cover</f>
        <v>1666.2</v>
      </c>
      <c r="F1809" s="50" t="n">
        <f aca="false">'Z6 Nkangamo-Uhuru'!S18-'Z6 Nkangamo-Uhuru'!P18*C1809/'Z6 Nkangamo-Uhuru'!G18</f>
        <v>1718.88686122748</v>
      </c>
      <c r="G1809" s="51" t="n">
        <f aca="false">'Z6 Nkangamo-Uhuru'!$B$8-E1809</f>
        <v>40.3</v>
      </c>
      <c r="H1809" s="52" t="n">
        <f aca="false">F1809-E1809</f>
        <v>52.6868612274791</v>
      </c>
      <c r="I1809" s="52" t="n">
        <f aca="false">MAX(H1809,G1809)</f>
        <v>52.6868612274791</v>
      </c>
      <c r="J1809" s="4" t="str">
        <f aca="false">IFERROR("PN"&amp;SMALL(PN_list,COUNTIF(PN_list,"&lt;"&amp;I1809*bar_per_m)+1),"&gt; max PN")</f>
        <v>PN10</v>
      </c>
      <c r="K1809" s="4" t="str">
        <f aca="false">IF(L1809="no","end at tank",IF(H1809&lt;0,"NEGATIVE",IF(H1809&lt;p_min-0.005,"low","OK")))</f>
        <v>OK</v>
      </c>
      <c r="L1809" s="4" t="s">
        <v>414</v>
      </c>
    </row>
    <row r="1810" customFormat="false" ht="15" hidden="false" customHeight="false" outlineLevel="0" collapsed="false">
      <c r="A1810" s="4" t="s">
        <v>44</v>
      </c>
      <c r="B1810" s="4" t="s">
        <v>373</v>
      </c>
      <c r="C1810" s="47" t="n">
        <v>12437</v>
      </c>
      <c r="D1810" s="48" t="n">
        <v>1667.46</v>
      </c>
      <c r="E1810" s="49" t="n">
        <f aca="false">D1810-cover</f>
        <v>1666.26</v>
      </c>
      <c r="F1810" s="50" t="n">
        <f aca="false">'Z6 Nkangamo-Uhuru'!S18-'Z6 Nkangamo-Uhuru'!P18*C1810/'Z6 Nkangamo-Uhuru'!G18</f>
        <v>1718.85570792453</v>
      </c>
      <c r="G1810" s="51" t="n">
        <f aca="false">'Z6 Nkangamo-Uhuru'!$B$8-E1810</f>
        <v>40.24</v>
      </c>
      <c r="H1810" s="52" t="n">
        <f aca="false">F1810-E1810</f>
        <v>52.5957079245322</v>
      </c>
      <c r="I1810" s="52" t="n">
        <f aca="false">MAX(H1810,G1810)</f>
        <v>52.5957079245322</v>
      </c>
      <c r="J1810" s="4" t="str">
        <f aca="false">IFERROR("PN"&amp;SMALL(PN_list,COUNTIF(PN_list,"&lt;"&amp;I1810*bar_per_m)+1),"&gt; max PN")</f>
        <v>PN10</v>
      </c>
      <c r="K1810" s="4" t="str">
        <f aca="false">IF(L1810="no","end at tank",IF(H1810&lt;0,"NEGATIVE",IF(H1810&lt;p_min-0.005,"low","OK")))</f>
        <v>OK</v>
      </c>
      <c r="L1810" s="4" t="s">
        <v>414</v>
      </c>
    </row>
    <row r="1811" customFormat="false" ht="15" hidden="false" customHeight="false" outlineLevel="0" collapsed="false">
      <c r="A1811" s="4" t="s">
        <v>44</v>
      </c>
      <c r="B1811" s="4" t="s">
        <v>373</v>
      </c>
      <c r="C1811" s="47" t="n">
        <v>12457</v>
      </c>
      <c r="D1811" s="48" t="n">
        <v>1667.46</v>
      </c>
      <c r="E1811" s="49" t="n">
        <f aca="false">D1811-cover</f>
        <v>1666.26</v>
      </c>
      <c r="F1811" s="50" t="n">
        <f aca="false">'Z6 Nkangamo-Uhuru'!S18-'Z6 Nkangamo-Uhuru'!P18*C1811/'Z6 Nkangamo-Uhuru'!G18</f>
        <v>1718.82455462159</v>
      </c>
      <c r="G1811" s="51" t="n">
        <f aca="false">'Z6 Nkangamo-Uhuru'!$B$8-E1811</f>
        <v>40.24</v>
      </c>
      <c r="H1811" s="52" t="n">
        <f aca="false">F1811-E1811</f>
        <v>52.5645546215856</v>
      </c>
      <c r="I1811" s="52" t="n">
        <f aca="false">MAX(H1811,G1811)</f>
        <v>52.5645546215856</v>
      </c>
      <c r="J1811" s="4" t="str">
        <f aca="false">IFERROR("PN"&amp;SMALL(PN_list,COUNTIF(PN_list,"&lt;"&amp;I1811*bar_per_m)+1),"&gt; max PN")</f>
        <v>PN10</v>
      </c>
      <c r="K1811" s="4" t="str">
        <f aca="false">IF(L1811="no","end at tank",IF(H1811&lt;0,"NEGATIVE",IF(H1811&lt;p_min-0.005,"low","OK")))</f>
        <v>OK</v>
      </c>
      <c r="L1811" s="4" t="s">
        <v>414</v>
      </c>
    </row>
    <row r="1812" customFormat="false" ht="15" hidden="false" customHeight="false" outlineLevel="0" collapsed="false">
      <c r="A1812" s="4" t="s">
        <v>44</v>
      </c>
      <c r="B1812" s="4" t="s">
        <v>373</v>
      </c>
      <c r="C1812" s="47" t="n">
        <v>12477.68</v>
      </c>
      <c r="D1812" s="48" t="n">
        <v>1662.2</v>
      </c>
      <c r="E1812" s="49" t="n">
        <f aca="false">D1812-cover</f>
        <v>1661</v>
      </c>
      <c r="F1812" s="50" t="n">
        <f aca="false">'Z6 Nkangamo-Uhuru'!S18-'Z6 Nkangamo-Uhuru'!P18*C1812/'Z6 Nkangamo-Uhuru'!G18</f>
        <v>1718.79234210634</v>
      </c>
      <c r="G1812" s="51" t="n">
        <f aca="false">'Z6 Nkangamo-Uhuru'!$B$8-E1812</f>
        <v>45.5</v>
      </c>
      <c r="H1812" s="52" t="n">
        <f aca="false">F1812-E1812</f>
        <v>57.7923421063383</v>
      </c>
      <c r="I1812" s="52" t="n">
        <f aca="false">MAX(H1812,G1812)</f>
        <v>57.7923421063383</v>
      </c>
      <c r="J1812" s="4" t="str">
        <f aca="false">IFERROR("PN"&amp;SMALL(PN_list,COUNTIF(PN_list,"&lt;"&amp;I1812*bar_per_m)+1),"&gt; max PN")</f>
        <v>PN10</v>
      </c>
      <c r="K1812" s="4" t="str">
        <f aca="false">IF(L1812="no","end at tank",IF(H1812&lt;0,"NEGATIVE",IF(H1812&lt;p_min-0.005,"low","OK")))</f>
        <v>OK</v>
      </c>
      <c r="L1812" s="4" t="s">
        <v>414</v>
      </c>
    </row>
    <row r="1813" customFormat="false" ht="15" hidden="false" customHeight="false" outlineLevel="0" collapsed="false">
      <c r="A1813" s="4" t="s">
        <v>44</v>
      </c>
      <c r="B1813" s="4" t="s">
        <v>373</v>
      </c>
      <c r="C1813" s="47" t="n">
        <v>12497.68</v>
      </c>
      <c r="D1813" s="48" t="n">
        <v>1662.21</v>
      </c>
      <c r="E1813" s="49" t="n">
        <f aca="false">D1813-cover</f>
        <v>1661.01</v>
      </c>
      <c r="F1813" s="50" t="n">
        <f aca="false">'Z6 Nkangamo-Uhuru'!S18-'Z6 Nkangamo-Uhuru'!P18*C1813/'Z6 Nkangamo-Uhuru'!G18</f>
        <v>1718.76118880339</v>
      </c>
      <c r="G1813" s="51" t="n">
        <f aca="false">'Z6 Nkangamo-Uhuru'!$B$8-E1813</f>
        <v>45.49</v>
      </c>
      <c r="H1813" s="52" t="n">
        <f aca="false">F1813-E1813</f>
        <v>57.7511888033916</v>
      </c>
      <c r="I1813" s="52" t="n">
        <f aca="false">MAX(H1813,G1813)</f>
        <v>57.7511888033916</v>
      </c>
      <c r="J1813" s="4" t="str">
        <f aca="false">IFERROR("PN"&amp;SMALL(PN_list,COUNTIF(PN_list,"&lt;"&amp;I1813*bar_per_m)+1),"&gt; max PN")</f>
        <v>PN10</v>
      </c>
      <c r="K1813" s="4" t="str">
        <f aca="false">IF(L1813="no","end at tank",IF(H1813&lt;0,"NEGATIVE",IF(H1813&lt;p_min-0.005,"low","OK")))</f>
        <v>OK</v>
      </c>
      <c r="L1813" s="4" t="s">
        <v>414</v>
      </c>
    </row>
    <row r="1814" customFormat="false" ht="15" hidden="false" customHeight="false" outlineLevel="0" collapsed="false">
      <c r="A1814" s="4" t="s">
        <v>44</v>
      </c>
      <c r="B1814" s="4" t="s">
        <v>373</v>
      </c>
      <c r="C1814" s="47" t="n">
        <v>12517.69</v>
      </c>
      <c r="D1814" s="48" t="n">
        <v>1661.87</v>
      </c>
      <c r="E1814" s="49" t="n">
        <f aca="false">D1814-cover</f>
        <v>1660.67</v>
      </c>
      <c r="F1814" s="50" t="n">
        <f aca="false">'Z6 Nkangamo-Uhuru'!S18-'Z6 Nkangamo-Uhuru'!P18*C1814/'Z6 Nkangamo-Uhuru'!G18</f>
        <v>1718.73001992379</v>
      </c>
      <c r="G1814" s="51" t="n">
        <f aca="false">'Z6 Nkangamo-Uhuru'!$B$8-E1814</f>
        <v>45.8300000000002</v>
      </c>
      <c r="H1814" s="52" t="n">
        <f aca="false">F1814-E1814</f>
        <v>58.0600199237933</v>
      </c>
      <c r="I1814" s="52" t="n">
        <f aca="false">MAX(H1814,G1814)</f>
        <v>58.0600199237933</v>
      </c>
      <c r="J1814" s="4" t="str">
        <f aca="false">IFERROR("PN"&amp;SMALL(PN_list,COUNTIF(PN_list,"&lt;"&amp;I1814*bar_per_m)+1),"&gt; max PN")</f>
        <v>PN10</v>
      </c>
      <c r="K1814" s="4" t="str">
        <f aca="false">IF(L1814="no","end at tank",IF(H1814&lt;0,"NEGATIVE",IF(H1814&lt;p_min-0.005,"low","OK")))</f>
        <v>OK</v>
      </c>
      <c r="L1814" s="4" t="s">
        <v>414</v>
      </c>
    </row>
    <row r="1815" customFormat="false" ht="15" hidden="false" customHeight="false" outlineLevel="0" collapsed="false">
      <c r="A1815" s="4" t="s">
        <v>44</v>
      </c>
      <c r="B1815" s="4" t="s">
        <v>373</v>
      </c>
      <c r="C1815" s="47" t="n">
        <v>12537.71</v>
      </c>
      <c r="D1815" s="48" t="n">
        <v>1661.06</v>
      </c>
      <c r="E1815" s="49" t="n">
        <f aca="false">D1815-cover</f>
        <v>1659.86</v>
      </c>
      <c r="F1815" s="50" t="n">
        <f aca="false">'Z6 Nkangamo-Uhuru'!S18-'Z6 Nkangamo-Uhuru'!P18*C1815/'Z6 Nkangamo-Uhuru'!G18</f>
        <v>1718.69883546754</v>
      </c>
      <c r="G1815" s="51" t="n">
        <f aca="false">'Z6 Nkangamo-Uhuru'!$B$8-E1815</f>
        <v>46.6400000000001</v>
      </c>
      <c r="H1815" s="52" t="n">
        <f aca="false">F1815-E1815</f>
        <v>58.8388354675437</v>
      </c>
      <c r="I1815" s="52" t="n">
        <f aca="false">MAX(H1815,G1815)</f>
        <v>58.8388354675437</v>
      </c>
      <c r="J1815" s="4" t="str">
        <f aca="false">IFERROR("PN"&amp;SMALL(PN_list,COUNTIF(PN_list,"&lt;"&amp;I1815*bar_per_m)+1),"&gt; max PN")</f>
        <v>PN10</v>
      </c>
      <c r="K1815" s="4" t="str">
        <f aca="false">IF(L1815="no","end at tank",IF(H1815&lt;0,"NEGATIVE",IF(H1815&lt;p_min-0.005,"low","OK")))</f>
        <v>OK</v>
      </c>
      <c r="L1815" s="4" t="s">
        <v>414</v>
      </c>
    </row>
    <row r="1816" customFormat="false" ht="15" hidden="false" customHeight="false" outlineLevel="0" collapsed="false">
      <c r="A1816" s="4" t="s">
        <v>44</v>
      </c>
      <c r="B1816" s="4" t="s">
        <v>373</v>
      </c>
      <c r="C1816" s="47" t="n">
        <v>12557.71</v>
      </c>
      <c r="D1816" s="48" t="n">
        <v>1661.06</v>
      </c>
      <c r="E1816" s="49" t="n">
        <f aca="false">D1816-cover</f>
        <v>1659.86</v>
      </c>
      <c r="F1816" s="50" t="n">
        <f aca="false">'Z6 Nkangamo-Uhuru'!S18-'Z6 Nkangamo-Uhuru'!P18*C1816/'Z6 Nkangamo-Uhuru'!G18</f>
        <v>1718.6676821646</v>
      </c>
      <c r="G1816" s="51" t="n">
        <f aca="false">'Z6 Nkangamo-Uhuru'!$B$8-E1816</f>
        <v>46.6400000000001</v>
      </c>
      <c r="H1816" s="52" t="n">
        <f aca="false">F1816-E1816</f>
        <v>58.8076821645968</v>
      </c>
      <c r="I1816" s="52" t="n">
        <f aca="false">MAX(H1816,G1816)</f>
        <v>58.8076821645968</v>
      </c>
      <c r="J1816" s="4" t="str">
        <f aca="false">IFERROR("PN"&amp;SMALL(PN_list,COUNTIF(PN_list,"&lt;"&amp;I1816*bar_per_m)+1),"&gt; max PN")</f>
        <v>PN10</v>
      </c>
      <c r="K1816" s="4" t="str">
        <f aca="false">IF(L1816="no","end at tank",IF(H1816&lt;0,"NEGATIVE",IF(H1816&lt;p_min-0.005,"low","OK")))</f>
        <v>OK</v>
      </c>
      <c r="L1816" s="4" t="s">
        <v>414</v>
      </c>
    </row>
    <row r="1817" customFormat="false" ht="15" hidden="false" customHeight="false" outlineLevel="0" collapsed="false">
      <c r="A1817" s="4" t="s">
        <v>44</v>
      </c>
      <c r="B1817" s="4" t="s">
        <v>373</v>
      </c>
      <c r="C1817" s="47" t="n">
        <v>12577.71</v>
      </c>
      <c r="D1817" s="48" t="n">
        <v>1660.56</v>
      </c>
      <c r="E1817" s="49" t="n">
        <f aca="false">D1817-cover</f>
        <v>1659.36</v>
      </c>
      <c r="F1817" s="50" t="n">
        <f aca="false">'Z6 Nkangamo-Uhuru'!S18-'Z6 Nkangamo-Uhuru'!P18*C1817/'Z6 Nkangamo-Uhuru'!G18</f>
        <v>1718.63652886165</v>
      </c>
      <c r="G1817" s="51" t="n">
        <f aca="false">'Z6 Nkangamo-Uhuru'!$B$8-E1817</f>
        <v>47.1400000000001</v>
      </c>
      <c r="H1817" s="52" t="n">
        <f aca="false">F1817-E1817</f>
        <v>59.2765288616499</v>
      </c>
      <c r="I1817" s="52" t="n">
        <f aca="false">MAX(H1817,G1817)</f>
        <v>59.2765288616499</v>
      </c>
      <c r="J1817" s="4" t="str">
        <f aca="false">IFERROR("PN"&amp;SMALL(PN_list,COUNTIF(PN_list,"&lt;"&amp;I1817*bar_per_m)+1),"&gt; max PN")</f>
        <v>PN10</v>
      </c>
      <c r="K1817" s="4" t="str">
        <f aca="false">IF(L1817="no","end at tank",IF(H1817&lt;0,"NEGATIVE",IF(H1817&lt;p_min-0.005,"low","OK")))</f>
        <v>OK</v>
      </c>
      <c r="L1817" s="4" t="s">
        <v>414</v>
      </c>
    </row>
    <row r="1818" customFormat="false" ht="15" hidden="false" customHeight="false" outlineLevel="0" collapsed="false">
      <c r="A1818" s="4" t="s">
        <v>44</v>
      </c>
      <c r="B1818" s="4" t="s">
        <v>373</v>
      </c>
      <c r="C1818" s="47" t="n">
        <v>12597.74</v>
      </c>
      <c r="D1818" s="48" t="n">
        <v>1659.5</v>
      </c>
      <c r="E1818" s="49" t="n">
        <f aca="false">D1818-cover</f>
        <v>1658.3</v>
      </c>
      <c r="F1818" s="50" t="n">
        <f aca="false">'Z6 Nkangamo-Uhuru'!S18-'Z6 Nkangamo-Uhuru'!P18*C1818/'Z6 Nkangamo-Uhuru'!G18</f>
        <v>1718.60532882875</v>
      </c>
      <c r="G1818" s="51" t="n">
        <f aca="false">'Z6 Nkangamo-Uhuru'!$B$8-E1818</f>
        <v>48.2</v>
      </c>
      <c r="H1818" s="52" t="n">
        <f aca="false">F1818-E1818</f>
        <v>60.3053288287488</v>
      </c>
      <c r="I1818" s="52" t="n">
        <f aca="false">MAX(H1818,G1818)</f>
        <v>60.3053288287488</v>
      </c>
      <c r="J1818" s="4" t="str">
        <f aca="false">IFERROR("PN"&amp;SMALL(PN_list,COUNTIF(PN_list,"&lt;"&amp;I1818*bar_per_m)+1),"&gt; max PN")</f>
        <v>PN10</v>
      </c>
      <c r="K1818" s="4" t="str">
        <f aca="false">IF(L1818="no","end at tank",IF(H1818&lt;0,"NEGATIVE",IF(H1818&lt;p_min-0.005,"low","OK")))</f>
        <v>OK</v>
      </c>
      <c r="L1818" s="4" t="s">
        <v>414</v>
      </c>
    </row>
    <row r="1819" customFormat="false" ht="15" hidden="false" customHeight="false" outlineLevel="0" collapsed="false">
      <c r="A1819" s="4" t="s">
        <v>44</v>
      </c>
      <c r="B1819" s="4" t="s">
        <v>373</v>
      </c>
      <c r="C1819" s="47" t="n">
        <v>12617.74</v>
      </c>
      <c r="D1819" s="48" t="n">
        <v>1659.5</v>
      </c>
      <c r="E1819" s="49" t="n">
        <f aca="false">D1819-cover</f>
        <v>1658.3</v>
      </c>
      <c r="F1819" s="50" t="n">
        <f aca="false">'Z6 Nkangamo-Uhuru'!S18-'Z6 Nkangamo-Uhuru'!P18*C1819/'Z6 Nkangamo-Uhuru'!G18</f>
        <v>1718.5741755258</v>
      </c>
      <c r="G1819" s="51" t="n">
        <f aca="false">'Z6 Nkangamo-Uhuru'!$B$8-E1819</f>
        <v>48.2</v>
      </c>
      <c r="H1819" s="52" t="n">
        <f aca="false">F1819-E1819</f>
        <v>60.2741755258019</v>
      </c>
      <c r="I1819" s="52" t="n">
        <f aca="false">MAX(H1819,G1819)</f>
        <v>60.2741755258019</v>
      </c>
      <c r="J1819" s="4" t="str">
        <f aca="false">IFERROR("PN"&amp;SMALL(PN_list,COUNTIF(PN_list,"&lt;"&amp;I1819*bar_per_m)+1),"&gt; max PN")</f>
        <v>PN10</v>
      </c>
      <c r="K1819" s="4" t="str">
        <f aca="false">IF(L1819="no","end at tank",IF(H1819&lt;0,"NEGATIVE",IF(H1819&lt;p_min-0.005,"low","OK")))</f>
        <v>OK</v>
      </c>
      <c r="L1819" s="4" t="s">
        <v>414</v>
      </c>
    </row>
    <row r="1820" customFormat="false" ht="15" hidden="false" customHeight="false" outlineLevel="0" collapsed="false">
      <c r="A1820" s="4" t="s">
        <v>44</v>
      </c>
      <c r="B1820" s="4" t="s">
        <v>373</v>
      </c>
      <c r="C1820" s="47" t="n">
        <v>12637.74</v>
      </c>
      <c r="D1820" s="48" t="n">
        <v>1659.27</v>
      </c>
      <c r="E1820" s="49" t="n">
        <f aca="false">D1820-cover</f>
        <v>1658.07</v>
      </c>
      <c r="F1820" s="50" t="n">
        <f aca="false">'Z6 Nkangamo-Uhuru'!S18-'Z6 Nkangamo-Uhuru'!P18*C1820/'Z6 Nkangamo-Uhuru'!G18</f>
        <v>1718.54302222286</v>
      </c>
      <c r="G1820" s="51" t="n">
        <f aca="false">'Z6 Nkangamo-Uhuru'!$B$8-E1820</f>
        <v>48.4300000000001</v>
      </c>
      <c r="H1820" s="52" t="n">
        <f aca="false">F1820-E1820</f>
        <v>60.473022222855</v>
      </c>
      <c r="I1820" s="52" t="n">
        <f aca="false">MAX(H1820,G1820)</f>
        <v>60.473022222855</v>
      </c>
      <c r="J1820" s="4" t="str">
        <f aca="false">IFERROR("PN"&amp;SMALL(PN_list,COUNTIF(PN_list,"&lt;"&amp;I1820*bar_per_m)+1),"&gt; max PN")</f>
        <v>PN10</v>
      </c>
      <c r="K1820" s="4" t="str">
        <f aca="false">IF(L1820="no","end at tank",IF(H1820&lt;0,"NEGATIVE",IF(H1820&lt;p_min-0.005,"low","OK")))</f>
        <v>OK</v>
      </c>
      <c r="L1820" s="4" t="s">
        <v>414</v>
      </c>
    </row>
    <row r="1821" customFormat="false" ht="15" hidden="false" customHeight="false" outlineLevel="0" collapsed="false">
      <c r="A1821" s="4" t="s">
        <v>44</v>
      </c>
      <c r="B1821" s="4" t="s">
        <v>373</v>
      </c>
      <c r="C1821" s="47" t="n">
        <v>12657.83</v>
      </c>
      <c r="D1821" s="48" t="n">
        <v>1657.44</v>
      </c>
      <c r="E1821" s="49" t="n">
        <f aca="false">D1821-cover</f>
        <v>1656.24</v>
      </c>
      <c r="F1821" s="50" t="n">
        <f aca="false">'Z6 Nkangamo-Uhuru'!S18-'Z6 Nkangamo-Uhuru'!P18*C1821/'Z6 Nkangamo-Uhuru'!G18</f>
        <v>1718.51172873005</v>
      </c>
      <c r="G1821" s="51" t="n">
        <f aca="false">'Z6 Nkangamo-Uhuru'!$B$8-E1821</f>
        <v>50.26</v>
      </c>
      <c r="H1821" s="52" t="n">
        <f aca="false">F1821-E1821</f>
        <v>62.271728730045</v>
      </c>
      <c r="I1821" s="52" t="n">
        <f aca="false">MAX(H1821,G1821)</f>
        <v>62.271728730045</v>
      </c>
      <c r="J1821" s="4" t="str">
        <f aca="false">IFERROR("PN"&amp;SMALL(PN_list,COUNTIF(PN_list,"&lt;"&amp;I1821*bar_per_m)+1),"&gt; max PN")</f>
        <v>PN10</v>
      </c>
      <c r="K1821" s="4" t="str">
        <f aca="false">IF(L1821="no","end at tank",IF(H1821&lt;0,"NEGATIVE",IF(H1821&lt;p_min-0.005,"low","OK")))</f>
        <v>OK</v>
      </c>
      <c r="L1821" s="4" t="s">
        <v>414</v>
      </c>
    </row>
    <row r="1822" customFormat="false" ht="15" hidden="false" customHeight="false" outlineLevel="0" collapsed="false">
      <c r="A1822" s="4" t="s">
        <v>44</v>
      </c>
      <c r="B1822" s="4" t="s">
        <v>373</v>
      </c>
      <c r="C1822" s="47" t="n">
        <v>12677.84</v>
      </c>
      <c r="D1822" s="48" t="n">
        <v>1658.29</v>
      </c>
      <c r="E1822" s="49" t="n">
        <f aca="false">D1822-cover</f>
        <v>1657.09</v>
      </c>
      <c r="F1822" s="50" t="n">
        <f aca="false">'Z6 Nkangamo-Uhuru'!S18-'Z6 Nkangamo-Uhuru'!P18*C1822/'Z6 Nkangamo-Uhuru'!G18</f>
        <v>1718.48055985045</v>
      </c>
      <c r="G1822" s="51" t="n">
        <f aca="false">'Z6 Nkangamo-Uhuru'!$B$8-E1822</f>
        <v>49.4100000000001</v>
      </c>
      <c r="H1822" s="52" t="n">
        <f aca="false">F1822-E1822</f>
        <v>61.3905598504466</v>
      </c>
      <c r="I1822" s="52" t="n">
        <f aca="false">MAX(H1822,G1822)</f>
        <v>61.3905598504466</v>
      </c>
      <c r="J1822" s="4" t="str">
        <f aca="false">IFERROR("PN"&amp;SMALL(PN_list,COUNTIF(PN_list,"&lt;"&amp;I1822*bar_per_m)+1),"&gt; max PN")</f>
        <v>PN10</v>
      </c>
      <c r="K1822" s="4" t="str">
        <f aca="false">IF(L1822="no","end at tank",IF(H1822&lt;0,"NEGATIVE",IF(H1822&lt;p_min-0.005,"low","OK")))</f>
        <v>OK</v>
      </c>
      <c r="L1822" s="4" t="s">
        <v>414</v>
      </c>
    </row>
    <row r="1823" customFormat="false" ht="15" hidden="false" customHeight="false" outlineLevel="0" collapsed="false">
      <c r="A1823" s="4" t="s">
        <v>44</v>
      </c>
      <c r="B1823" s="4" t="s">
        <v>373</v>
      </c>
      <c r="C1823" s="47" t="n">
        <v>12697.89</v>
      </c>
      <c r="D1823" s="48" t="n">
        <v>1656.91</v>
      </c>
      <c r="E1823" s="49" t="n">
        <f aca="false">D1823-cover</f>
        <v>1655.71</v>
      </c>
      <c r="F1823" s="50" t="n">
        <f aca="false">'Z6 Nkangamo-Uhuru'!S18-'Z6 Nkangamo-Uhuru'!P18*C1823/'Z6 Nkangamo-Uhuru'!G18</f>
        <v>1718.44932866424</v>
      </c>
      <c r="G1823" s="51" t="n">
        <f aca="false">'Z6 Nkangamo-Uhuru'!$B$8-E1823</f>
        <v>50.79</v>
      </c>
      <c r="H1823" s="52" t="n">
        <f aca="false">F1823-E1823</f>
        <v>62.7393286642423</v>
      </c>
      <c r="I1823" s="52" t="n">
        <f aca="false">MAX(H1823,G1823)</f>
        <v>62.7393286642423</v>
      </c>
      <c r="J1823" s="4" t="str">
        <f aca="false">IFERROR("PN"&amp;SMALL(PN_list,COUNTIF(PN_list,"&lt;"&amp;I1823*bar_per_m)+1),"&gt; max PN")</f>
        <v>PN10</v>
      </c>
      <c r="K1823" s="4" t="str">
        <f aca="false">IF(L1823="no","end at tank",IF(H1823&lt;0,"NEGATIVE",IF(H1823&lt;p_min-0.005,"low","OK")))</f>
        <v>OK</v>
      </c>
      <c r="L1823" s="4" t="s">
        <v>414</v>
      </c>
    </row>
    <row r="1824" customFormat="false" ht="15" hidden="false" customHeight="false" outlineLevel="0" collapsed="false">
      <c r="A1824" s="4" t="s">
        <v>44</v>
      </c>
      <c r="B1824" s="4" t="s">
        <v>373</v>
      </c>
      <c r="C1824" s="47" t="n">
        <v>12718.02</v>
      </c>
      <c r="D1824" s="48" t="n">
        <v>1654.66</v>
      </c>
      <c r="E1824" s="49" t="n">
        <f aca="false">D1824-cover</f>
        <v>1653.46</v>
      </c>
      <c r="F1824" s="50" t="n">
        <f aca="false">'Z6 Nkangamo-Uhuru'!S18-'Z6 Nkangamo-Uhuru'!P18*C1824/'Z6 Nkangamo-Uhuru'!G18</f>
        <v>1718.41797286483</v>
      </c>
      <c r="G1824" s="51" t="n">
        <f aca="false">'Z6 Nkangamo-Uhuru'!$B$8-E1824</f>
        <v>53.04</v>
      </c>
      <c r="H1824" s="52" t="n">
        <f aca="false">F1824-E1824</f>
        <v>64.9579728648264</v>
      </c>
      <c r="I1824" s="52" t="n">
        <f aca="false">MAX(H1824,G1824)</f>
        <v>64.9579728648264</v>
      </c>
      <c r="J1824" s="4" t="str">
        <f aca="false">IFERROR("PN"&amp;SMALL(PN_list,COUNTIF(PN_list,"&lt;"&amp;I1824*bar_per_m)+1),"&gt; max PN")</f>
        <v>PN10</v>
      </c>
      <c r="K1824" s="4" t="str">
        <f aca="false">IF(L1824="no","end at tank",IF(H1824&lt;0,"NEGATIVE",IF(H1824&lt;p_min-0.005,"low","OK")))</f>
        <v>OK</v>
      </c>
      <c r="L1824" s="4" t="s">
        <v>414</v>
      </c>
    </row>
    <row r="1825" customFormat="false" ht="15" hidden="false" customHeight="false" outlineLevel="0" collapsed="false">
      <c r="A1825" s="4" t="s">
        <v>44</v>
      </c>
      <c r="B1825" s="4" t="s">
        <v>373</v>
      </c>
      <c r="C1825" s="47" t="n">
        <v>12738.05</v>
      </c>
      <c r="D1825" s="48" t="n">
        <v>1653.47</v>
      </c>
      <c r="E1825" s="49" t="n">
        <f aca="false">D1825-cover</f>
        <v>1652.27</v>
      </c>
      <c r="F1825" s="50" t="n">
        <f aca="false">'Z6 Nkangamo-Uhuru'!S18-'Z6 Nkangamo-Uhuru'!P18*C1825/'Z6 Nkangamo-Uhuru'!G18</f>
        <v>1718.38677283193</v>
      </c>
      <c r="G1825" s="51" t="n">
        <f aca="false">'Z6 Nkangamo-Uhuru'!$B$8-E1825</f>
        <v>54.23</v>
      </c>
      <c r="H1825" s="52" t="n">
        <f aca="false">F1825-E1825</f>
        <v>66.1167728319251</v>
      </c>
      <c r="I1825" s="52" t="n">
        <f aca="false">MAX(H1825,G1825)</f>
        <v>66.1167728319251</v>
      </c>
      <c r="J1825" s="4" t="str">
        <f aca="false">IFERROR("PN"&amp;SMALL(PN_list,COUNTIF(PN_list,"&lt;"&amp;I1825*bar_per_m)+1),"&gt; max PN")</f>
        <v>PN10</v>
      </c>
      <c r="K1825" s="4" t="str">
        <f aca="false">IF(L1825="no","end at tank",IF(H1825&lt;0,"NEGATIVE",IF(H1825&lt;p_min-0.005,"low","OK")))</f>
        <v>OK</v>
      </c>
      <c r="L1825" s="4" t="s">
        <v>414</v>
      </c>
    </row>
    <row r="1826" customFormat="false" ht="15" hidden="false" customHeight="false" outlineLevel="0" collapsed="false">
      <c r="A1826" s="4" t="s">
        <v>44</v>
      </c>
      <c r="B1826" s="4" t="s">
        <v>373</v>
      </c>
      <c r="C1826" s="47" t="n">
        <v>12758.28</v>
      </c>
      <c r="D1826" s="48" t="n">
        <v>1651.68</v>
      </c>
      <c r="E1826" s="49" t="n">
        <f aca="false">D1826-cover</f>
        <v>1650.48</v>
      </c>
      <c r="F1826" s="50" t="n">
        <f aca="false">'Z6 Nkangamo-Uhuru'!S18-'Z6 Nkangamo-Uhuru'!P18*C1826/'Z6 Nkangamo-Uhuru'!G18</f>
        <v>1718.35526126599</v>
      </c>
      <c r="G1826" s="51" t="n">
        <f aca="false">'Z6 Nkangamo-Uhuru'!$B$8-E1826</f>
        <v>56.02</v>
      </c>
      <c r="H1826" s="52" t="n">
        <f aca="false">F1826-E1826</f>
        <v>67.8752612659944</v>
      </c>
      <c r="I1826" s="52" t="n">
        <f aca="false">MAX(H1826,G1826)</f>
        <v>67.8752612659944</v>
      </c>
      <c r="J1826" s="4" t="str">
        <f aca="false">IFERROR("PN"&amp;SMALL(PN_list,COUNTIF(PN_list,"&lt;"&amp;I1826*bar_per_m)+1),"&gt; max PN")</f>
        <v>PN10</v>
      </c>
      <c r="K1826" s="4" t="str">
        <f aca="false">IF(L1826="no","end at tank",IF(H1826&lt;0,"NEGATIVE",IF(H1826&lt;p_min-0.005,"low","OK")))</f>
        <v>OK</v>
      </c>
      <c r="L1826" s="4" t="s">
        <v>414</v>
      </c>
    </row>
    <row r="1827" customFormat="false" ht="15" hidden="false" customHeight="false" outlineLevel="0" collapsed="false">
      <c r="A1827" s="4" t="s">
        <v>44</v>
      </c>
      <c r="B1827" s="4" t="s">
        <v>373</v>
      </c>
      <c r="C1827" s="47" t="n">
        <v>12778.34</v>
      </c>
      <c r="D1827" s="48" t="n">
        <v>1650.15</v>
      </c>
      <c r="E1827" s="49" t="n">
        <f aca="false">D1827-cover</f>
        <v>1648.95</v>
      </c>
      <c r="F1827" s="50" t="n">
        <f aca="false">'Z6 Nkangamo-Uhuru'!S18-'Z6 Nkangamo-Uhuru'!P18*C1827/'Z6 Nkangamo-Uhuru'!G18</f>
        <v>1718.32401450314</v>
      </c>
      <c r="G1827" s="51" t="n">
        <f aca="false">'Z6 Nkangamo-Uhuru'!$B$8-E1827</f>
        <v>57.55</v>
      </c>
      <c r="H1827" s="52" t="n">
        <f aca="false">F1827-E1827</f>
        <v>69.3740145031388</v>
      </c>
      <c r="I1827" s="52" t="n">
        <f aca="false">MAX(H1827,G1827)</f>
        <v>69.3740145031388</v>
      </c>
      <c r="J1827" s="4" t="str">
        <f aca="false">IFERROR("PN"&amp;SMALL(PN_list,COUNTIF(PN_list,"&lt;"&amp;I1827*bar_per_m)+1),"&gt; max PN")</f>
        <v>PN10</v>
      </c>
      <c r="K1827" s="4" t="str">
        <f aca="false">IF(L1827="no","end at tank",IF(H1827&lt;0,"NEGATIVE",IF(H1827&lt;p_min-0.005,"low","OK")))</f>
        <v>OK</v>
      </c>
      <c r="L1827" s="4" t="s">
        <v>414</v>
      </c>
    </row>
    <row r="1828" customFormat="false" ht="15" hidden="false" customHeight="false" outlineLevel="0" collapsed="false">
      <c r="A1828" s="4" t="s">
        <v>44</v>
      </c>
      <c r="B1828" s="4" t="s">
        <v>373</v>
      </c>
      <c r="C1828" s="47" t="n">
        <v>12798.38</v>
      </c>
      <c r="D1828" s="48" t="n">
        <v>1651.45</v>
      </c>
      <c r="E1828" s="49" t="n">
        <f aca="false">D1828-cover</f>
        <v>1650.25</v>
      </c>
      <c r="F1828" s="50" t="n">
        <f aca="false">'Z6 Nkangamo-Uhuru'!S18-'Z6 Nkangamo-Uhuru'!P18*C1828/'Z6 Nkangamo-Uhuru'!G18</f>
        <v>1718.29279889359</v>
      </c>
      <c r="G1828" s="51" t="n">
        <f aca="false">'Z6 Nkangamo-Uhuru'!$B$8-E1828</f>
        <v>56.25</v>
      </c>
      <c r="H1828" s="52" t="n">
        <f aca="false">F1828-E1828</f>
        <v>68.042798893586</v>
      </c>
      <c r="I1828" s="52" t="n">
        <f aca="false">MAX(H1828,G1828)</f>
        <v>68.042798893586</v>
      </c>
      <c r="J1828" s="4" t="str">
        <f aca="false">IFERROR("PN"&amp;SMALL(PN_list,COUNTIF(PN_list,"&lt;"&amp;I1828*bar_per_m)+1),"&gt; max PN")</f>
        <v>PN10</v>
      </c>
      <c r="K1828" s="4" t="str">
        <f aca="false">IF(L1828="no","end at tank",IF(H1828&lt;0,"NEGATIVE",IF(H1828&lt;p_min-0.005,"low","OK")))</f>
        <v>OK</v>
      </c>
      <c r="L1828" s="4" t="s">
        <v>414</v>
      </c>
    </row>
    <row r="1829" customFormat="false" ht="15" hidden="false" customHeight="false" outlineLevel="0" collapsed="false">
      <c r="A1829" s="4" t="s">
        <v>44</v>
      </c>
      <c r="B1829" s="4" t="s">
        <v>373</v>
      </c>
      <c r="C1829" s="47" t="n">
        <v>12818.45</v>
      </c>
      <c r="D1829" s="48" t="n">
        <v>1653.14</v>
      </c>
      <c r="E1829" s="49" t="n">
        <f aca="false">D1829-cover</f>
        <v>1651.94</v>
      </c>
      <c r="F1829" s="50" t="n">
        <f aca="false">'Z6 Nkangamo-Uhuru'!S18-'Z6 Nkangamo-Uhuru'!P18*C1829/'Z6 Nkangamo-Uhuru'!G18</f>
        <v>1718.26153655408</v>
      </c>
      <c r="G1829" s="51" t="n">
        <f aca="false">'Z6 Nkangamo-Uhuru'!$B$8-E1829</f>
        <v>54.5599999999999</v>
      </c>
      <c r="H1829" s="52" t="n">
        <f aca="false">F1829-E1829</f>
        <v>66.3215365540789</v>
      </c>
      <c r="I1829" s="52" t="n">
        <f aca="false">MAX(H1829,G1829)</f>
        <v>66.3215365540789</v>
      </c>
      <c r="J1829" s="4" t="str">
        <f aca="false">IFERROR("PN"&amp;SMALL(PN_list,COUNTIF(PN_list,"&lt;"&amp;I1829*bar_per_m)+1),"&gt; max PN")</f>
        <v>PN10</v>
      </c>
      <c r="K1829" s="4" t="str">
        <f aca="false">IF(L1829="no","end at tank",IF(H1829&lt;0,"NEGATIVE",IF(H1829&lt;p_min-0.005,"low","OK")))</f>
        <v>OK</v>
      </c>
      <c r="L1829" s="4" t="s">
        <v>414</v>
      </c>
    </row>
    <row r="1830" customFormat="false" ht="15" hidden="false" customHeight="false" outlineLevel="0" collapsed="false">
      <c r="A1830" s="4" t="s">
        <v>44</v>
      </c>
      <c r="B1830" s="4" t="s">
        <v>373</v>
      </c>
      <c r="C1830" s="47" t="n">
        <v>12838.61</v>
      </c>
      <c r="D1830" s="48" t="n">
        <v>1655.62</v>
      </c>
      <c r="E1830" s="49" t="n">
        <f aca="false">D1830-cover</f>
        <v>1654.42</v>
      </c>
      <c r="F1830" s="50" t="n">
        <f aca="false">'Z6 Nkangamo-Uhuru'!S18-'Z6 Nkangamo-Uhuru'!P18*C1830/'Z6 Nkangamo-Uhuru'!G18</f>
        <v>1718.23013402471</v>
      </c>
      <c r="G1830" s="51" t="n">
        <f aca="false">'Z6 Nkangamo-Uhuru'!$B$8-E1830</f>
        <v>52.0800000000002</v>
      </c>
      <c r="H1830" s="52" t="n">
        <f aca="false">F1830-E1830</f>
        <v>63.8101340247088</v>
      </c>
      <c r="I1830" s="52" t="n">
        <f aca="false">MAX(H1830,G1830)</f>
        <v>63.8101340247088</v>
      </c>
      <c r="J1830" s="4" t="str">
        <f aca="false">IFERROR("PN"&amp;SMALL(PN_list,COUNTIF(PN_list,"&lt;"&amp;I1830*bar_per_m)+1),"&gt; max PN")</f>
        <v>PN10</v>
      </c>
      <c r="K1830" s="4" t="str">
        <f aca="false">IF(L1830="no","end at tank",IF(H1830&lt;0,"NEGATIVE",IF(H1830&lt;p_min-0.005,"low","OK")))</f>
        <v>OK</v>
      </c>
      <c r="L1830" s="4" t="s">
        <v>414</v>
      </c>
    </row>
    <row r="1831" customFormat="false" ht="15" hidden="false" customHeight="false" outlineLevel="0" collapsed="false">
      <c r="A1831" s="4" t="s">
        <v>44</v>
      </c>
      <c r="B1831" s="4" t="s">
        <v>373</v>
      </c>
      <c r="C1831" s="47" t="n">
        <v>12858.61</v>
      </c>
      <c r="D1831" s="48" t="n">
        <v>1655.67</v>
      </c>
      <c r="E1831" s="49" t="n">
        <f aca="false">D1831-cover</f>
        <v>1654.47</v>
      </c>
      <c r="F1831" s="50" t="n">
        <f aca="false">'Z6 Nkangamo-Uhuru'!S18-'Z6 Nkangamo-Uhuru'!P18*C1831/'Z6 Nkangamo-Uhuru'!G18</f>
        <v>1718.19898072176</v>
      </c>
      <c r="G1831" s="51" t="n">
        <f aca="false">'Z6 Nkangamo-Uhuru'!$B$8-E1831</f>
        <v>52.03</v>
      </c>
      <c r="H1831" s="52" t="n">
        <f aca="false">F1831-E1831</f>
        <v>63.7289807217617</v>
      </c>
      <c r="I1831" s="52" t="n">
        <f aca="false">MAX(H1831,G1831)</f>
        <v>63.7289807217617</v>
      </c>
      <c r="J1831" s="4" t="str">
        <f aca="false">IFERROR("PN"&amp;SMALL(PN_list,COUNTIF(PN_list,"&lt;"&amp;I1831*bar_per_m)+1),"&gt; max PN")</f>
        <v>PN10</v>
      </c>
      <c r="K1831" s="4" t="str">
        <f aca="false">IF(L1831="no","end at tank",IF(H1831&lt;0,"NEGATIVE",IF(H1831&lt;p_min-0.005,"low","OK")))</f>
        <v>OK</v>
      </c>
      <c r="L1831" s="4" t="s">
        <v>414</v>
      </c>
    </row>
    <row r="1832" customFormat="false" ht="15" hidden="false" customHeight="false" outlineLevel="0" collapsed="false">
      <c r="A1832" s="4" t="s">
        <v>44</v>
      </c>
      <c r="B1832" s="4" t="s">
        <v>373</v>
      </c>
      <c r="C1832" s="47" t="n">
        <v>12878.84</v>
      </c>
      <c r="D1832" s="48" t="n">
        <v>1658.74</v>
      </c>
      <c r="E1832" s="49" t="n">
        <f aca="false">D1832-cover</f>
        <v>1657.54</v>
      </c>
      <c r="F1832" s="50" t="n">
        <f aca="false">'Z6 Nkangamo-Uhuru'!S18-'Z6 Nkangamo-Uhuru'!P18*C1832/'Z6 Nkangamo-Uhuru'!G18</f>
        <v>1718.16746915583</v>
      </c>
      <c r="G1832" s="51" t="n">
        <f aca="false">'Z6 Nkangamo-Uhuru'!$B$8-E1832</f>
        <v>48.96</v>
      </c>
      <c r="H1832" s="52" t="n">
        <f aca="false">F1832-E1832</f>
        <v>60.627469155831</v>
      </c>
      <c r="I1832" s="52" t="n">
        <f aca="false">MAX(H1832,G1832)</f>
        <v>60.627469155831</v>
      </c>
      <c r="J1832" s="4" t="str">
        <f aca="false">IFERROR("PN"&amp;SMALL(PN_list,COUNTIF(PN_list,"&lt;"&amp;I1832*bar_per_m)+1),"&gt; max PN")</f>
        <v>PN10</v>
      </c>
      <c r="K1832" s="4" t="str">
        <f aca="false">IF(L1832="no","end at tank",IF(H1832&lt;0,"NEGATIVE",IF(H1832&lt;p_min-0.005,"low","OK")))</f>
        <v>OK</v>
      </c>
      <c r="L1832" s="4" t="s">
        <v>414</v>
      </c>
    </row>
    <row r="1833" customFormat="false" ht="15" hidden="false" customHeight="false" outlineLevel="0" collapsed="false">
      <c r="A1833" s="4" t="s">
        <v>44</v>
      </c>
      <c r="B1833" s="4" t="s">
        <v>373</v>
      </c>
      <c r="C1833" s="47" t="n">
        <v>12898.85</v>
      </c>
      <c r="D1833" s="48" t="n">
        <v>1659.36</v>
      </c>
      <c r="E1833" s="49" t="n">
        <f aca="false">D1833-cover</f>
        <v>1658.16</v>
      </c>
      <c r="F1833" s="50" t="n">
        <f aca="false">'Z6 Nkangamo-Uhuru'!S18-'Z6 Nkangamo-Uhuru'!P18*C1833/'Z6 Nkangamo-Uhuru'!G18</f>
        <v>1718.13630027623</v>
      </c>
      <c r="G1833" s="51" t="n">
        <f aca="false">'Z6 Nkangamo-Uhuru'!$B$8-E1833</f>
        <v>48.3400000000001</v>
      </c>
      <c r="H1833" s="52" t="n">
        <f aca="false">F1833-E1833</f>
        <v>59.9763002762329</v>
      </c>
      <c r="I1833" s="52" t="n">
        <f aca="false">MAX(H1833,G1833)</f>
        <v>59.9763002762329</v>
      </c>
      <c r="J1833" s="4" t="str">
        <f aca="false">IFERROR("PN"&amp;SMALL(PN_list,COUNTIF(PN_list,"&lt;"&amp;I1833*bar_per_m)+1),"&gt; max PN")</f>
        <v>PN10</v>
      </c>
      <c r="K1833" s="4" t="str">
        <f aca="false">IF(L1833="no","end at tank",IF(H1833&lt;0,"NEGATIVE",IF(H1833&lt;p_min-0.005,"low","OK")))</f>
        <v>OK</v>
      </c>
      <c r="L1833" s="4" t="s">
        <v>414</v>
      </c>
    </row>
    <row r="1834" customFormat="false" ht="15" hidden="false" customHeight="false" outlineLevel="0" collapsed="false">
      <c r="A1834" s="4" t="s">
        <v>44</v>
      </c>
      <c r="B1834" s="4" t="s">
        <v>373</v>
      </c>
      <c r="C1834" s="47" t="n">
        <v>12918.91</v>
      </c>
      <c r="D1834" s="48" t="n">
        <v>1660.96</v>
      </c>
      <c r="E1834" s="49" t="n">
        <f aca="false">D1834-cover</f>
        <v>1659.76</v>
      </c>
      <c r="F1834" s="50" t="n">
        <f aca="false">'Z6 Nkangamo-Uhuru'!S18-'Z6 Nkangamo-Uhuru'!P18*C1834/'Z6 Nkangamo-Uhuru'!G18</f>
        <v>1718.10505351338</v>
      </c>
      <c r="G1834" s="51" t="n">
        <f aca="false">'Z6 Nkangamo-Uhuru'!$B$8-E1834</f>
        <v>46.74</v>
      </c>
      <c r="H1834" s="52" t="n">
        <f aca="false">F1834-E1834</f>
        <v>58.345053513377</v>
      </c>
      <c r="I1834" s="52" t="n">
        <f aca="false">MAX(H1834,G1834)</f>
        <v>58.345053513377</v>
      </c>
      <c r="J1834" s="4" t="str">
        <f aca="false">IFERROR("PN"&amp;SMALL(PN_list,COUNTIF(PN_list,"&lt;"&amp;I1834*bar_per_m)+1),"&gt; max PN")</f>
        <v>PN10</v>
      </c>
      <c r="K1834" s="4" t="str">
        <f aca="false">IF(L1834="no","end at tank",IF(H1834&lt;0,"NEGATIVE",IF(H1834&lt;p_min-0.005,"low","OK")))</f>
        <v>OK</v>
      </c>
      <c r="L1834" s="4" t="s">
        <v>414</v>
      </c>
    </row>
    <row r="1835" customFormat="false" ht="15" hidden="false" customHeight="false" outlineLevel="0" collapsed="false">
      <c r="A1835" s="4" t="s">
        <v>44</v>
      </c>
      <c r="B1835" s="4" t="s">
        <v>373</v>
      </c>
      <c r="C1835" s="47" t="n">
        <v>12939.1</v>
      </c>
      <c r="D1835" s="48" t="n">
        <v>1663.7</v>
      </c>
      <c r="E1835" s="49" t="n">
        <f aca="false">D1835-cover</f>
        <v>1662.5</v>
      </c>
      <c r="F1835" s="50" t="n">
        <f aca="false">'Z6 Nkangamo-Uhuru'!S18-'Z6 Nkangamo-Uhuru'!P18*C1835/'Z6 Nkangamo-Uhuru'!G18</f>
        <v>1718.07360425405</v>
      </c>
      <c r="G1835" s="51" t="n">
        <f aca="false">'Z6 Nkangamo-Uhuru'!$B$8-E1835</f>
        <v>44</v>
      </c>
      <c r="H1835" s="52" t="n">
        <f aca="false">F1835-E1835</f>
        <v>55.5736042540523</v>
      </c>
      <c r="I1835" s="52" t="n">
        <f aca="false">MAX(H1835,G1835)</f>
        <v>55.5736042540523</v>
      </c>
      <c r="J1835" s="4" t="str">
        <f aca="false">IFERROR("PN"&amp;SMALL(PN_list,COUNTIF(PN_list,"&lt;"&amp;I1835*bar_per_m)+1),"&gt; max PN")</f>
        <v>PN10</v>
      </c>
      <c r="K1835" s="4" t="str">
        <f aca="false">IF(L1835="no","end at tank",IF(H1835&lt;0,"NEGATIVE",IF(H1835&lt;p_min-0.005,"low","OK")))</f>
        <v>OK</v>
      </c>
      <c r="L1835" s="4" t="s">
        <v>414</v>
      </c>
    </row>
    <row r="1836" customFormat="false" ht="15" hidden="false" customHeight="false" outlineLevel="0" collapsed="false">
      <c r="A1836" s="4" t="s">
        <v>44</v>
      </c>
      <c r="B1836" s="4" t="s">
        <v>373</v>
      </c>
      <c r="C1836" s="47" t="n">
        <v>12959.14</v>
      </c>
      <c r="D1836" s="48" t="n">
        <v>1662.54</v>
      </c>
      <c r="E1836" s="49" t="n">
        <f aca="false">D1836-cover</f>
        <v>1661.34</v>
      </c>
      <c r="F1836" s="50" t="n">
        <f aca="false">'Z6 Nkangamo-Uhuru'!S18-'Z6 Nkangamo-Uhuru'!P18*C1836/'Z6 Nkangamo-Uhuru'!G18</f>
        <v>1718.0423886445</v>
      </c>
      <c r="G1836" s="51" t="n">
        <f aca="false">'Z6 Nkangamo-Uhuru'!$B$8-E1836</f>
        <v>45.1600000000001</v>
      </c>
      <c r="H1836" s="52" t="n">
        <f aca="false">F1836-E1836</f>
        <v>56.7023886444995</v>
      </c>
      <c r="I1836" s="52" t="n">
        <f aca="false">MAX(H1836,G1836)</f>
        <v>56.7023886444995</v>
      </c>
      <c r="J1836" s="4" t="str">
        <f aca="false">IFERROR("PN"&amp;SMALL(PN_list,COUNTIF(PN_list,"&lt;"&amp;I1836*bar_per_m)+1),"&gt; max PN")</f>
        <v>PN10</v>
      </c>
      <c r="K1836" s="4" t="str">
        <f aca="false">IF(L1836="no","end at tank",IF(H1836&lt;0,"NEGATIVE",IF(H1836&lt;p_min-0.005,"low","OK")))</f>
        <v>OK</v>
      </c>
      <c r="L1836" s="4" t="s">
        <v>414</v>
      </c>
    </row>
    <row r="1837" customFormat="false" ht="15" hidden="false" customHeight="false" outlineLevel="0" collapsed="false">
      <c r="A1837" s="4" t="s">
        <v>44</v>
      </c>
      <c r="B1837" s="4" t="s">
        <v>373</v>
      </c>
      <c r="C1837" s="47" t="n">
        <v>12979.15</v>
      </c>
      <c r="D1837" s="48" t="n">
        <v>1661.84</v>
      </c>
      <c r="E1837" s="49" t="n">
        <f aca="false">D1837-cover</f>
        <v>1660.64</v>
      </c>
      <c r="F1837" s="50" t="n">
        <f aca="false">'Z6 Nkangamo-Uhuru'!S18-'Z6 Nkangamo-Uhuru'!P18*C1837/'Z6 Nkangamo-Uhuru'!G18</f>
        <v>1718.0112197649</v>
      </c>
      <c r="G1837" s="51" t="n">
        <f aca="false">'Z6 Nkangamo-Uhuru'!$B$8-E1837</f>
        <v>45.8600000000001</v>
      </c>
      <c r="H1837" s="52" t="n">
        <f aca="false">F1837-E1837</f>
        <v>57.3712197649013</v>
      </c>
      <c r="I1837" s="52" t="n">
        <f aca="false">MAX(H1837,G1837)</f>
        <v>57.3712197649013</v>
      </c>
      <c r="J1837" s="4" t="str">
        <f aca="false">IFERROR("PN"&amp;SMALL(PN_list,COUNTIF(PN_list,"&lt;"&amp;I1837*bar_per_m)+1),"&gt; max PN")</f>
        <v>PN10</v>
      </c>
      <c r="K1837" s="4" t="str">
        <f aca="false">IF(L1837="no","end at tank",IF(H1837&lt;0,"NEGATIVE",IF(H1837&lt;p_min-0.005,"low","OK")))</f>
        <v>OK</v>
      </c>
      <c r="L1837" s="4" t="s">
        <v>414</v>
      </c>
    </row>
    <row r="1838" customFormat="false" ht="15" hidden="false" customHeight="false" outlineLevel="0" collapsed="false">
      <c r="A1838" s="4" t="s">
        <v>44</v>
      </c>
      <c r="B1838" s="4" t="s">
        <v>373</v>
      </c>
      <c r="C1838" s="47" t="n">
        <v>12999.15</v>
      </c>
      <c r="D1838" s="48" t="n">
        <v>1661.56</v>
      </c>
      <c r="E1838" s="49" t="n">
        <f aca="false">D1838-cover</f>
        <v>1660.36</v>
      </c>
      <c r="F1838" s="50" t="n">
        <f aca="false">'Z6 Nkangamo-Uhuru'!S18-'Z6 Nkangamo-Uhuru'!P18*C1838/'Z6 Nkangamo-Uhuru'!G18</f>
        <v>1717.98006646195</v>
      </c>
      <c r="G1838" s="51" t="n">
        <f aca="false">'Z6 Nkangamo-Uhuru'!$B$8-E1838</f>
        <v>46.1400000000001</v>
      </c>
      <c r="H1838" s="52" t="n">
        <f aca="false">F1838-E1838</f>
        <v>57.6200664619544</v>
      </c>
      <c r="I1838" s="52" t="n">
        <f aca="false">MAX(H1838,G1838)</f>
        <v>57.6200664619544</v>
      </c>
      <c r="J1838" s="4" t="str">
        <f aca="false">IFERROR("PN"&amp;SMALL(PN_list,COUNTIF(PN_list,"&lt;"&amp;I1838*bar_per_m)+1),"&gt; max PN")</f>
        <v>PN10</v>
      </c>
      <c r="K1838" s="4" t="str">
        <f aca="false">IF(L1838="no","end at tank",IF(H1838&lt;0,"NEGATIVE",IF(H1838&lt;p_min-0.005,"low","OK")))</f>
        <v>OK</v>
      </c>
      <c r="L1838" s="4" t="s">
        <v>414</v>
      </c>
    </row>
    <row r="1839" customFormat="false" ht="15" hidden="false" customHeight="false" outlineLevel="0" collapsed="false">
      <c r="A1839" s="4" t="s">
        <v>44</v>
      </c>
      <c r="B1839" s="4" t="s">
        <v>373</v>
      </c>
      <c r="C1839" s="47" t="n">
        <v>13019.15</v>
      </c>
      <c r="D1839" s="48" t="n">
        <v>1662.03</v>
      </c>
      <c r="E1839" s="49" t="n">
        <f aca="false">D1839-cover</f>
        <v>1660.83</v>
      </c>
      <c r="F1839" s="50" t="n">
        <f aca="false">'Z6 Nkangamo-Uhuru'!S18-'Z6 Nkangamo-Uhuru'!P18*C1839/'Z6 Nkangamo-Uhuru'!G18</f>
        <v>1717.94891315901</v>
      </c>
      <c r="G1839" s="51" t="n">
        <f aca="false">'Z6 Nkangamo-Uhuru'!$B$8-E1839</f>
        <v>45.6700000000001</v>
      </c>
      <c r="H1839" s="52" t="n">
        <f aca="false">F1839-E1839</f>
        <v>57.1189131590077</v>
      </c>
      <c r="I1839" s="52" t="n">
        <f aca="false">MAX(H1839,G1839)</f>
        <v>57.1189131590077</v>
      </c>
      <c r="J1839" s="4" t="str">
        <f aca="false">IFERROR("PN"&amp;SMALL(PN_list,COUNTIF(PN_list,"&lt;"&amp;I1839*bar_per_m)+1),"&gt; max PN")</f>
        <v>PN10</v>
      </c>
      <c r="K1839" s="4" t="str">
        <f aca="false">IF(L1839="no","end at tank",IF(H1839&lt;0,"NEGATIVE",IF(H1839&lt;p_min-0.005,"low","OK")))</f>
        <v>OK</v>
      </c>
      <c r="L1839" s="4" t="s">
        <v>414</v>
      </c>
    </row>
    <row r="1840" customFormat="false" ht="15" hidden="false" customHeight="false" outlineLevel="0" collapsed="false">
      <c r="A1840" s="4" t="s">
        <v>44</v>
      </c>
      <c r="B1840" s="4" t="s">
        <v>373</v>
      </c>
      <c r="C1840" s="47" t="n">
        <v>13039.17</v>
      </c>
      <c r="D1840" s="48" t="n">
        <v>1661.38</v>
      </c>
      <c r="E1840" s="49" t="n">
        <f aca="false">D1840-cover</f>
        <v>1660.18</v>
      </c>
      <c r="F1840" s="50" t="n">
        <f aca="false">'Z6 Nkangamo-Uhuru'!S18-'Z6 Nkangamo-Uhuru'!P18*C1840/'Z6 Nkangamo-Uhuru'!G18</f>
        <v>1717.91772870276</v>
      </c>
      <c r="G1840" s="51" t="n">
        <f aca="false">'Z6 Nkangamo-Uhuru'!$B$8-E1840</f>
        <v>46.3199999999999</v>
      </c>
      <c r="H1840" s="52" t="n">
        <f aca="false">F1840-E1840</f>
        <v>57.7377287027578</v>
      </c>
      <c r="I1840" s="52" t="n">
        <f aca="false">MAX(H1840,G1840)</f>
        <v>57.7377287027578</v>
      </c>
      <c r="J1840" s="4" t="str">
        <f aca="false">IFERROR("PN"&amp;SMALL(PN_list,COUNTIF(PN_list,"&lt;"&amp;I1840*bar_per_m)+1),"&gt; max PN")</f>
        <v>PN10</v>
      </c>
      <c r="K1840" s="4" t="str">
        <f aca="false">IF(L1840="no","end at tank",IF(H1840&lt;0,"NEGATIVE",IF(H1840&lt;p_min-0.005,"low","OK")))</f>
        <v>OK</v>
      </c>
      <c r="L1840" s="4" t="s">
        <v>414</v>
      </c>
    </row>
    <row r="1841" customFormat="false" ht="15" hidden="false" customHeight="false" outlineLevel="0" collapsed="false">
      <c r="A1841" s="4" t="s">
        <v>44</v>
      </c>
      <c r="B1841" s="4" t="s">
        <v>373</v>
      </c>
      <c r="C1841" s="47" t="n">
        <v>13059.19</v>
      </c>
      <c r="D1841" s="48" t="n">
        <v>1660.38</v>
      </c>
      <c r="E1841" s="49" t="n">
        <f aca="false">D1841-cover</f>
        <v>1659.18</v>
      </c>
      <c r="F1841" s="50" t="n">
        <f aca="false">'Z6 Nkangamo-Uhuru'!S18-'Z6 Nkangamo-Uhuru'!P18*C1841/'Z6 Nkangamo-Uhuru'!G18</f>
        <v>1717.88654424651</v>
      </c>
      <c r="G1841" s="51" t="n">
        <f aca="false">'Z6 Nkangamo-Uhuru'!$B$8-E1841</f>
        <v>47.3199999999999</v>
      </c>
      <c r="H1841" s="52" t="n">
        <f aca="false">F1841-E1841</f>
        <v>58.706544246508</v>
      </c>
      <c r="I1841" s="52" t="n">
        <f aca="false">MAX(H1841,G1841)</f>
        <v>58.706544246508</v>
      </c>
      <c r="J1841" s="4" t="str">
        <f aca="false">IFERROR("PN"&amp;SMALL(PN_list,COUNTIF(PN_list,"&lt;"&amp;I1841*bar_per_m)+1),"&gt; max PN")</f>
        <v>PN10</v>
      </c>
      <c r="K1841" s="4" t="str">
        <f aca="false">IF(L1841="no","end at tank",IF(H1841&lt;0,"NEGATIVE",IF(H1841&lt;p_min-0.005,"low","OK")))</f>
        <v>OK</v>
      </c>
      <c r="L1841" s="4" t="s">
        <v>414</v>
      </c>
    </row>
    <row r="1842" customFormat="false" ht="15" hidden="false" customHeight="false" outlineLevel="0" collapsed="false">
      <c r="A1842" s="4" t="s">
        <v>44</v>
      </c>
      <c r="B1842" s="4" t="s">
        <v>373</v>
      </c>
      <c r="C1842" s="47" t="n">
        <v>13079.3</v>
      </c>
      <c r="D1842" s="48" t="n">
        <v>1662.44</v>
      </c>
      <c r="E1842" s="49" t="n">
        <f aca="false">D1842-cover</f>
        <v>1661.24</v>
      </c>
      <c r="F1842" s="50" t="n">
        <f aca="false">'Z6 Nkangamo-Uhuru'!S18-'Z6 Nkangamo-Uhuru'!P18*C1842/'Z6 Nkangamo-Uhuru'!G18</f>
        <v>1717.8552196004</v>
      </c>
      <c r="G1842" s="51" t="n">
        <f aca="false">'Z6 Nkangamo-Uhuru'!$B$8-E1842</f>
        <v>45.26</v>
      </c>
      <c r="H1842" s="52" t="n">
        <f aca="false">F1842-E1842</f>
        <v>56.615219600395</v>
      </c>
      <c r="I1842" s="52" t="n">
        <f aca="false">MAX(H1842,G1842)</f>
        <v>56.615219600395</v>
      </c>
      <c r="J1842" s="4" t="str">
        <f aca="false">IFERROR("PN"&amp;SMALL(PN_list,COUNTIF(PN_list,"&lt;"&amp;I1842*bar_per_m)+1),"&gt; max PN")</f>
        <v>PN10</v>
      </c>
      <c r="K1842" s="4" t="str">
        <f aca="false">IF(L1842="no","end at tank",IF(H1842&lt;0,"NEGATIVE",IF(H1842&lt;p_min-0.005,"low","OK")))</f>
        <v>OK</v>
      </c>
      <c r="L1842" s="4" t="s">
        <v>414</v>
      </c>
    </row>
    <row r="1843" customFormat="false" ht="15" hidden="false" customHeight="false" outlineLevel="0" collapsed="false">
      <c r="A1843" s="4" t="s">
        <v>44</v>
      </c>
      <c r="B1843" s="4" t="s">
        <v>373</v>
      </c>
      <c r="C1843" s="47" t="n">
        <v>13099.44</v>
      </c>
      <c r="D1843" s="48" t="n">
        <v>1660.06</v>
      </c>
      <c r="E1843" s="49" t="n">
        <f aca="false">D1843-cover</f>
        <v>1658.86</v>
      </c>
      <c r="F1843" s="50" t="n">
        <f aca="false">'Z6 Nkangamo-Uhuru'!S18-'Z6 Nkangamo-Uhuru'!P18*C1843/'Z6 Nkangamo-Uhuru'!G18</f>
        <v>1717.82384822433</v>
      </c>
      <c r="G1843" s="51" t="n">
        <f aca="false">'Z6 Nkangamo-Uhuru'!$B$8-E1843</f>
        <v>47.6400000000001</v>
      </c>
      <c r="H1843" s="52" t="n">
        <f aca="false">F1843-E1843</f>
        <v>58.9638482243277</v>
      </c>
      <c r="I1843" s="52" t="n">
        <f aca="false">MAX(H1843,G1843)</f>
        <v>58.9638482243277</v>
      </c>
      <c r="J1843" s="4" t="str">
        <f aca="false">IFERROR("PN"&amp;SMALL(PN_list,COUNTIF(PN_list,"&lt;"&amp;I1843*bar_per_m)+1),"&gt; max PN")</f>
        <v>PN10</v>
      </c>
      <c r="K1843" s="4" t="str">
        <f aca="false">IF(L1843="no","end at tank",IF(H1843&lt;0,"NEGATIVE",IF(H1843&lt;p_min-0.005,"low","OK")))</f>
        <v>OK</v>
      </c>
      <c r="L1843" s="4" t="s">
        <v>414</v>
      </c>
    </row>
    <row r="1844" customFormat="false" ht="15" hidden="false" customHeight="false" outlineLevel="0" collapsed="false">
      <c r="A1844" s="4" t="s">
        <v>44</v>
      </c>
      <c r="B1844" s="4" t="s">
        <v>373</v>
      </c>
      <c r="C1844" s="47" t="n">
        <v>13118.99</v>
      </c>
      <c r="D1844" s="48" t="n">
        <v>1661.23</v>
      </c>
      <c r="E1844" s="49" t="n">
        <f aca="false">D1844-cover</f>
        <v>1660.03</v>
      </c>
      <c r="F1844" s="50" t="n">
        <f aca="false">'Z6 Nkangamo-Uhuru'!S18-'Z6 Nkangamo-Uhuru'!P18*C1844/'Z6 Nkangamo-Uhuru'!G18</f>
        <v>1717.7933958707</v>
      </c>
      <c r="G1844" s="51" t="n">
        <f aca="false">'Z6 Nkangamo-Uhuru'!$B$8-E1844</f>
        <v>46.47</v>
      </c>
      <c r="H1844" s="52" t="n">
        <f aca="false">F1844-E1844</f>
        <v>57.763395870697</v>
      </c>
      <c r="I1844" s="52" t="n">
        <f aca="false">MAX(H1844,G1844)</f>
        <v>57.763395870697</v>
      </c>
      <c r="J1844" s="4" t="str">
        <f aca="false">IFERROR("PN"&amp;SMALL(PN_list,COUNTIF(PN_list,"&lt;"&amp;I1844*bar_per_m)+1),"&gt; max PN")</f>
        <v>PN10</v>
      </c>
      <c r="K1844" s="4" t="str">
        <f aca="false">IF(L1844="no","end at tank",IF(H1844&lt;0,"NEGATIVE",IF(H1844&lt;p_min-0.005,"low","OK")))</f>
        <v>OK</v>
      </c>
      <c r="L1844" s="4" t="s">
        <v>414</v>
      </c>
    </row>
    <row r="1845" customFormat="false" ht="15" hidden="false" customHeight="false" outlineLevel="0" collapsed="false">
      <c r="A1845" s="4" t="s">
        <v>44</v>
      </c>
      <c r="B1845" s="4" t="s">
        <v>373</v>
      </c>
      <c r="C1845" s="47" t="n">
        <v>13139.07</v>
      </c>
      <c r="D1845" s="48" t="n">
        <v>1659.51</v>
      </c>
      <c r="E1845" s="49" t="n">
        <f aca="false">D1845-cover</f>
        <v>1658.31</v>
      </c>
      <c r="F1845" s="50" t="n">
        <f aca="false">'Z6 Nkangamo-Uhuru'!S18-'Z6 Nkangamo-Uhuru'!P18*C1845/'Z6 Nkangamo-Uhuru'!G18</f>
        <v>1717.76211795454</v>
      </c>
      <c r="G1845" s="51" t="n">
        <f aca="false">'Z6 Nkangamo-Uhuru'!$B$8-E1845</f>
        <v>48.1900000000001</v>
      </c>
      <c r="H1845" s="52" t="n">
        <f aca="false">F1845-E1845</f>
        <v>59.4521179545384</v>
      </c>
      <c r="I1845" s="52" t="n">
        <f aca="false">MAX(H1845,G1845)</f>
        <v>59.4521179545384</v>
      </c>
      <c r="J1845" s="4" t="str">
        <f aca="false">IFERROR("PN"&amp;SMALL(PN_list,COUNTIF(PN_list,"&lt;"&amp;I1845*bar_per_m)+1),"&gt; max PN")</f>
        <v>PN10</v>
      </c>
      <c r="K1845" s="4" t="str">
        <f aca="false">IF(L1845="no","end at tank",IF(H1845&lt;0,"NEGATIVE",IF(H1845&lt;p_min-0.005,"low","OK")))</f>
        <v>OK</v>
      </c>
      <c r="L1845" s="4" t="s">
        <v>414</v>
      </c>
    </row>
    <row r="1846" customFormat="false" ht="15" hidden="false" customHeight="false" outlineLevel="0" collapsed="false">
      <c r="A1846" s="4" t="s">
        <v>44</v>
      </c>
      <c r="B1846" s="4" t="s">
        <v>373</v>
      </c>
      <c r="C1846" s="47" t="n">
        <v>13159.17</v>
      </c>
      <c r="D1846" s="48" t="n">
        <v>1657.44</v>
      </c>
      <c r="E1846" s="49" t="n">
        <f aca="false">D1846-cover</f>
        <v>1656.24</v>
      </c>
      <c r="F1846" s="50" t="n">
        <f aca="false">'Z6 Nkangamo-Uhuru'!S18-'Z6 Nkangamo-Uhuru'!P18*C1846/'Z6 Nkangamo-Uhuru'!G18</f>
        <v>1717.73080888508</v>
      </c>
      <c r="G1846" s="51" t="n">
        <f aca="false">'Z6 Nkangamo-Uhuru'!$B$8-E1846</f>
        <v>50.26</v>
      </c>
      <c r="H1846" s="52" t="n">
        <f aca="false">F1846-E1846</f>
        <v>61.4908088850768</v>
      </c>
      <c r="I1846" s="52" t="n">
        <f aca="false">MAX(H1846,G1846)</f>
        <v>61.4908088850768</v>
      </c>
      <c r="J1846" s="4" t="str">
        <f aca="false">IFERROR("PN"&amp;SMALL(PN_list,COUNTIF(PN_list,"&lt;"&amp;I1846*bar_per_m)+1),"&gt; max PN")</f>
        <v>PN10</v>
      </c>
      <c r="K1846" s="4" t="str">
        <f aca="false">IF(L1846="no","end at tank",IF(H1846&lt;0,"NEGATIVE",IF(H1846&lt;p_min-0.005,"low","OK")))</f>
        <v>OK</v>
      </c>
      <c r="L1846" s="4" t="s">
        <v>414</v>
      </c>
    </row>
    <row r="1847" customFormat="false" ht="15" hidden="false" customHeight="false" outlineLevel="0" collapsed="false">
      <c r="A1847" s="4" t="s">
        <v>44</v>
      </c>
      <c r="B1847" s="4" t="s">
        <v>373</v>
      </c>
      <c r="C1847" s="47" t="n">
        <v>13179.18</v>
      </c>
      <c r="D1847" s="48" t="n">
        <v>1657.01</v>
      </c>
      <c r="E1847" s="49" t="n">
        <f aca="false">D1847-cover</f>
        <v>1655.81</v>
      </c>
      <c r="F1847" s="50" t="n">
        <f aca="false">'Z6 Nkangamo-Uhuru'!S18-'Z6 Nkangamo-Uhuru'!P18*C1847/'Z6 Nkangamo-Uhuru'!G18</f>
        <v>1717.69964000548</v>
      </c>
      <c r="G1847" s="51" t="n">
        <f aca="false">'Z6 Nkangamo-Uhuru'!$B$8-E1847</f>
        <v>50.6900000000001</v>
      </c>
      <c r="H1847" s="52" t="n">
        <f aca="false">F1847-E1847</f>
        <v>61.8896400054784</v>
      </c>
      <c r="I1847" s="52" t="n">
        <f aca="false">MAX(H1847,G1847)</f>
        <v>61.8896400054784</v>
      </c>
      <c r="J1847" s="4" t="str">
        <f aca="false">IFERROR("PN"&amp;SMALL(PN_list,COUNTIF(PN_list,"&lt;"&amp;I1847*bar_per_m)+1),"&gt; max PN")</f>
        <v>PN10</v>
      </c>
      <c r="K1847" s="4" t="str">
        <f aca="false">IF(L1847="no","end at tank",IF(H1847&lt;0,"NEGATIVE",IF(H1847&lt;p_min-0.005,"low","OK")))</f>
        <v>OK</v>
      </c>
      <c r="L1847" s="4" t="s">
        <v>414</v>
      </c>
    </row>
    <row r="1848" customFormat="false" ht="15" hidden="false" customHeight="false" outlineLevel="0" collapsed="false">
      <c r="A1848" s="4" t="s">
        <v>44</v>
      </c>
      <c r="B1848" s="4" t="s">
        <v>373</v>
      </c>
      <c r="C1848" s="47" t="n">
        <v>13199.64</v>
      </c>
      <c r="D1848" s="48" t="n">
        <v>1652.67</v>
      </c>
      <c r="E1848" s="49" t="n">
        <f aca="false">D1848-cover</f>
        <v>1651.47</v>
      </c>
      <c r="F1848" s="50" t="n">
        <f aca="false">'Z6 Nkangamo-Uhuru'!S18-'Z6 Nkangamo-Uhuru'!P18*C1848/'Z6 Nkangamo-Uhuru'!G18</f>
        <v>1717.66777017656</v>
      </c>
      <c r="G1848" s="51" t="n">
        <f aca="false">'Z6 Nkangamo-Uhuru'!$B$8-E1848</f>
        <v>55.03</v>
      </c>
      <c r="H1848" s="52" t="n">
        <f aca="false">F1848-E1848</f>
        <v>66.1977701765638</v>
      </c>
      <c r="I1848" s="52" t="n">
        <f aca="false">MAX(H1848,G1848)</f>
        <v>66.1977701765638</v>
      </c>
      <c r="J1848" s="4" t="str">
        <f aca="false">IFERROR("PN"&amp;SMALL(PN_list,COUNTIF(PN_list,"&lt;"&amp;I1848*bar_per_m)+1),"&gt; max PN")</f>
        <v>PN10</v>
      </c>
      <c r="K1848" s="4" t="str">
        <f aca="false">IF(L1848="no","end at tank",IF(H1848&lt;0,"NEGATIVE",IF(H1848&lt;p_min-0.005,"low","OK")))</f>
        <v>OK</v>
      </c>
      <c r="L1848" s="4" t="s">
        <v>414</v>
      </c>
    </row>
    <row r="1849" customFormat="false" ht="15" hidden="false" customHeight="false" outlineLevel="0" collapsed="false">
      <c r="A1849" s="4" t="s">
        <v>44</v>
      </c>
      <c r="B1849" s="4" t="s">
        <v>373</v>
      </c>
      <c r="C1849" s="47" t="n">
        <v>13219.88</v>
      </c>
      <c r="D1849" s="48" t="n">
        <v>1655.73</v>
      </c>
      <c r="E1849" s="49" t="n">
        <f aca="false">D1849-cover</f>
        <v>1654.53</v>
      </c>
      <c r="F1849" s="50" t="n">
        <f aca="false">'Z6 Nkangamo-Uhuru'!S18-'Z6 Nkangamo-Uhuru'!P18*C1849/'Z6 Nkangamo-Uhuru'!G18</f>
        <v>1717.63624303398</v>
      </c>
      <c r="G1849" s="51" t="n">
        <f aca="false">'Z6 Nkangamo-Uhuru'!$B$8-E1849</f>
        <v>51.97</v>
      </c>
      <c r="H1849" s="52" t="n">
        <f aca="false">F1849-E1849</f>
        <v>63.1062430339816</v>
      </c>
      <c r="I1849" s="52" t="n">
        <f aca="false">MAX(H1849,G1849)</f>
        <v>63.1062430339816</v>
      </c>
      <c r="J1849" s="4" t="str">
        <f aca="false">IFERROR("PN"&amp;SMALL(PN_list,COUNTIF(PN_list,"&lt;"&amp;I1849*bar_per_m)+1),"&gt; max PN")</f>
        <v>PN10</v>
      </c>
      <c r="K1849" s="4" t="str">
        <f aca="false">IF(L1849="no","end at tank",IF(H1849&lt;0,"NEGATIVE",IF(H1849&lt;p_min-0.005,"low","OK")))</f>
        <v>OK</v>
      </c>
      <c r="L1849" s="4" t="s">
        <v>414</v>
      </c>
    </row>
    <row r="1850" customFormat="false" ht="15" hidden="false" customHeight="false" outlineLevel="0" collapsed="false">
      <c r="A1850" s="4" t="s">
        <v>44</v>
      </c>
      <c r="B1850" s="4" t="s">
        <v>373</v>
      </c>
      <c r="C1850" s="47" t="n">
        <v>13240.66</v>
      </c>
      <c r="D1850" s="48" t="n">
        <v>1660.65</v>
      </c>
      <c r="E1850" s="49" t="n">
        <f aca="false">D1850-cover</f>
        <v>1659.45</v>
      </c>
      <c r="F1850" s="50" t="n">
        <f aca="false">'Z6 Nkangamo-Uhuru'!S18-'Z6 Nkangamo-Uhuru'!P18*C1850/'Z6 Nkangamo-Uhuru'!G18</f>
        <v>1717.60387475222</v>
      </c>
      <c r="G1850" s="51" t="n">
        <f aca="false">'Z6 Nkangamo-Uhuru'!$B$8-E1850</f>
        <v>47.05</v>
      </c>
      <c r="H1850" s="52" t="n">
        <f aca="false">F1850-E1850</f>
        <v>58.15387475222</v>
      </c>
      <c r="I1850" s="52" t="n">
        <f aca="false">MAX(H1850,G1850)</f>
        <v>58.15387475222</v>
      </c>
      <c r="J1850" s="4" t="str">
        <f aca="false">IFERROR("PN"&amp;SMALL(PN_list,COUNTIF(PN_list,"&lt;"&amp;I1850*bar_per_m)+1),"&gt; max PN")</f>
        <v>PN10</v>
      </c>
      <c r="K1850" s="4" t="str">
        <f aca="false">IF(L1850="no","end at tank",IF(H1850&lt;0,"NEGATIVE",IF(H1850&lt;p_min-0.005,"low","OK")))</f>
        <v>OK</v>
      </c>
      <c r="L1850" s="4" t="s">
        <v>414</v>
      </c>
    </row>
    <row r="1851" customFormat="false" ht="15" hidden="false" customHeight="false" outlineLevel="0" collapsed="false">
      <c r="A1851" s="4" t="s">
        <v>44</v>
      </c>
      <c r="B1851" s="4" t="s">
        <v>373</v>
      </c>
      <c r="C1851" s="47" t="n">
        <v>13260.87</v>
      </c>
      <c r="D1851" s="48" t="n">
        <v>1663.55</v>
      </c>
      <c r="E1851" s="49" t="n">
        <f aca="false">D1851-cover</f>
        <v>1662.35</v>
      </c>
      <c r="F1851" s="50" t="n">
        <f aca="false">'Z6 Nkangamo-Uhuru'!S18-'Z6 Nkangamo-Uhuru'!P18*C1851/'Z6 Nkangamo-Uhuru'!G18</f>
        <v>1717.57239433959</v>
      </c>
      <c r="G1851" s="51" t="n">
        <f aca="false">'Z6 Nkangamo-Uhuru'!$B$8-E1851</f>
        <v>44.1500000000001</v>
      </c>
      <c r="H1851" s="52" t="n">
        <f aca="false">F1851-E1851</f>
        <v>55.2223943395923</v>
      </c>
      <c r="I1851" s="52" t="n">
        <f aca="false">MAX(H1851,G1851)</f>
        <v>55.2223943395923</v>
      </c>
      <c r="J1851" s="4" t="str">
        <f aca="false">IFERROR("PN"&amp;SMALL(PN_list,COUNTIF(PN_list,"&lt;"&amp;I1851*bar_per_m)+1),"&gt; max PN")</f>
        <v>PN10</v>
      </c>
      <c r="K1851" s="4" t="str">
        <f aca="false">IF(L1851="no","end at tank",IF(H1851&lt;0,"NEGATIVE",IF(H1851&lt;p_min-0.005,"low","OK")))</f>
        <v>OK</v>
      </c>
      <c r="L1851" s="4" t="s">
        <v>414</v>
      </c>
    </row>
    <row r="1852" customFormat="false" ht="15" hidden="false" customHeight="false" outlineLevel="0" collapsed="false">
      <c r="A1852" s="4" t="s">
        <v>44</v>
      </c>
      <c r="B1852" s="4" t="s">
        <v>373</v>
      </c>
      <c r="C1852" s="47" t="n">
        <v>13280.97</v>
      </c>
      <c r="D1852" s="48" t="n">
        <v>1665.55</v>
      </c>
      <c r="E1852" s="49" t="n">
        <f aca="false">D1852-cover</f>
        <v>1664.35</v>
      </c>
      <c r="F1852" s="50" t="n">
        <f aca="false">'Z6 Nkangamo-Uhuru'!S18-'Z6 Nkangamo-Uhuru'!P18*C1852/'Z6 Nkangamo-Uhuru'!G18</f>
        <v>1717.54108527013</v>
      </c>
      <c r="G1852" s="51" t="n">
        <f aca="false">'Z6 Nkangamo-Uhuru'!$B$8-E1852</f>
        <v>42.1500000000001</v>
      </c>
      <c r="H1852" s="52" t="n">
        <f aca="false">F1852-E1852</f>
        <v>53.1910852701308</v>
      </c>
      <c r="I1852" s="52" t="n">
        <f aca="false">MAX(H1852,G1852)</f>
        <v>53.1910852701308</v>
      </c>
      <c r="J1852" s="4" t="str">
        <f aca="false">IFERROR("PN"&amp;SMALL(PN_list,COUNTIF(PN_list,"&lt;"&amp;I1852*bar_per_m)+1),"&gt; max PN")</f>
        <v>PN10</v>
      </c>
      <c r="K1852" s="4" t="str">
        <f aca="false">IF(L1852="no","end at tank",IF(H1852&lt;0,"NEGATIVE",IF(H1852&lt;p_min-0.005,"low","OK")))</f>
        <v>OK</v>
      </c>
      <c r="L1852" s="4" t="s">
        <v>414</v>
      </c>
    </row>
    <row r="1853" customFormat="false" ht="15" hidden="false" customHeight="false" outlineLevel="0" collapsed="false">
      <c r="A1853" s="4" t="s">
        <v>44</v>
      </c>
      <c r="B1853" s="4" t="s">
        <v>373</v>
      </c>
      <c r="C1853" s="47" t="n">
        <v>13301.21</v>
      </c>
      <c r="D1853" s="48" t="n">
        <v>1668.71</v>
      </c>
      <c r="E1853" s="49" t="n">
        <f aca="false">D1853-cover</f>
        <v>1667.51</v>
      </c>
      <c r="F1853" s="50" t="n">
        <f aca="false">'Z6 Nkangamo-Uhuru'!S18-'Z6 Nkangamo-Uhuru'!P18*C1853/'Z6 Nkangamo-Uhuru'!G18</f>
        <v>1717.50955812755</v>
      </c>
      <c r="G1853" s="51" t="n">
        <f aca="false">'Z6 Nkangamo-Uhuru'!$B$8-E1853</f>
        <v>38.99</v>
      </c>
      <c r="H1853" s="52" t="n">
        <f aca="false">F1853-E1853</f>
        <v>49.9995581275484</v>
      </c>
      <c r="I1853" s="52" t="n">
        <f aca="false">MAX(H1853,G1853)</f>
        <v>49.9995581275484</v>
      </c>
      <c r="J1853" s="4" t="str">
        <f aca="false">IFERROR("PN"&amp;SMALL(PN_list,COUNTIF(PN_list,"&lt;"&amp;I1853*bar_per_m)+1),"&gt; max PN")</f>
        <v>PN10</v>
      </c>
      <c r="K1853" s="4" t="str">
        <f aca="false">IF(L1853="no","end at tank",IF(H1853&lt;0,"NEGATIVE",IF(H1853&lt;p_min-0.005,"low","OK")))</f>
        <v>OK</v>
      </c>
      <c r="L1853" s="4" t="s">
        <v>414</v>
      </c>
    </row>
    <row r="1854" customFormat="false" ht="15" hidden="false" customHeight="false" outlineLevel="0" collapsed="false">
      <c r="A1854" s="4" t="s">
        <v>44</v>
      </c>
      <c r="B1854" s="4" t="s">
        <v>373</v>
      </c>
      <c r="C1854" s="47" t="n">
        <v>13321.22</v>
      </c>
      <c r="D1854" s="48" t="n">
        <v>1669.18</v>
      </c>
      <c r="E1854" s="49" t="n">
        <f aca="false">D1854-cover</f>
        <v>1667.98</v>
      </c>
      <c r="F1854" s="50" t="n">
        <f aca="false">'Z6 Nkangamo-Uhuru'!S18-'Z6 Nkangamo-Uhuru'!P18*C1854/'Z6 Nkangamo-Uhuru'!G18</f>
        <v>1717.47838924795</v>
      </c>
      <c r="G1854" s="51" t="n">
        <f aca="false">'Z6 Nkangamo-Uhuru'!$B$8-E1854</f>
        <v>38.52</v>
      </c>
      <c r="H1854" s="52" t="n">
        <f aca="false">F1854-E1854</f>
        <v>49.4983892479502</v>
      </c>
      <c r="I1854" s="52" t="n">
        <f aca="false">MAX(H1854,G1854)</f>
        <v>49.4983892479502</v>
      </c>
      <c r="J1854" s="4" t="str">
        <f aca="false">IFERROR("PN"&amp;SMALL(PN_list,COUNTIF(PN_list,"&lt;"&amp;I1854*bar_per_m)+1),"&gt; max PN")</f>
        <v>PN10</v>
      </c>
      <c r="K1854" s="4" t="str">
        <f aca="false">IF(L1854="no","end at tank",IF(H1854&lt;0,"NEGATIVE",IF(H1854&lt;p_min-0.005,"low","OK")))</f>
        <v>OK</v>
      </c>
      <c r="L1854" s="4" t="s">
        <v>414</v>
      </c>
    </row>
    <row r="1855" customFormat="false" ht="15" hidden="false" customHeight="false" outlineLevel="0" collapsed="false">
      <c r="A1855" s="4" t="s">
        <v>44</v>
      </c>
      <c r="B1855" s="4" t="s">
        <v>373</v>
      </c>
      <c r="C1855" s="47" t="n">
        <v>13341.63</v>
      </c>
      <c r="D1855" s="48" t="n">
        <v>1673.28</v>
      </c>
      <c r="E1855" s="49" t="n">
        <f aca="false">D1855-cover</f>
        <v>1672.08</v>
      </c>
      <c r="F1855" s="50" t="n">
        <f aca="false">'Z6 Nkangamo-Uhuru'!S18-'Z6 Nkangamo-Uhuru'!P18*C1855/'Z6 Nkangamo-Uhuru'!G18</f>
        <v>1717.44659730229</v>
      </c>
      <c r="G1855" s="51" t="n">
        <f aca="false">'Z6 Nkangamo-Uhuru'!$B$8-E1855</f>
        <v>34.4200000000001</v>
      </c>
      <c r="H1855" s="52" t="n">
        <f aca="false">F1855-E1855</f>
        <v>45.366597302293</v>
      </c>
      <c r="I1855" s="52" t="n">
        <f aca="false">MAX(H1855,G1855)</f>
        <v>45.366597302293</v>
      </c>
      <c r="J1855" s="4" t="str">
        <f aca="false">IFERROR("PN"&amp;SMALL(PN_list,COUNTIF(PN_list,"&lt;"&amp;I1855*bar_per_m)+1),"&gt; max PN")</f>
        <v>PN10</v>
      </c>
      <c r="K1855" s="4" t="str">
        <f aca="false">IF(L1855="no","end at tank",IF(H1855&lt;0,"NEGATIVE",IF(H1855&lt;p_min-0.005,"low","OK")))</f>
        <v>OK</v>
      </c>
      <c r="L1855" s="4" t="s">
        <v>414</v>
      </c>
    </row>
    <row r="1856" customFormat="false" ht="15" hidden="false" customHeight="false" outlineLevel="0" collapsed="false">
      <c r="A1856" s="4" t="s">
        <v>44</v>
      </c>
      <c r="B1856" s="4" t="s">
        <v>373</v>
      </c>
      <c r="C1856" s="47" t="n">
        <v>13361.79</v>
      </c>
      <c r="D1856" s="48" t="n">
        <v>1675.74</v>
      </c>
      <c r="E1856" s="49" t="n">
        <f aca="false">D1856-cover</f>
        <v>1674.54</v>
      </c>
      <c r="F1856" s="50" t="n">
        <f aca="false">'Z6 Nkangamo-Uhuru'!S18-'Z6 Nkangamo-Uhuru'!P18*C1856/'Z6 Nkangamo-Uhuru'!G18</f>
        <v>1717.41519477292</v>
      </c>
      <c r="G1856" s="51" t="n">
        <f aca="false">'Z6 Nkangamo-Uhuru'!$B$8-E1856</f>
        <v>31.96</v>
      </c>
      <c r="H1856" s="52" t="n">
        <f aca="false">F1856-E1856</f>
        <v>42.8751947729224</v>
      </c>
      <c r="I1856" s="52" t="n">
        <f aca="false">MAX(H1856,G1856)</f>
        <v>42.8751947729224</v>
      </c>
      <c r="J1856" s="4" t="str">
        <f aca="false">IFERROR("PN"&amp;SMALL(PN_list,COUNTIF(PN_list,"&lt;"&amp;I1856*bar_per_m)+1),"&gt; max PN")</f>
        <v>PN10</v>
      </c>
      <c r="K1856" s="4" t="str">
        <f aca="false">IF(L1856="no","end at tank",IF(H1856&lt;0,"NEGATIVE",IF(H1856&lt;p_min-0.005,"low","OK")))</f>
        <v>OK</v>
      </c>
      <c r="L1856" s="4" t="s">
        <v>414</v>
      </c>
    </row>
    <row r="1857" customFormat="false" ht="15" hidden="false" customHeight="false" outlineLevel="0" collapsed="false">
      <c r="A1857" s="4" t="s">
        <v>44</v>
      </c>
      <c r="B1857" s="4" t="s">
        <v>373</v>
      </c>
      <c r="C1857" s="47" t="n">
        <v>13381.97</v>
      </c>
      <c r="D1857" s="48" t="n">
        <v>1678.47</v>
      </c>
      <c r="E1857" s="49" t="n">
        <f aca="false">D1857-cover</f>
        <v>1677.27</v>
      </c>
      <c r="F1857" s="50" t="n">
        <f aca="false">'Z6 Nkangamo-Uhuru'!S18-'Z6 Nkangamo-Uhuru'!P18*C1857/'Z6 Nkangamo-Uhuru'!G18</f>
        <v>1717.38376109025</v>
      </c>
      <c r="G1857" s="51" t="n">
        <f aca="false">'Z6 Nkangamo-Uhuru'!$B$8-E1857</f>
        <v>29.23</v>
      </c>
      <c r="H1857" s="52" t="n">
        <f aca="false">F1857-E1857</f>
        <v>40.1137610902492</v>
      </c>
      <c r="I1857" s="52" t="n">
        <f aca="false">MAX(H1857,G1857)</f>
        <v>40.1137610902492</v>
      </c>
      <c r="J1857" s="4" t="str">
        <f aca="false">IFERROR("PN"&amp;SMALL(PN_list,COUNTIF(PN_list,"&lt;"&amp;I1857*bar_per_m)+1),"&gt; max PN")</f>
        <v>PN10</v>
      </c>
      <c r="K1857" s="4" t="str">
        <f aca="false">IF(L1857="no","end at tank",IF(H1857&lt;0,"NEGATIVE",IF(H1857&lt;p_min-0.005,"low","OK")))</f>
        <v>OK</v>
      </c>
      <c r="L1857" s="4" t="s">
        <v>414</v>
      </c>
    </row>
    <row r="1858" customFormat="false" ht="15" hidden="false" customHeight="false" outlineLevel="0" collapsed="false">
      <c r="A1858" s="4" t="s">
        <v>44</v>
      </c>
      <c r="B1858" s="4" t="s">
        <v>373</v>
      </c>
      <c r="C1858" s="47" t="n">
        <v>13401.97</v>
      </c>
      <c r="D1858" s="48" t="n">
        <v>1678.47</v>
      </c>
      <c r="E1858" s="49" t="n">
        <f aca="false">D1858-cover</f>
        <v>1677.27</v>
      </c>
      <c r="F1858" s="50" t="n">
        <f aca="false">'Z6 Nkangamo-Uhuru'!S18-'Z6 Nkangamo-Uhuru'!P18*C1858/'Z6 Nkangamo-Uhuru'!G18</f>
        <v>1717.3526077873</v>
      </c>
      <c r="G1858" s="51" t="n">
        <f aca="false">'Z6 Nkangamo-Uhuru'!$B$8-E1858</f>
        <v>29.23</v>
      </c>
      <c r="H1858" s="52" t="n">
        <f aca="false">F1858-E1858</f>
        <v>40.0826077873023</v>
      </c>
      <c r="I1858" s="52" t="n">
        <f aca="false">MAX(H1858,G1858)</f>
        <v>40.0826077873023</v>
      </c>
      <c r="J1858" s="4" t="str">
        <f aca="false">IFERROR("PN"&amp;SMALL(PN_list,COUNTIF(PN_list,"&lt;"&amp;I1858*bar_per_m)+1),"&gt; max PN")</f>
        <v>PN10</v>
      </c>
      <c r="K1858" s="4" t="str">
        <f aca="false">IF(L1858="no","end at tank",IF(H1858&lt;0,"NEGATIVE",IF(H1858&lt;p_min-0.005,"low","OK")))</f>
        <v>OK</v>
      </c>
      <c r="L1858" s="4" t="s">
        <v>414</v>
      </c>
    </row>
    <row r="1859" customFormat="false" ht="15" hidden="false" customHeight="false" outlineLevel="0" collapsed="false">
      <c r="A1859" s="4" t="s">
        <v>44</v>
      </c>
      <c r="B1859" s="4" t="s">
        <v>373</v>
      </c>
      <c r="C1859" s="47" t="n">
        <v>13422.48</v>
      </c>
      <c r="D1859" s="48" t="n">
        <v>1683.03</v>
      </c>
      <c r="E1859" s="49" t="n">
        <f aca="false">D1859-cover</f>
        <v>1681.83</v>
      </c>
      <c r="F1859" s="50" t="n">
        <f aca="false">'Z6 Nkangamo-Uhuru'!S18-'Z6 Nkangamo-Uhuru'!P18*C1859/'Z6 Nkangamo-Uhuru'!G18</f>
        <v>1717.32066007513</v>
      </c>
      <c r="G1859" s="51" t="n">
        <f aca="false">'Z6 Nkangamo-Uhuru'!$B$8-E1859</f>
        <v>24.6700000000001</v>
      </c>
      <c r="H1859" s="52" t="n">
        <f aca="false">F1859-E1859</f>
        <v>35.4906600751303</v>
      </c>
      <c r="I1859" s="52" t="n">
        <f aca="false">MAX(H1859,G1859)</f>
        <v>35.4906600751303</v>
      </c>
      <c r="J1859" s="4" t="str">
        <f aca="false">IFERROR("PN"&amp;SMALL(PN_list,COUNTIF(PN_list,"&lt;"&amp;I1859*bar_per_m)+1),"&gt; max PN")</f>
        <v>PN10</v>
      </c>
      <c r="K1859" s="4" t="str">
        <f aca="false">IF(L1859="no","end at tank",IF(H1859&lt;0,"NEGATIVE",IF(H1859&lt;p_min-0.005,"low","OK")))</f>
        <v>OK</v>
      </c>
      <c r="L1859" s="4" t="s">
        <v>414</v>
      </c>
    </row>
    <row r="1860" customFormat="false" ht="15" hidden="false" customHeight="false" outlineLevel="0" collapsed="false">
      <c r="A1860" s="4" t="s">
        <v>44</v>
      </c>
      <c r="B1860" s="4" t="s">
        <v>373</v>
      </c>
      <c r="C1860" s="47" t="n">
        <v>13442.62</v>
      </c>
      <c r="D1860" s="48" t="n">
        <v>1685.35</v>
      </c>
      <c r="E1860" s="49" t="n">
        <f aca="false">D1860-cover</f>
        <v>1684.15</v>
      </c>
      <c r="F1860" s="50" t="n">
        <f aca="false">'Z6 Nkangamo-Uhuru'!S18-'Z6 Nkangamo-Uhuru'!P18*C1860/'Z6 Nkangamo-Uhuru'!G18</f>
        <v>1717.28928869906</v>
      </c>
      <c r="G1860" s="51" t="n">
        <f aca="false">'Z6 Nkangamo-Uhuru'!$B$8-E1860</f>
        <v>22.3500000000001</v>
      </c>
      <c r="H1860" s="52" t="n">
        <f aca="false">F1860-E1860</f>
        <v>33.1392886990629</v>
      </c>
      <c r="I1860" s="52" t="n">
        <f aca="false">MAX(H1860,G1860)</f>
        <v>33.1392886990629</v>
      </c>
      <c r="J1860" s="4" t="str">
        <f aca="false">IFERROR("PN"&amp;SMALL(PN_list,COUNTIF(PN_list,"&lt;"&amp;I1860*bar_per_m)+1),"&gt; max PN")</f>
        <v>PN10</v>
      </c>
      <c r="K1860" s="4" t="str">
        <f aca="false">IF(L1860="no","end at tank",IF(H1860&lt;0,"NEGATIVE",IF(H1860&lt;p_min-0.005,"low","OK")))</f>
        <v>OK</v>
      </c>
      <c r="L1860" s="4" t="s">
        <v>414</v>
      </c>
    </row>
    <row r="1861" customFormat="false" ht="15" hidden="false" customHeight="false" outlineLevel="0" collapsed="false">
      <c r="A1861" s="4" t="s">
        <v>44</v>
      </c>
      <c r="B1861" s="4" t="s">
        <v>373</v>
      </c>
      <c r="C1861" s="47" t="n">
        <v>13462.79</v>
      </c>
      <c r="D1861" s="48" t="n">
        <v>1685.94</v>
      </c>
      <c r="E1861" s="49" t="n">
        <f aca="false">D1861-cover</f>
        <v>1684.74</v>
      </c>
      <c r="F1861" s="50" t="n">
        <f aca="false">'Z6 Nkangamo-Uhuru'!S18-'Z6 Nkangamo-Uhuru'!P18*C1861/'Z6 Nkangamo-Uhuru'!G18</f>
        <v>1717.25787059304</v>
      </c>
      <c r="G1861" s="51" t="n">
        <f aca="false">'Z6 Nkangamo-Uhuru'!$B$8-E1861</f>
        <v>21.76</v>
      </c>
      <c r="H1861" s="52" t="n">
        <f aca="false">F1861-E1861</f>
        <v>32.5178705930409</v>
      </c>
      <c r="I1861" s="52" t="n">
        <f aca="false">MAX(H1861,G1861)</f>
        <v>32.5178705930409</v>
      </c>
      <c r="J1861" s="4" t="str">
        <f aca="false">IFERROR("PN"&amp;SMALL(PN_list,COUNTIF(PN_list,"&lt;"&amp;I1861*bar_per_m)+1),"&gt; max PN")</f>
        <v>PN10</v>
      </c>
      <c r="K1861" s="4" t="str">
        <f aca="false">IF(L1861="no","end at tank",IF(H1861&lt;0,"NEGATIVE",IF(H1861&lt;p_min-0.005,"low","OK")))</f>
        <v>OK</v>
      </c>
      <c r="L1861" s="4" t="s">
        <v>414</v>
      </c>
    </row>
    <row r="1862" customFormat="false" ht="15" hidden="false" customHeight="false" outlineLevel="0" collapsed="false">
      <c r="A1862" s="4" t="s">
        <v>44</v>
      </c>
      <c r="B1862" s="4" t="s">
        <v>373</v>
      </c>
      <c r="C1862" s="47" t="n">
        <v>13482.88</v>
      </c>
      <c r="D1862" s="48" t="n">
        <v>1687.86</v>
      </c>
      <c r="E1862" s="49" t="n">
        <f aca="false">D1862-cover</f>
        <v>1686.66</v>
      </c>
      <c r="F1862" s="50" t="n">
        <f aca="false">'Z6 Nkangamo-Uhuru'!S18-'Z6 Nkangamo-Uhuru'!P18*C1862/'Z6 Nkangamo-Uhuru'!G18</f>
        <v>1717.22657710023</v>
      </c>
      <c r="G1862" s="51" t="n">
        <f aca="false">'Z6 Nkangamo-Uhuru'!$B$8-E1862</f>
        <v>19.8400000000001</v>
      </c>
      <c r="H1862" s="52" t="n">
        <f aca="false">F1862-E1862</f>
        <v>30.5665771002311</v>
      </c>
      <c r="I1862" s="52" t="n">
        <f aca="false">MAX(H1862,G1862)</f>
        <v>30.5665771002311</v>
      </c>
      <c r="J1862" s="4" t="str">
        <f aca="false">IFERROR("PN"&amp;SMALL(PN_list,COUNTIF(PN_list,"&lt;"&amp;I1862*bar_per_m)+1),"&gt; max PN")</f>
        <v>PN10</v>
      </c>
      <c r="K1862" s="4" t="str">
        <f aca="false">IF(L1862="no","end at tank",IF(H1862&lt;0,"NEGATIVE",IF(H1862&lt;p_min-0.005,"low","OK")))</f>
        <v>OK</v>
      </c>
      <c r="L1862" s="4" t="s">
        <v>414</v>
      </c>
    </row>
    <row r="1863" customFormat="false" ht="15" hidden="false" customHeight="false" outlineLevel="0" collapsed="false">
      <c r="A1863" s="4" t="s">
        <v>44</v>
      </c>
      <c r="B1863" s="4" t="s">
        <v>373</v>
      </c>
      <c r="C1863" s="47" t="n">
        <v>13502.97</v>
      </c>
      <c r="D1863" s="48" t="n">
        <v>1689.81</v>
      </c>
      <c r="E1863" s="49" t="n">
        <f aca="false">D1863-cover</f>
        <v>1688.61</v>
      </c>
      <c r="F1863" s="50" t="n">
        <f aca="false">'Z6 Nkangamo-Uhuru'!S18-'Z6 Nkangamo-Uhuru'!P18*C1863/'Z6 Nkangamo-Uhuru'!G18</f>
        <v>1717.19528360742</v>
      </c>
      <c r="G1863" s="51" t="n">
        <f aca="false">'Z6 Nkangamo-Uhuru'!$B$8-E1863</f>
        <v>17.8900000000001</v>
      </c>
      <c r="H1863" s="52" t="n">
        <f aca="false">F1863-E1863</f>
        <v>28.5852836074209</v>
      </c>
      <c r="I1863" s="52" t="n">
        <f aca="false">MAX(H1863,G1863)</f>
        <v>28.5852836074209</v>
      </c>
      <c r="J1863" s="4" t="str">
        <f aca="false">IFERROR("PN"&amp;SMALL(PN_list,COUNTIF(PN_list,"&lt;"&amp;I1863*bar_per_m)+1),"&gt; max PN")</f>
        <v>PN10</v>
      </c>
      <c r="K1863" s="4" t="str">
        <f aca="false">IF(L1863="no","end at tank",IF(H1863&lt;0,"NEGATIVE",IF(H1863&lt;p_min-0.005,"low","OK")))</f>
        <v>OK</v>
      </c>
      <c r="L1863" s="4" t="s">
        <v>414</v>
      </c>
    </row>
    <row r="1864" customFormat="false" ht="15" hidden="false" customHeight="false" outlineLevel="0" collapsed="false">
      <c r="A1864" s="4" t="s">
        <v>44</v>
      </c>
      <c r="B1864" s="4" t="s">
        <v>373</v>
      </c>
      <c r="C1864" s="47" t="n">
        <v>13523.11</v>
      </c>
      <c r="D1864" s="48" t="n">
        <v>1692.14</v>
      </c>
      <c r="E1864" s="49" t="n">
        <f aca="false">D1864-cover</f>
        <v>1690.94</v>
      </c>
      <c r="F1864" s="50" t="n">
        <f aca="false">'Z6 Nkangamo-Uhuru'!S18-'Z6 Nkangamo-Uhuru'!P18*C1864/'Z6 Nkangamo-Uhuru'!G18</f>
        <v>1717.16391223135</v>
      </c>
      <c r="G1864" s="51" t="n">
        <f aca="false">'Z6 Nkangamo-Uhuru'!$B$8-E1864</f>
        <v>15.5599999999999</v>
      </c>
      <c r="H1864" s="52" t="n">
        <f aca="false">F1864-E1864</f>
        <v>26.2239122313533</v>
      </c>
      <c r="I1864" s="52" t="n">
        <f aca="false">MAX(H1864,G1864)</f>
        <v>26.2239122313533</v>
      </c>
      <c r="J1864" s="4" t="str">
        <f aca="false">IFERROR("PN"&amp;SMALL(PN_list,COUNTIF(PN_list,"&lt;"&amp;I1864*bar_per_m)+1),"&gt; max PN")</f>
        <v>PN10</v>
      </c>
      <c r="K1864" s="4" t="str">
        <f aca="false">IF(L1864="no","end at tank",IF(H1864&lt;0,"NEGATIVE",IF(H1864&lt;p_min-0.005,"low","OK")))</f>
        <v>OK</v>
      </c>
      <c r="L1864" s="4" t="s">
        <v>414</v>
      </c>
    </row>
    <row r="1865" customFormat="false" ht="15" hidden="false" customHeight="false" outlineLevel="0" collapsed="false">
      <c r="A1865" s="4" t="s">
        <v>44</v>
      </c>
      <c r="B1865" s="4" t="s">
        <v>373</v>
      </c>
      <c r="C1865" s="47" t="n">
        <v>13543.12</v>
      </c>
      <c r="D1865" s="48" t="n">
        <v>1692.79</v>
      </c>
      <c r="E1865" s="49" t="n">
        <f aca="false">D1865-cover</f>
        <v>1691.59</v>
      </c>
      <c r="F1865" s="50" t="n">
        <f aca="false">'Z6 Nkangamo-Uhuru'!S18-'Z6 Nkangamo-Uhuru'!P18*C1865/'Z6 Nkangamo-Uhuru'!G18</f>
        <v>1717.13274335176</v>
      </c>
      <c r="G1865" s="51" t="n">
        <f aca="false">'Z6 Nkangamo-Uhuru'!$B$8-E1865</f>
        <v>14.9100000000001</v>
      </c>
      <c r="H1865" s="52" t="n">
        <f aca="false">F1865-E1865</f>
        <v>25.5427433517552</v>
      </c>
      <c r="I1865" s="52" t="n">
        <f aca="false">MAX(H1865,G1865)</f>
        <v>25.5427433517552</v>
      </c>
      <c r="J1865" s="4" t="str">
        <f aca="false">IFERROR("PN"&amp;SMALL(PN_list,COUNTIF(PN_list,"&lt;"&amp;I1865*bar_per_m)+1),"&gt; max PN")</f>
        <v>PN10</v>
      </c>
      <c r="K1865" s="4" t="str">
        <f aca="false">IF(L1865="no","end at tank",IF(H1865&lt;0,"NEGATIVE",IF(H1865&lt;p_min-0.005,"low","OK")))</f>
        <v>OK</v>
      </c>
      <c r="L1865" s="4" t="s">
        <v>414</v>
      </c>
    </row>
    <row r="1866" customFormat="false" ht="15" hidden="false" customHeight="false" outlineLevel="0" collapsed="false">
      <c r="A1866" s="4" t="s">
        <v>44</v>
      </c>
      <c r="B1866" s="4" t="s">
        <v>373</v>
      </c>
      <c r="C1866" s="47" t="n">
        <v>13562.72</v>
      </c>
      <c r="D1866" s="48" t="n">
        <v>1692.77</v>
      </c>
      <c r="E1866" s="49" t="n">
        <f aca="false">D1866-cover</f>
        <v>1691.57</v>
      </c>
      <c r="F1866" s="50" t="n">
        <f aca="false">'Z6 Nkangamo-Uhuru'!S18-'Z6 Nkangamo-Uhuru'!P18*C1866/'Z6 Nkangamo-Uhuru'!G18</f>
        <v>1717.10221311487</v>
      </c>
      <c r="G1866" s="51" t="n">
        <f aca="false">'Z6 Nkangamo-Uhuru'!$B$8-E1866</f>
        <v>14.9300000000001</v>
      </c>
      <c r="H1866" s="52" t="n">
        <f aca="false">F1866-E1866</f>
        <v>25.5322131148673</v>
      </c>
      <c r="I1866" s="52" t="n">
        <f aca="false">MAX(H1866,G1866)</f>
        <v>25.5322131148673</v>
      </c>
      <c r="J1866" s="4" t="str">
        <f aca="false">IFERROR("PN"&amp;SMALL(PN_list,COUNTIF(PN_list,"&lt;"&amp;I1866*bar_per_m)+1),"&gt; max PN")</f>
        <v>PN10</v>
      </c>
      <c r="K1866" s="4" t="str">
        <f aca="false">IF(L1866="no","end at tank",IF(H1866&lt;0,"NEGATIVE",IF(H1866&lt;p_min-0.005,"low","OK")))</f>
        <v>OK</v>
      </c>
      <c r="L1866" s="4" t="s">
        <v>414</v>
      </c>
    </row>
    <row r="1867" customFormat="false" ht="15" hidden="false" customHeight="false" outlineLevel="0" collapsed="false">
      <c r="A1867" s="4" t="s">
        <v>44</v>
      </c>
      <c r="B1867" s="4" t="s">
        <v>373</v>
      </c>
      <c r="C1867" s="47" t="n">
        <v>13582.73</v>
      </c>
      <c r="D1867" s="48" t="n">
        <v>1693.23</v>
      </c>
      <c r="E1867" s="49" t="n">
        <f aca="false">D1867-cover</f>
        <v>1692.03</v>
      </c>
      <c r="F1867" s="50" t="n">
        <f aca="false">'Z6 Nkangamo-Uhuru'!S18-'Z6 Nkangamo-Uhuru'!P18*C1867/'Z6 Nkangamo-Uhuru'!G18</f>
        <v>1717.07104423527</v>
      </c>
      <c r="G1867" s="51" t="n">
        <f aca="false">'Z6 Nkangamo-Uhuru'!$B$8-E1867</f>
        <v>14.47</v>
      </c>
      <c r="H1867" s="52" t="n">
        <f aca="false">F1867-E1867</f>
        <v>25.0410442352688</v>
      </c>
      <c r="I1867" s="52" t="n">
        <f aca="false">MAX(H1867,G1867)</f>
        <v>25.0410442352688</v>
      </c>
      <c r="J1867" s="4" t="str">
        <f aca="false">IFERROR("PN"&amp;SMALL(PN_list,COUNTIF(PN_list,"&lt;"&amp;I1867*bar_per_m)+1),"&gt; max PN")</f>
        <v>PN10</v>
      </c>
      <c r="K1867" s="4" t="str">
        <f aca="false">IF(L1867="no","end at tank",IF(H1867&lt;0,"NEGATIVE",IF(H1867&lt;p_min-0.005,"low","OK")))</f>
        <v>OK</v>
      </c>
      <c r="L1867" s="4" t="s">
        <v>414</v>
      </c>
    </row>
    <row r="1868" customFormat="false" ht="15" hidden="false" customHeight="false" outlineLevel="0" collapsed="false">
      <c r="A1868" s="4" t="s">
        <v>44</v>
      </c>
      <c r="B1868" s="4" t="s">
        <v>373</v>
      </c>
      <c r="C1868" s="47" t="n">
        <v>13602.74</v>
      </c>
      <c r="D1868" s="48" t="n">
        <v>1694.06</v>
      </c>
      <c r="E1868" s="49" t="n">
        <f aca="false">D1868-cover</f>
        <v>1692.86</v>
      </c>
      <c r="F1868" s="50" t="n">
        <f aca="false">'Z6 Nkangamo-Uhuru'!S18-'Z6 Nkangamo-Uhuru'!P18*C1868/'Z6 Nkangamo-Uhuru'!G18</f>
        <v>1717.03987535567</v>
      </c>
      <c r="G1868" s="51" t="n">
        <f aca="false">'Z6 Nkangamo-Uhuru'!$B$8-E1868</f>
        <v>13.6400000000001</v>
      </c>
      <c r="H1868" s="52" t="n">
        <f aca="false">F1868-E1868</f>
        <v>24.1798753556707</v>
      </c>
      <c r="I1868" s="52" t="n">
        <f aca="false">MAX(H1868,G1868)</f>
        <v>24.1798753556707</v>
      </c>
      <c r="J1868" s="4" t="str">
        <f aca="false">IFERROR("PN"&amp;SMALL(PN_list,COUNTIF(PN_list,"&lt;"&amp;I1868*bar_per_m)+1),"&gt; max PN")</f>
        <v>PN10</v>
      </c>
      <c r="K1868" s="4" t="str">
        <f aca="false">IF(L1868="no","end at tank",IF(H1868&lt;0,"NEGATIVE",IF(H1868&lt;p_min-0.005,"low","OK")))</f>
        <v>OK</v>
      </c>
      <c r="L1868" s="4" t="s">
        <v>414</v>
      </c>
    </row>
    <row r="1869" customFormat="false" ht="15" hidden="false" customHeight="false" outlineLevel="0" collapsed="false">
      <c r="A1869" s="4" t="s">
        <v>44</v>
      </c>
      <c r="B1869" s="4" t="s">
        <v>373</v>
      </c>
      <c r="C1869" s="47" t="n">
        <v>13622.74</v>
      </c>
      <c r="D1869" s="48" t="n">
        <v>1694.38</v>
      </c>
      <c r="E1869" s="49" t="n">
        <f aca="false">D1869-cover</f>
        <v>1693.18</v>
      </c>
      <c r="F1869" s="50" t="n">
        <f aca="false">'Z6 Nkangamo-Uhuru'!S18-'Z6 Nkangamo-Uhuru'!P18*C1869/'Z6 Nkangamo-Uhuru'!G18</f>
        <v>1717.00872205272</v>
      </c>
      <c r="G1869" s="51" t="n">
        <f aca="false">'Z6 Nkangamo-Uhuru'!$B$8-E1869</f>
        <v>13.3199999999999</v>
      </c>
      <c r="H1869" s="52" t="n">
        <f aca="false">F1869-E1869</f>
        <v>23.8287220527236</v>
      </c>
      <c r="I1869" s="52" t="n">
        <f aca="false">MAX(H1869,G1869)</f>
        <v>23.8287220527236</v>
      </c>
      <c r="J1869" s="4" t="str">
        <f aca="false">IFERROR("PN"&amp;SMALL(PN_list,COUNTIF(PN_list,"&lt;"&amp;I1869*bar_per_m)+1),"&gt; max PN")</f>
        <v>PN10</v>
      </c>
      <c r="K1869" s="4" t="str">
        <f aca="false">IF(L1869="no","end at tank",IF(H1869&lt;0,"NEGATIVE",IF(H1869&lt;p_min-0.005,"low","OK")))</f>
        <v>OK</v>
      </c>
      <c r="L1869" s="4" t="s">
        <v>414</v>
      </c>
    </row>
    <row r="1870" customFormat="false" ht="15" hidden="false" customHeight="false" outlineLevel="0" collapsed="false">
      <c r="A1870" s="4" t="s">
        <v>44</v>
      </c>
      <c r="B1870" s="4" t="s">
        <v>373</v>
      </c>
      <c r="C1870" s="47" t="n">
        <v>13642.74</v>
      </c>
      <c r="D1870" s="48" t="n">
        <v>1694.41</v>
      </c>
      <c r="E1870" s="49" t="n">
        <f aca="false">D1870-cover</f>
        <v>1693.21</v>
      </c>
      <c r="F1870" s="50" t="n">
        <f aca="false">'Z6 Nkangamo-Uhuru'!S18-'Z6 Nkangamo-Uhuru'!P18*C1870/'Z6 Nkangamo-Uhuru'!G18</f>
        <v>1716.97756874978</v>
      </c>
      <c r="G1870" s="51" t="n">
        <f aca="false">'Z6 Nkangamo-Uhuru'!$B$8-E1870</f>
        <v>13.29</v>
      </c>
      <c r="H1870" s="52" t="n">
        <f aca="false">F1870-E1870</f>
        <v>23.767568749777</v>
      </c>
      <c r="I1870" s="52" t="n">
        <f aca="false">MAX(H1870,G1870)</f>
        <v>23.767568749777</v>
      </c>
      <c r="J1870" s="4" t="str">
        <f aca="false">IFERROR("PN"&amp;SMALL(PN_list,COUNTIF(PN_list,"&lt;"&amp;I1870*bar_per_m)+1),"&gt; max PN")</f>
        <v>PN10</v>
      </c>
      <c r="K1870" s="4" t="str">
        <f aca="false">IF(L1870="no","end at tank",IF(H1870&lt;0,"NEGATIVE",IF(H1870&lt;p_min-0.005,"low","OK")))</f>
        <v>OK</v>
      </c>
      <c r="L1870" s="4" t="s">
        <v>414</v>
      </c>
    </row>
    <row r="1871" customFormat="false" ht="15" hidden="false" customHeight="false" outlineLevel="0" collapsed="false">
      <c r="A1871" s="4" t="s">
        <v>44</v>
      </c>
      <c r="B1871" s="4" t="s">
        <v>373</v>
      </c>
      <c r="C1871" s="47" t="n">
        <v>13662.74</v>
      </c>
      <c r="D1871" s="48" t="n">
        <v>1694.37</v>
      </c>
      <c r="E1871" s="49" t="n">
        <f aca="false">D1871-cover</f>
        <v>1693.17</v>
      </c>
      <c r="F1871" s="50" t="n">
        <f aca="false">'Z6 Nkangamo-Uhuru'!S18-'Z6 Nkangamo-Uhuru'!P18*C1871/'Z6 Nkangamo-Uhuru'!G18</f>
        <v>1716.94641544683</v>
      </c>
      <c r="G1871" s="51" t="n">
        <f aca="false">'Z6 Nkangamo-Uhuru'!$B$8-E1871</f>
        <v>13.3300000000002</v>
      </c>
      <c r="H1871" s="52" t="n">
        <f aca="false">F1871-E1871</f>
        <v>23.7764154468302</v>
      </c>
      <c r="I1871" s="52" t="n">
        <f aca="false">MAX(H1871,G1871)</f>
        <v>23.7764154468302</v>
      </c>
      <c r="J1871" s="4" t="str">
        <f aca="false">IFERROR("PN"&amp;SMALL(PN_list,COUNTIF(PN_list,"&lt;"&amp;I1871*bar_per_m)+1),"&gt; max PN")</f>
        <v>PN10</v>
      </c>
      <c r="K1871" s="4" t="str">
        <f aca="false">IF(L1871="no","end at tank",IF(H1871&lt;0,"NEGATIVE",IF(H1871&lt;p_min-0.005,"low","OK")))</f>
        <v>OK</v>
      </c>
      <c r="L1871" s="4" t="s">
        <v>414</v>
      </c>
    </row>
    <row r="1872" customFormat="false" ht="15" hidden="false" customHeight="false" outlineLevel="0" collapsed="false">
      <c r="A1872" s="4" t="s">
        <v>44</v>
      </c>
      <c r="B1872" s="4" t="s">
        <v>373</v>
      </c>
      <c r="C1872" s="47" t="n">
        <v>13682.75</v>
      </c>
      <c r="D1872" s="48" t="n">
        <v>1694.84</v>
      </c>
      <c r="E1872" s="49" t="n">
        <f aca="false">D1872-cover</f>
        <v>1693.64</v>
      </c>
      <c r="F1872" s="50" t="n">
        <f aca="false">'Z6 Nkangamo-Uhuru'!S18-'Z6 Nkangamo-Uhuru'!P18*C1872/'Z6 Nkangamo-Uhuru'!G18</f>
        <v>1716.91524656723</v>
      </c>
      <c r="G1872" s="51" t="n">
        <f aca="false">'Z6 Nkangamo-Uhuru'!$B$8-E1872</f>
        <v>12.8600000000001</v>
      </c>
      <c r="H1872" s="52" t="n">
        <f aca="false">F1872-E1872</f>
        <v>23.275246567232</v>
      </c>
      <c r="I1872" s="52" t="n">
        <f aca="false">MAX(H1872,G1872)</f>
        <v>23.275246567232</v>
      </c>
      <c r="J1872" s="4" t="str">
        <f aca="false">IFERROR("PN"&amp;SMALL(PN_list,COUNTIF(PN_list,"&lt;"&amp;I1872*bar_per_m)+1),"&gt; max PN")</f>
        <v>PN10</v>
      </c>
      <c r="K1872" s="4" t="str">
        <f aca="false">IF(L1872="no","end at tank",IF(H1872&lt;0,"NEGATIVE",IF(H1872&lt;p_min-0.005,"low","OK")))</f>
        <v>OK</v>
      </c>
      <c r="L1872" s="4" t="s">
        <v>414</v>
      </c>
    </row>
    <row r="1873" customFormat="false" ht="15" hidden="false" customHeight="false" outlineLevel="0" collapsed="false">
      <c r="A1873" s="4" t="s">
        <v>44</v>
      </c>
      <c r="B1873" s="4" t="s">
        <v>373</v>
      </c>
      <c r="C1873" s="47" t="n">
        <v>13702.58</v>
      </c>
      <c r="D1873" s="48" t="n">
        <v>1694.93</v>
      </c>
      <c r="E1873" s="49" t="n">
        <f aca="false">D1873-cover</f>
        <v>1693.73</v>
      </c>
      <c r="F1873" s="50" t="n">
        <f aca="false">'Z6 Nkangamo-Uhuru'!S18-'Z6 Nkangamo-Uhuru'!P18*C1873/'Z6 Nkangamo-Uhuru'!G18</f>
        <v>1716.88435806736</v>
      </c>
      <c r="G1873" s="51" t="n">
        <f aca="false">'Z6 Nkangamo-Uhuru'!$B$8-E1873</f>
        <v>12.77</v>
      </c>
      <c r="H1873" s="52" t="n">
        <f aca="false">F1873-E1873</f>
        <v>23.1543580673599</v>
      </c>
      <c r="I1873" s="52" t="n">
        <f aca="false">MAX(H1873,G1873)</f>
        <v>23.1543580673599</v>
      </c>
      <c r="J1873" s="4" t="str">
        <f aca="false">IFERROR("PN"&amp;SMALL(PN_list,COUNTIF(PN_list,"&lt;"&amp;I1873*bar_per_m)+1),"&gt; max PN")</f>
        <v>PN10</v>
      </c>
      <c r="K1873" s="4" t="str">
        <f aca="false">IF(L1873="no","end at tank",IF(H1873&lt;0,"NEGATIVE",IF(H1873&lt;p_min-0.005,"low","OK")))</f>
        <v>OK</v>
      </c>
      <c r="L1873" s="4" t="s">
        <v>414</v>
      </c>
    </row>
    <row r="1874" customFormat="false" ht="15" hidden="false" customHeight="false" outlineLevel="0" collapsed="false">
      <c r="A1874" s="4" t="s">
        <v>44</v>
      </c>
      <c r="B1874" s="4" t="s">
        <v>373</v>
      </c>
      <c r="C1874" s="47" t="n">
        <v>13722.58</v>
      </c>
      <c r="D1874" s="48" t="n">
        <v>1694.93</v>
      </c>
      <c r="E1874" s="49" t="n">
        <f aca="false">D1874-cover</f>
        <v>1693.73</v>
      </c>
      <c r="F1874" s="50" t="n">
        <f aca="false">'Z6 Nkangamo-Uhuru'!S18-'Z6 Nkangamo-Uhuru'!P18*C1874/'Z6 Nkangamo-Uhuru'!G18</f>
        <v>1716.85320476441</v>
      </c>
      <c r="G1874" s="51" t="n">
        <f aca="false">'Z6 Nkangamo-Uhuru'!$B$8-E1874</f>
        <v>12.77</v>
      </c>
      <c r="H1874" s="52" t="n">
        <f aca="false">F1874-E1874</f>
        <v>23.1232047644132</v>
      </c>
      <c r="I1874" s="52" t="n">
        <f aca="false">MAX(H1874,G1874)</f>
        <v>23.1232047644132</v>
      </c>
      <c r="J1874" s="4" t="str">
        <f aca="false">IFERROR("PN"&amp;SMALL(PN_list,COUNTIF(PN_list,"&lt;"&amp;I1874*bar_per_m)+1),"&gt; max PN")</f>
        <v>PN10</v>
      </c>
      <c r="K1874" s="4" t="str">
        <f aca="false">IF(L1874="no","end at tank",IF(H1874&lt;0,"NEGATIVE",IF(H1874&lt;p_min-0.005,"low","OK")))</f>
        <v>OK</v>
      </c>
      <c r="L1874" s="4" t="s">
        <v>414</v>
      </c>
    </row>
    <row r="1875" customFormat="false" ht="15" hidden="false" customHeight="false" outlineLevel="0" collapsed="false">
      <c r="A1875" s="4" t="s">
        <v>44</v>
      </c>
      <c r="B1875" s="4" t="s">
        <v>373</v>
      </c>
      <c r="C1875" s="47" t="n">
        <v>13742.58</v>
      </c>
      <c r="D1875" s="48" t="n">
        <v>1694.61</v>
      </c>
      <c r="E1875" s="49" t="n">
        <f aca="false">D1875-cover</f>
        <v>1693.41</v>
      </c>
      <c r="F1875" s="50" t="n">
        <f aca="false">'Z6 Nkangamo-Uhuru'!S18-'Z6 Nkangamo-Uhuru'!P18*C1875/'Z6 Nkangamo-Uhuru'!G18</f>
        <v>1716.82205146147</v>
      </c>
      <c r="G1875" s="51" t="n">
        <f aca="false">'Z6 Nkangamo-Uhuru'!$B$8-E1875</f>
        <v>13.0900000000001</v>
      </c>
      <c r="H1875" s="52" t="n">
        <f aca="false">F1875-E1875</f>
        <v>23.4120514614665</v>
      </c>
      <c r="I1875" s="52" t="n">
        <f aca="false">MAX(H1875,G1875)</f>
        <v>23.4120514614665</v>
      </c>
      <c r="J1875" s="4" t="str">
        <f aca="false">IFERROR("PN"&amp;SMALL(PN_list,COUNTIF(PN_list,"&lt;"&amp;I1875*bar_per_m)+1),"&gt; max PN")</f>
        <v>PN10</v>
      </c>
      <c r="K1875" s="4" t="str">
        <f aca="false">IF(L1875="no","end at tank",IF(H1875&lt;0,"NEGATIVE",IF(H1875&lt;p_min-0.005,"low","OK")))</f>
        <v>OK</v>
      </c>
      <c r="L1875" s="4" t="s">
        <v>414</v>
      </c>
    </row>
    <row r="1876" customFormat="false" ht="15" hidden="false" customHeight="false" outlineLevel="0" collapsed="false">
      <c r="A1876" s="4" t="s">
        <v>44</v>
      </c>
      <c r="B1876" s="4" t="s">
        <v>373</v>
      </c>
      <c r="C1876" s="47" t="n">
        <v>13762.59</v>
      </c>
      <c r="D1876" s="48" t="n">
        <v>1694.97</v>
      </c>
      <c r="E1876" s="49" t="n">
        <f aca="false">D1876-cover</f>
        <v>1693.77</v>
      </c>
      <c r="F1876" s="50" t="n">
        <f aca="false">'Z6 Nkangamo-Uhuru'!S18-'Z6 Nkangamo-Uhuru'!P18*C1876/'Z6 Nkangamo-Uhuru'!G18</f>
        <v>1716.79088258187</v>
      </c>
      <c r="G1876" s="51" t="n">
        <f aca="false">'Z6 Nkangamo-Uhuru'!$B$8-E1876</f>
        <v>12.73</v>
      </c>
      <c r="H1876" s="52" t="n">
        <f aca="false">F1876-E1876</f>
        <v>23.0208825818681</v>
      </c>
      <c r="I1876" s="52" t="n">
        <f aca="false">MAX(H1876,G1876)</f>
        <v>23.0208825818681</v>
      </c>
      <c r="J1876" s="4" t="str">
        <f aca="false">IFERROR("PN"&amp;SMALL(PN_list,COUNTIF(PN_list,"&lt;"&amp;I1876*bar_per_m)+1),"&gt; max PN")</f>
        <v>PN10</v>
      </c>
      <c r="K1876" s="4" t="str">
        <f aca="false">IF(L1876="no","end at tank",IF(H1876&lt;0,"NEGATIVE",IF(H1876&lt;p_min-0.005,"low","OK")))</f>
        <v>OK</v>
      </c>
      <c r="L1876" s="4" t="s">
        <v>414</v>
      </c>
    </row>
    <row r="1877" customFormat="false" ht="15" hidden="false" customHeight="false" outlineLevel="0" collapsed="false">
      <c r="A1877" s="4" t="s">
        <v>44</v>
      </c>
      <c r="B1877" s="4" t="s">
        <v>373</v>
      </c>
      <c r="C1877" s="47" t="n">
        <v>13782.59</v>
      </c>
      <c r="D1877" s="48" t="n">
        <v>1694.64</v>
      </c>
      <c r="E1877" s="49" t="n">
        <f aca="false">D1877-cover</f>
        <v>1693.44</v>
      </c>
      <c r="F1877" s="50" t="n">
        <f aca="false">'Z6 Nkangamo-Uhuru'!S18-'Z6 Nkangamo-Uhuru'!P18*C1877/'Z6 Nkangamo-Uhuru'!G18</f>
        <v>1716.75972927892</v>
      </c>
      <c r="G1877" s="51" t="n">
        <f aca="false">'Z6 Nkangamo-Uhuru'!$B$8-E1877</f>
        <v>13.0599999999999</v>
      </c>
      <c r="H1877" s="52" t="n">
        <f aca="false">F1877-E1877</f>
        <v>23.3197292789212</v>
      </c>
      <c r="I1877" s="52" t="n">
        <f aca="false">MAX(H1877,G1877)</f>
        <v>23.3197292789212</v>
      </c>
      <c r="J1877" s="4" t="str">
        <f aca="false">IFERROR("PN"&amp;SMALL(PN_list,COUNTIF(PN_list,"&lt;"&amp;I1877*bar_per_m)+1),"&gt; max PN")</f>
        <v>PN10</v>
      </c>
      <c r="K1877" s="4" t="str">
        <f aca="false">IF(L1877="no","end at tank",IF(H1877&lt;0,"NEGATIVE",IF(H1877&lt;p_min-0.005,"low","OK")))</f>
        <v>OK</v>
      </c>
      <c r="L1877" s="4" t="s">
        <v>414</v>
      </c>
    </row>
    <row r="1878" customFormat="false" ht="15" hidden="false" customHeight="false" outlineLevel="0" collapsed="false">
      <c r="A1878" s="4" t="s">
        <v>44</v>
      </c>
      <c r="B1878" s="4" t="s">
        <v>373</v>
      </c>
      <c r="C1878" s="47" t="n">
        <v>13802.6</v>
      </c>
      <c r="D1878" s="48" t="n">
        <v>1695.28</v>
      </c>
      <c r="E1878" s="49" t="n">
        <f aca="false">D1878-cover</f>
        <v>1694.08</v>
      </c>
      <c r="F1878" s="50" t="n">
        <f aca="false">'Z6 Nkangamo-Uhuru'!S18-'Z6 Nkangamo-Uhuru'!P18*C1878/'Z6 Nkangamo-Uhuru'!G18</f>
        <v>1716.72856039932</v>
      </c>
      <c r="G1878" s="51" t="n">
        <f aca="false">'Z6 Nkangamo-Uhuru'!$B$8-E1878</f>
        <v>12.4200000000001</v>
      </c>
      <c r="H1878" s="52" t="n">
        <f aca="false">F1878-E1878</f>
        <v>22.6485603993231</v>
      </c>
      <c r="I1878" s="52" t="n">
        <f aca="false">MAX(H1878,G1878)</f>
        <v>22.6485603993231</v>
      </c>
      <c r="J1878" s="4" t="str">
        <f aca="false">IFERROR("PN"&amp;SMALL(PN_list,COUNTIF(PN_list,"&lt;"&amp;I1878*bar_per_m)+1),"&gt; max PN")</f>
        <v>PN10</v>
      </c>
      <c r="K1878" s="4" t="str">
        <f aca="false">IF(L1878="no","end at tank",IF(H1878&lt;0,"NEGATIVE",IF(H1878&lt;p_min-0.005,"low","OK")))</f>
        <v>OK</v>
      </c>
      <c r="L1878" s="4" t="s">
        <v>414</v>
      </c>
    </row>
    <row r="1879" customFormat="false" ht="15" hidden="false" customHeight="false" outlineLevel="0" collapsed="false">
      <c r="A1879" s="4" t="s">
        <v>44</v>
      </c>
      <c r="B1879" s="4" t="s">
        <v>373</v>
      </c>
      <c r="C1879" s="47" t="n">
        <v>13822.6</v>
      </c>
      <c r="D1879" s="48" t="n">
        <v>1695.27</v>
      </c>
      <c r="E1879" s="49" t="n">
        <f aca="false">D1879-cover</f>
        <v>1694.07</v>
      </c>
      <c r="F1879" s="50" t="n">
        <f aca="false">'Z6 Nkangamo-Uhuru'!S18-'Z6 Nkangamo-Uhuru'!P18*C1879/'Z6 Nkangamo-Uhuru'!G18</f>
        <v>1716.69740709638</v>
      </c>
      <c r="G1879" s="51" t="n">
        <f aca="false">'Z6 Nkangamo-Uhuru'!$B$8-E1879</f>
        <v>12.4300000000001</v>
      </c>
      <c r="H1879" s="52" t="n">
        <f aca="false">F1879-E1879</f>
        <v>22.6274070963761</v>
      </c>
      <c r="I1879" s="52" t="n">
        <f aca="false">MAX(H1879,G1879)</f>
        <v>22.6274070963761</v>
      </c>
      <c r="J1879" s="4" t="str">
        <f aca="false">IFERROR("PN"&amp;SMALL(PN_list,COUNTIF(PN_list,"&lt;"&amp;I1879*bar_per_m)+1),"&gt; max PN")</f>
        <v>PN10</v>
      </c>
      <c r="K1879" s="4" t="str">
        <f aca="false">IF(L1879="no","end at tank",IF(H1879&lt;0,"NEGATIVE",IF(H1879&lt;p_min-0.005,"low","OK")))</f>
        <v>OK</v>
      </c>
      <c r="L1879" s="4" t="s">
        <v>414</v>
      </c>
    </row>
    <row r="1880" customFormat="false" ht="15" hidden="false" customHeight="false" outlineLevel="0" collapsed="false">
      <c r="A1880" s="4" t="s">
        <v>44</v>
      </c>
      <c r="B1880" s="4" t="s">
        <v>373</v>
      </c>
      <c r="C1880" s="47" t="n">
        <v>13842.6</v>
      </c>
      <c r="D1880" s="48" t="n">
        <v>1695.37</v>
      </c>
      <c r="E1880" s="49" t="n">
        <f aca="false">D1880-cover</f>
        <v>1694.17</v>
      </c>
      <c r="F1880" s="50" t="n">
        <f aca="false">'Z6 Nkangamo-Uhuru'!S18-'Z6 Nkangamo-Uhuru'!P18*C1880/'Z6 Nkangamo-Uhuru'!G18</f>
        <v>1716.66625379343</v>
      </c>
      <c r="G1880" s="51" t="n">
        <f aca="false">'Z6 Nkangamo-Uhuru'!$B$8-E1880</f>
        <v>12.3300000000002</v>
      </c>
      <c r="H1880" s="52" t="n">
        <f aca="false">F1880-E1880</f>
        <v>22.4962537934293</v>
      </c>
      <c r="I1880" s="52" t="n">
        <f aca="false">MAX(H1880,G1880)</f>
        <v>22.4962537934293</v>
      </c>
      <c r="J1880" s="4" t="str">
        <f aca="false">IFERROR("PN"&amp;SMALL(PN_list,COUNTIF(PN_list,"&lt;"&amp;I1880*bar_per_m)+1),"&gt; max PN")</f>
        <v>PN10</v>
      </c>
      <c r="K1880" s="4" t="str">
        <f aca="false">IF(L1880="no","end at tank",IF(H1880&lt;0,"NEGATIVE",IF(H1880&lt;p_min-0.005,"low","OK")))</f>
        <v>OK</v>
      </c>
      <c r="L1880" s="4" t="s">
        <v>414</v>
      </c>
    </row>
    <row r="1881" customFormat="false" ht="15" hidden="false" customHeight="false" outlineLevel="0" collapsed="false">
      <c r="A1881" s="4" t="s">
        <v>44</v>
      </c>
      <c r="B1881" s="4" t="s">
        <v>373</v>
      </c>
      <c r="C1881" s="47" t="n">
        <v>13862.6</v>
      </c>
      <c r="D1881" s="48" t="n">
        <v>1695.5</v>
      </c>
      <c r="E1881" s="49" t="n">
        <f aca="false">D1881-cover</f>
        <v>1694.3</v>
      </c>
      <c r="F1881" s="50" t="n">
        <f aca="false">'Z6 Nkangamo-Uhuru'!S18-'Z6 Nkangamo-Uhuru'!P18*C1881/'Z6 Nkangamo-Uhuru'!G18</f>
        <v>1716.63510049048</v>
      </c>
      <c r="G1881" s="51" t="n">
        <f aca="false">'Z6 Nkangamo-Uhuru'!$B$8-E1881</f>
        <v>12.2</v>
      </c>
      <c r="H1881" s="52" t="n">
        <f aca="false">F1881-E1881</f>
        <v>22.3351004904825</v>
      </c>
      <c r="I1881" s="52" t="n">
        <f aca="false">MAX(H1881,G1881)</f>
        <v>22.3351004904825</v>
      </c>
      <c r="J1881" s="4" t="str">
        <f aca="false">IFERROR("PN"&amp;SMALL(PN_list,COUNTIF(PN_list,"&lt;"&amp;I1881*bar_per_m)+1),"&gt; max PN")</f>
        <v>PN10</v>
      </c>
      <c r="K1881" s="4" t="str">
        <f aca="false">IF(L1881="no","end at tank",IF(H1881&lt;0,"NEGATIVE",IF(H1881&lt;p_min-0.005,"low","OK")))</f>
        <v>OK</v>
      </c>
      <c r="L1881" s="4" t="s">
        <v>414</v>
      </c>
    </row>
    <row r="1882" customFormat="false" ht="15" hidden="false" customHeight="false" outlineLevel="0" collapsed="false">
      <c r="A1882" s="4" t="s">
        <v>44</v>
      </c>
      <c r="B1882" s="4" t="s">
        <v>373</v>
      </c>
      <c r="C1882" s="47" t="n">
        <v>13882.6</v>
      </c>
      <c r="D1882" s="48" t="n">
        <v>1695.35</v>
      </c>
      <c r="E1882" s="49" t="n">
        <f aca="false">D1882-cover</f>
        <v>1694.15</v>
      </c>
      <c r="F1882" s="50" t="n">
        <f aca="false">'Z6 Nkangamo-Uhuru'!S18-'Z6 Nkangamo-Uhuru'!P18*C1882/'Z6 Nkangamo-Uhuru'!G18</f>
        <v>1716.60394718754</v>
      </c>
      <c r="G1882" s="51" t="n">
        <f aca="false">'Z6 Nkangamo-Uhuru'!$B$8-E1882</f>
        <v>12.3500000000001</v>
      </c>
      <c r="H1882" s="52" t="n">
        <f aca="false">F1882-E1882</f>
        <v>22.4539471875357</v>
      </c>
      <c r="I1882" s="52" t="n">
        <f aca="false">MAX(H1882,G1882)</f>
        <v>22.4539471875357</v>
      </c>
      <c r="J1882" s="4" t="str">
        <f aca="false">IFERROR("PN"&amp;SMALL(PN_list,COUNTIF(PN_list,"&lt;"&amp;I1882*bar_per_m)+1),"&gt; max PN")</f>
        <v>PN10</v>
      </c>
      <c r="K1882" s="4" t="str">
        <f aca="false">IF(L1882="no","end at tank",IF(H1882&lt;0,"NEGATIVE",IF(H1882&lt;p_min-0.005,"low","OK")))</f>
        <v>OK</v>
      </c>
      <c r="L1882" s="4" t="s">
        <v>414</v>
      </c>
    </row>
    <row r="1883" customFormat="false" ht="15" hidden="false" customHeight="false" outlineLevel="0" collapsed="false">
      <c r="A1883" s="4" t="s">
        <v>44</v>
      </c>
      <c r="B1883" s="4" t="s">
        <v>373</v>
      </c>
      <c r="C1883" s="47" t="n">
        <v>13902.6</v>
      </c>
      <c r="D1883" s="48" t="n">
        <v>1695.75</v>
      </c>
      <c r="E1883" s="49" t="n">
        <f aca="false">D1883-cover</f>
        <v>1694.55</v>
      </c>
      <c r="F1883" s="50" t="n">
        <f aca="false">'Z6 Nkangamo-Uhuru'!S18-'Z6 Nkangamo-Uhuru'!P18*C1883/'Z6 Nkangamo-Uhuru'!G18</f>
        <v>1716.57279388459</v>
      </c>
      <c r="G1883" s="51" t="n">
        <f aca="false">'Z6 Nkangamo-Uhuru'!$B$8-E1883</f>
        <v>11.95</v>
      </c>
      <c r="H1883" s="52" t="n">
        <f aca="false">F1883-E1883</f>
        <v>22.0227938845887</v>
      </c>
      <c r="I1883" s="52" t="n">
        <f aca="false">MAX(H1883,G1883)</f>
        <v>22.0227938845887</v>
      </c>
      <c r="J1883" s="4" t="str">
        <f aca="false">IFERROR("PN"&amp;SMALL(PN_list,COUNTIF(PN_list,"&lt;"&amp;I1883*bar_per_m)+1),"&gt; max PN")</f>
        <v>PN10</v>
      </c>
      <c r="K1883" s="4" t="str">
        <f aca="false">IF(L1883="no","end at tank",IF(H1883&lt;0,"NEGATIVE",IF(H1883&lt;p_min-0.005,"low","OK")))</f>
        <v>OK</v>
      </c>
      <c r="L1883" s="4" t="s">
        <v>414</v>
      </c>
    </row>
    <row r="1884" customFormat="false" ht="15" hidden="false" customHeight="false" outlineLevel="0" collapsed="false">
      <c r="A1884" s="4" t="s">
        <v>44</v>
      </c>
      <c r="B1884" s="4" t="s">
        <v>373</v>
      </c>
      <c r="C1884" s="47" t="n">
        <v>13922.6</v>
      </c>
      <c r="D1884" s="48" t="n">
        <v>1695.79</v>
      </c>
      <c r="E1884" s="49" t="n">
        <f aca="false">D1884-cover</f>
        <v>1694.59</v>
      </c>
      <c r="F1884" s="50" t="n">
        <f aca="false">'Z6 Nkangamo-Uhuru'!S18-'Z6 Nkangamo-Uhuru'!P18*C1884/'Z6 Nkangamo-Uhuru'!G18</f>
        <v>1716.54164058164</v>
      </c>
      <c r="G1884" s="51" t="n">
        <f aca="false">'Z6 Nkangamo-Uhuru'!$B$8-E1884</f>
        <v>11.9100000000001</v>
      </c>
      <c r="H1884" s="52" t="n">
        <f aca="false">F1884-E1884</f>
        <v>21.9516405816421</v>
      </c>
      <c r="I1884" s="52" t="n">
        <f aca="false">MAX(H1884,G1884)</f>
        <v>21.9516405816421</v>
      </c>
      <c r="J1884" s="4" t="str">
        <f aca="false">IFERROR("PN"&amp;SMALL(PN_list,COUNTIF(PN_list,"&lt;"&amp;I1884*bar_per_m)+1),"&gt; max PN")</f>
        <v>PN10</v>
      </c>
      <c r="K1884" s="4" t="str">
        <f aca="false">IF(L1884="no","end at tank",IF(H1884&lt;0,"NEGATIVE",IF(H1884&lt;p_min-0.005,"low","OK")))</f>
        <v>OK</v>
      </c>
      <c r="L1884" s="4" t="s">
        <v>414</v>
      </c>
    </row>
    <row r="1885" customFormat="false" ht="15" hidden="false" customHeight="false" outlineLevel="0" collapsed="false">
      <c r="A1885" s="4" t="s">
        <v>44</v>
      </c>
      <c r="B1885" s="4" t="s">
        <v>373</v>
      </c>
      <c r="C1885" s="47" t="n">
        <v>13942.6</v>
      </c>
      <c r="D1885" s="48" t="n">
        <v>1695.89</v>
      </c>
      <c r="E1885" s="49" t="n">
        <f aca="false">D1885-cover</f>
        <v>1694.69</v>
      </c>
      <c r="F1885" s="50" t="n">
        <f aca="false">'Z6 Nkangamo-Uhuru'!S18-'Z6 Nkangamo-Uhuru'!P18*C1885/'Z6 Nkangamo-Uhuru'!G18</f>
        <v>1716.5104872787</v>
      </c>
      <c r="G1885" s="51" t="n">
        <f aca="false">'Z6 Nkangamo-Uhuru'!$B$8-E1885</f>
        <v>11.8099999999999</v>
      </c>
      <c r="H1885" s="52" t="n">
        <f aca="false">F1885-E1885</f>
        <v>21.8204872786951</v>
      </c>
      <c r="I1885" s="52" t="n">
        <f aca="false">MAX(H1885,G1885)</f>
        <v>21.8204872786951</v>
      </c>
      <c r="J1885" s="4" t="str">
        <f aca="false">IFERROR("PN"&amp;SMALL(PN_list,COUNTIF(PN_list,"&lt;"&amp;I1885*bar_per_m)+1),"&gt; max PN")</f>
        <v>PN10</v>
      </c>
      <c r="K1885" s="4" t="str">
        <f aca="false">IF(L1885="no","end at tank",IF(H1885&lt;0,"NEGATIVE",IF(H1885&lt;p_min-0.005,"low","OK")))</f>
        <v>OK</v>
      </c>
      <c r="L1885" s="4" t="s">
        <v>414</v>
      </c>
    </row>
    <row r="1886" customFormat="false" ht="15" hidden="false" customHeight="false" outlineLevel="0" collapsed="false">
      <c r="A1886" s="4" t="s">
        <v>44</v>
      </c>
      <c r="B1886" s="4" t="s">
        <v>373</v>
      </c>
      <c r="C1886" s="47" t="n">
        <v>13962.61</v>
      </c>
      <c r="D1886" s="48" t="n">
        <v>1696.23</v>
      </c>
      <c r="E1886" s="49" t="n">
        <f aca="false">D1886-cover</f>
        <v>1695.03</v>
      </c>
      <c r="F1886" s="50" t="n">
        <f aca="false">'Z6 Nkangamo-Uhuru'!S18-'Z6 Nkangamo-Uhuru'!P18*C1886/'Z6 Nkangamo-Uhuru'!G18</f>
        <v>1716.4793183991</v>
      </c>
      <c r="G1886" s="51" t="n">
        <f aca="false">'Z6 Nkangamo-Uhuru'!$B$8-E1886</f>
        <v>11.47</v>
      </c>
      <c r="H1886" s="52" t="n">
        <f aca="false">F1886-E1886</f>
        <v>21.4493183990969</v>
      </c>
      <c r="I1886" s="52" t="n">
        <f aca="false">MAX(H1886,G1886)</f>
        <v>21.4493183990969</v>
      </c>
      <c r="J1886" s="4" t="str">
        <f aca="false">IFERROR("PN"&amp;SMALL(PN_list,COUNTIF(PN_list,"&lt;"&amp;I1886*bar_per_m)+1),"&gt; max PN")</f>
        <v>PN10</v>
      </c>
      <c r="K1886" s="4" t="str">
        <f aca="false">IF(L1886="no","end at tank",IF(H1886&lt;0,"NEGATIVE",IF(H1886&lt;p_min-0.005,"low","OK")))</f>
        <v>OK</v>
      </c>
      <c r="L1886" s="4" t="s">
        <v>414</v>
      </c>
    </row>
    <row r="1887" customFormat="false" ht="15" hidden="false" customHeight="false" outlineLevel="0" collapsed="false">
      <c r="A1887" s="4" t="s">
        <v>44</v>
      </c>
      <c r="B1887" s="4" t="s">
        <v>373</v>
      </c>
      <c r="C1887" s="47" t="n">
        <v>13982.54</v>
      </c>
      <c r="D1887" s="48" t="n">
        <v>1696.92</v>
      </c>
      <c r="E1887" s="49" t="n">
        <f aca="false">D1887-cover</f>
        <v>1695.72</v>
      </c>
      <c r="F1887" s="50" t="n">
        <f aca="false">'Z6 Nkangamo-Uhuru'!S18-'Z6 Nkangamo-Uhuru'!P18*C1887/'Z6 Nkangamo-Uhuru'!G18</f>
        <v>1716.44827413271</v>
      </c>
      <c r="G1887" s="51" t="n">
        <f aca="false">'Z6 Nkangamo-Uhuru'!$B$8-E1887</f>
        <v>10.78</v>
      </c>
      <c r="H1887" s="52" t="n">
        <f aca="false">F1887-E1887</f>
        <v>20.7282741327103</v>
      </c>
      <c r="I1887" s="52" t="n">
        <f aca="false">MAX(H1887,G1887)</f>
        <v>20.7282741327103</v>
      </c>
      <c r="J1887" s="4" t="str">
        <f aca="false">IFERROR("PN"&amp;SMALL(PN_list,COUNTIF(PN_list,"&lt;"&amp;I1887*bar_per_m)+1),"&gt; max PN")</f>
        <v>PN10</v>
      </c>
      <c r="K1887" s="4" t="str">
        <f aca="false">IF(L1887="no","end at tank",IF(H1887&lt;0,"NEGATIVE",IF(H1887&lt;p_min-0.005,"low","OK")))</f>
        <v>OK</v>
      </c>
      <c r="L1887" s="4" t="s">
        <v>414</v>
      </c>
    </row>
    <row r="1888" customFormat="false" ht="15" hidden="false" customHeight="false" outlineLevel="0" collapsed="false">
      <c r="A1888" s="4" t="s">
        <v>44</v>
      </c>
      <c r="B1888" s="4" t="s">
        <v>373</v>
      </c>
      <c r="C1888" s="47" t="n">
        <v>14002.54</v>
      </c>
      <c r="D1888" s="48" t="n">
        <v>1697.27</v>
      </c>
      <c r="E1888" s="49" t="n">
        <f aca="false">D1888-cover</f>
        <v>1696.07</v>
      </c>
      <c r="F1888" s="50" t="n">
        <f aca="false">'Z6 Nkangamo-Uhuru'!S18-'Z6 Nkangamo-Uhuru'!P18*C1888/'Z6 Nkangamo-Uhuru'!G18</f>
        <v>1716.41712082976</v>
      </c>
      <c r="G1888" s="51" t="n">
        <f aca="false">'Z6 Nkangamo-Uhuru'!$B$8-E1888</f>
        <v>10.4300000000001</v>
      </c>
      <c r="H1888" s="52" t="n">
        <f aca="false">F1888-E1888</f>
        <v>20.3471208297635</v>
      </c>
      <c r="I1888" s="52" t="n">
        <f aca="false">MAX(H1888,G1888)</f>
        <v>20.3471208297635</v>
      </c>
      <c r="J1888" s="4" t="str">
        <f aca="false">IFERROR("PN"&amp;SMALL(PN_list,COUNTIF(PN_list,"&lt;"&amp;I1888*bar_per_m)+1),"&gt; max PN")</f>
        <v>PN10</v>
      </c>
      <c r="K1888" s="4" t="str">
        <f aca="false">IF(L1888="no","end at tank",IF(H1888&lt;0,"NEGATIVE",IF(H1888&lt;p_min-0.005,"low","OK")))</f>
        <v>OK</v>
      </c>
      <c r="L1888" s="4" t="s">
        <v>414</v>
      </c>
    </row>
    <row r="1889" customFormat="false" ht="15" hidden="false" customHeight="false" outlineLevel="0" collapsed="false">
      <c r="A1889" s="4" t="s">
        <v>44</v>
      </c>
      <c r="B1889" s="4" t="s">
        <v>373</v>
      </c>
      <c r="C1889" s="47" t="n">
        <v>14022.54</v>
      </c>
      <c r="D1889" s="48" t="n">
        <v>1697.27</v>
      </c>
      <c r="E1889" s="49" t="n">
        <f aca="false">D1889-cover</f>
        <v>1696.07</v>
      </c>
      <c r="F1889" s="50" t="n">
        <f aca="false">'Z6 Nkangamo-Uhuru'!S18-'Z6 Nkangamo-Uhuru'!P18*C1889/'Z6 Nkangamo-Uhuru'!G18</f>
        <v>1716.38596752682</v>
      </c>
      <c r="G1889" s="51" t="n">
        <f aca="false">'Z6 Nkangamo-Uhuru'!$B$8-E1889</f>
        <v>10.4300000000001</v>
      </c>
      <c r="H1889" s="52" t="n">
        <f aca="false">F1889-E1889</f>
        <v>20.3159675268169</v>
      </c>
      <c r="I1889" s="52" t="n">
        <f aca="false">MAX(H1889,G1889)</f>
        <v>20.3159675268169</v>
      </c>
      <c r="J1889" s="4" t="str">
        <f aca="false">IFERROR("PN"&amp;SMALL(PN_list,COUNTIF(PN_list,"&lt;"&amp;I1889*bar_per_m)+1),"&gt; max PN")</f>
        <v>PN10</v>
      </c>
      <c r="K1889" s="4" t="str">
        <f aca="false">IF(L1889="no","end at tank",IF(H1889&lt;0,"NEGATIVE",IF(H1889&lt;p_min-0.005,"low","OK")))</f>
        <v>OK</v>
      </c>
      <c r="L1889" s="4" t="s">
        <v>414</v>
      </c>
    </row>
    <row r="1890" customFormat="false" ht="15" hidden="false" customHeight="false" outlineLevel="0" collapsed="false">
      <c r="A1890" s="4" t="s">
        <v>44</v>
      </c>
      <c r="B1890" s="4" t="s">
        <v>373</v>
      </c>
      <c r="C1890" s="47" t="n">
        <v>14042.54</v>
      </c>
      <c r="D1890" s="48" t="n">
        <v>1697.54</v>
      </c>
      <c r="E1890" s="49" t="n">
        <f aca="false">D1890-cover</f>
        <v>1696.34</v>
      </c>
      <c r="F1890" s="50" t="n">
        <f aca="false">'Z6 Nkangamo-Uhuru'!S18-'Z6 Nkangamo-Uhuru'!P18*C1890/'Z6 Nkangamo-Uhuru'!G18</f>
        <v>1716.35481422387</v>
      </c>
      <c r="G1890" s="51" t="n">
        <f aca="false">'Z6 Nkangamo-Uhuru'!$B$8-E1890</f>
        <v>10.1600000000001</v>
      </c>
      <c r="H1890" s="52" t="n">
        <f aca="false">F1890-E1890</f>
        <v>20.01481422387</v>
      </c>
      <c r="I1890" s="52" t="n">
        <f aca="false">MAX(H1890,G1890)</f>
        <v>20.01481422387</v>
      </c>
      <c r="J1890" s="4" t="str">
        <f aca="false">IFERROR("PN"&amp;SMALL(PN_list,COUNTIF(PN_list,"&lt;"&amp;I1890*bar_per_m)+1),"&gt; max PN")</f>
        <v>PN10</v>
      </c>
      <c r="K1890" s="4" t="str">
        <f aca="false">IF(L1890="no","end at tank",IF(H1890&lt;0,"NEGATIVE",IF(H1890&lt;p_min-0.005,"low","OK")))</f>
        <v>OK</v>
      </c>
      <c r="L1890" s="4" t="s">
        <v>414</v>
      </c>
    </row>
    <row r="1891" customFormat="false" ht="15" hidden="false" customHeight="false" outlineLevel="0" collapsed="false">
      <c r="A1891" s="4" t="s">
        <v>44</v>
      </c>
      <c r="B1891" s="4" t="s">
        <v>373</v>
      </c>
      <c r="C1891" s="47" t="n">
        <v>14062.55</v>
      </c>
      <c r="D1891" s="48" t="n">
        <v>1697.72</v>
      </c>
      <c r="E1891" s="49" t="n">
        <f aca="false">D1891-cover</f>
        <v>1696.52</v>
      </c>
      <c r="F1891" s="50" t="n">
        <f aca="false">'Z6 Nkangamo-Uhuru'!S18-'Z6 Nkangamo-Uhuru'!P18*C1891/'Z6 Nkangamo-Uhuru'!G18</f>
        <v>1716.32364534427</v>
      </c>
      <c r="G1891" s="51" t="n">
        <f aca="false">'Z6 Nkangamo-Uhuru'!$B$8-E1891</f>
        <v>9.98000000000002</v>
      </c>
      <c r="H1891" s="52" t="n">
        <f aca="false">F1891-E1891</f>
        <v>19.8036453442717</v>
      </c>
      <c r="I1891" s="52" t="n">
        <f aca="false">MAX(H1891,G1891)</f>
        <v>19.8036453442717</v>
      </c>
      <c r="J1891" s="4" t="str">
        <f aca="false">IFERROR("PN"&amp;SMALL(PN_list,COUNTIF(PN_list,"&lt;"&amp;I1891*bar_per_m)+1),"&gt; max PN")</f>
        <v>PN10</v>
      </c>
      <c r="K1891" s="4" t="str">
        <f aca="false">IF(L1891="no","end at tank",IF(H1891&lt;0,"NEGATIVE",IF(H1891&lt;p_min-0.005,"low","OK")))</f>
        <v>OK</v>
      </c>
      <c r="L1891" s="4" t="s">
        <v>414</v>
      </c>
    </row>
    <row r="1892" customFormat="false" ht="15" hidden="false" customHeight="false" outlineLevel="0" collapsed="false">
      <c r="A1892" s="4" t="s">
        <v>44</v>
      </c>
      <c r="B1892" s="4" t="s">
        <v>373</v>
      </c>
      <c r="C1892" s="47" t="n">
        <v>14082.57</v>
      </c>
      <c r="D1892" s="48" t="n">
        <v>1698.74</v>
      </c>
      <c r="E1892" s="49" t="n">
        <f aca="false">D1892-cover</f>
        <v>1697.54</v>
      </c>
      <c r="F1892" s="50" t="n">
        <f aca="false">'Z6 Nkangamo-Uhuru'!S18-'Z6 Nkangamo-Uhuru'!P18*C1892/'Z6 Nkangamo-Uhuru'!G18</f>
        <v>1716.29246088802</v>
      </c>
      <c r="G1892" s="51" t="n">
        <f aca="false">'Z6 Nkangamo-Uhuru'!$B$8-E1892</f>
        <v>8.96000000000004</v>
      </c>
      <c r="H1892" s="52" t="n">
        <f aca="false">F1892-E1892</f>
        <v>18.7524608880219</v>
      </c>
      <c r="I1892" s="52" t="n">
        <f aca="false">MAX(H1892,G1892)</f>
        <v>18.7524608880219</v>
      </c>
      <c r="J1892" s="4" t="str">
        <f aca="false">IFERROR("PN"&amp;SMALL(PN_list,COUNTIF(PN_list,"&lt;"&amp;I1892*bar_per_m)+1),"&gt; max PN")</f>
        <v>PN10</v>
      </c>
      <c r="K1892" s="4" t="str">
        <f aca="false">IF(L1892="no","end at tank",IF(H1892&lt;0,"NEGATIVE",IF(H1892&lt;p_min-0.005,"low","OK")))</f>
        <v>OK</v>
      </c>
      <c r="L1892" s="4" t="s">
        <v>414</v>
      </c>
    </row>
    <row r="1893" customFormat="false" ht="15" hidden="false" customHeight="false" outlineLevel="0" collapsed="false">
      <c r="A1893" s="4" t="s">
        <v>44</v>
      </c>
      <c r="B1893" s="4" t="s">
        <v>373</v>
      </c>
      <c r="C1893" s="47" t="n">
        <v>14102.57</v>
      </c>
      <c r="D1893" s="48" t="n">
        <v>1698.68</v>
      </c>
      <c r="E1893" s="49" t="n">
        <f aca="false">D1893-cover</f>
        <v>1697.48</v>
      </c>
      <c r="F1893" s="50" t="n">
        <f aca="false">'Z6 Nkangamo-Uhuru'!S18-'Z6 Nkangamo-Uhuru'!P18*C1893/'Z6 Nkangamo-Uhuru'!G18</f>
        <v>1716.26130758508</v>
      </c>
      <c r="G1893" s="51" t="n">
        <f aca="false">'Z6 Nkangamo-Uhuru'!$B$8-E1893</f>
        <v>9.01999999999998</v>
      </c>
      <c r="H1893" s="52" t="n">
        <f aca="false">F1893-E1893</f>
        <v>18.781307585075</v>
      </c>
      <c r="I1893" s="52" t="n">
        <f aca="false">MAX(H1893,G1893)</f>
        <v>18.781307585075</v>
      </c>
      <c r="J1893" s="4" t="str">
        <f aca="false">IFERROR("PN"&amp;SMALL(PN_list,COUNTIF(PN_list,"&lt;"&amp;I1893*bar_per_m)+1),"&gt; max PN")</f>
        <v>PN10</v>
      </c>
      <c r="K1893" s="4" t="str">
        <f aca="false">IF(L1893="no","end at tank",IF(H1893&lt;0,"NEGATIVE",IF(H1893&lt;p_min-0.005,"low","OK")))</f>
        <v>OK</v>
      </c>
      <c r="L1893" s="4" t="s">
        <v>414</v>
      </c>
    </row>
    <row r="1894" customFormat="false" ht="15" hidden="false" customHeight="false" outlineLevel="0" collapsed="false">
      <c r="A1894" s="4" t="s">
        <v>44</v>
      </c>
      <c r="B1894" s="4" t="s">
        <v>373</v>
      </c>
      <c r="C1894" s="47" t="n">
        <v>14122.57</v>
      </c>
      <c r="D1894" s="48" t="n">
        <v>1698.93</v>
      </c>
      <c r="E1894" s="49" t="n">
        <f aca="false">D1894-cover</f>
        <v>1697.73</v>
      </c>
      <c r="F1894" s="50" t="n">
        <f aca="false">'Z6 Nkangamo-Uhuru'!S18-'Z6 Nkangamo-Uhuru'!P18*C1894/'Z6 Nkangamo-Uhuru'!G18</f>
        <v>1716.23015428213</v>
      </c>
      <c r="G1894" s="51" t="n">
        <f aca="false">'Z6 Nkangamo-Uhuru'!$B$8-E1894</f>
        <v>8.76999999999998</v>
      </c>
      <c r="H1894" s="52" t="n">
        <f aca="false">F1894-E1894</f>
        <v>18.5001542821281</v>
      </c>
      <c r="I1894" s="52" t="n">
        <f aca="false">MAX(H1894,G1894)</f>
        <v>18.5001542821281</v>
      </c>
      <c r="J1894" s="4" t="str">
        <f aca="false">IFERROR("PN"&amp;SMALL(PN_list,COUNTIF(PN_list,"&lt;"&amp;I1894*bar_per_m)+1),"&gt; max PN")</f>
        <v>PN10</v>
      </c>
      <c r="K1894" s="4" t="str">
        <f aca="false">IF(L1894="no","end at tank",IF(H1894&lt;0,"NEGATIVE",IF(H1894&lt;p_min-0.005,"low","OK")))</f>
        <v>OK</v>
      </c>
      <c r="L1894" s="4" t="s">
        <v>414</v>
      </c>
    </row>
    <row r="1895" customFormat="false" ht="15" hidden="false" customHeight="false" outlineLevel="0" collapsed="false">
      <c r="A1895" s="4" t="s">
        <v>44</v>
      </c>
      <c r="B1895" s="4" t="s">
        <v>373</v>
      </c>
      <c r="C1895" s="47" t="n">
        <v>14142.45</v>
      </c>
      <c r="D1895" s="48" t="n">
        <v>1699.58</v>
      </c>
      <c r="E1895" s="49" t="n">
        <f aca="false">D1895-cover</f>
        <v>1698.38</v>
      </c>
      <c r="F1895" s="50" t="n">
        <f aca="false">'Z6 Nkangamo-Uhuru'!S18-'Z6 Nkangamo-Uhuru'!P18*C1895/'Z6 Nkangamo-Uhuru'!G18</f>
        <v>1716.199187899</v>
      </c>
      <c r="G1895" s="51" t="n">
        <f aca="false">'Z6 Nkangamo-Uhuru'!$B$8-E1895</f>
        <v>8.12000000000012</v>
      </c>
      <c r="H1895" s="52" t="n">
        <f aca="false">F1895-E1895</f>
        <v>17.8191878989992</v>
      </c>
      <c r="I1895" s="52" t="n">
        <f aca="false">MAX(H1895,G1895)</f>
        <v>17.8191878989992</v>
      </c>
      <c r="J1895" s="4" t="str">
        <f aca="false">IFERROR("PN"&amp;SMALL(PN_list,COUNTIF(PN_list,"&lt;"&amp;I1895*bar_per_m)+1),"&gt; max PN")</f>
        <v>PN10</v>
      </c>
      <c r="K1895" s="4" t="str">
        <f aca="false">IF(L1895="no","end at tank",IF(H1895&lt;0,"NEGATIVE",IF(H1895&lt;p_min-0.005,"low","OK")))</f>
        <v>OK</v>
      </c>
      <c r="L1895" s="4" t="s">
        <v>414</v>
      </c>
    </row>
    <row r="1896" customFormat="false" ht="15" hidden="false" customHeight="false" outlineLevel="0" collapsed="false">
      <c r="A1896" s="4" t="s">
        <v>44</v>
      </c>
      <c r="B1896" s="4" t="s">
        <v>373</v>
      </c>
      <c r="C1896" s="47" t="n">
        <v>14162.46</v>
      </c>
      <c r="D1896" s="48" t="n">
        <v>1699.85</v>
      </c>
      <c r="E1896" s="49" t="n">
        <f aca="false">D1896-cover</f>
        <v>1698.65</v>
      </c>
      <c r="F1896" s="50" t="n">
        <f aca="false">'Z6 Nkangamo-Uhuru'!S18-'Z6 Nkangamo-Uhuru'!P18*C1896/'Z6 Nkangamo-Uhuru'!G18</f>
        <v>1716.1680190194</v>
      </c>
      <c r="G1896" s="51" t="n">
        <f aca="false">'Z6 Nkangamo-Uhuru'!$B$8-E1896</f>
        <v>7.85000000000014</v>
      </c>
      <c r="H1896" s="52" t="n">
        <f aca="false">F1896-E1896</f>
        <v>17.5180190194008</v>
      </c>
      <c r="I1896" s="52" t="n">
        <f aca="false">MAX(H1896,G1896)</f>
        <v>17.5180190194008</v>
      </c>
      <c r="J1896" s="4" t="str">
        <f aca="false">IFERROR("PN"&amp;SMALL(PN_list,COUNTIF(PN_list,"&lt;"&amp;I1896*bar_per_m)+1),"&gt; max PN")</f>
        <v>PN10</v>
      </c>
      <c r="K1896" s="4" t="str">
        <f aca="false">IF(L1896="no","end at tank",IF(H1896&lt;0,"NEGATIVE",IF(H1896&lt;p_min-0.005,"low","OK")))</f>
        <v>OK</v>
      </c>
      <c r="L1896" s="4" t="s">
        <v>414</v>
      </c>
    </row>
    <row r="1897" customFormat="false" ht="15" hidden="false" customHeight="false" outlineLevel="0" collapsed="false">
      <c r="A1897" s="4" t="s">
        <v>44</v>
      </c>
      <c r="B1897" s="4" t="s">
        <v>373</v>
      </c>
      <c r="C1897" s="47" t="n">
        <v>14182.46</v>
      </c>
      <c r="D1897" s="48" t="n">
        <v>1700.43</v>
      </c>
      <c r="E1897" s="49" t="n">
        <f aca="false">D1897-cover</f>
        <v>1699.23</v>
      </c>
      <c r="F1897" s="50" t="n">
        <f aca="false">'Z6 Nkangamo-Uhuru'!S18-'Z6 Nkangamo-Uhuru'!P18*C1897/'Z6 Nkangamo-Uhuru'!G18</f>
        <v>1716.13686571645</v>
      </c>
      <c r="G1897" s="51" t="n">
        <f aca="false">'Z6 Nkangamo-Uhuru'!$B$8-E1897</f>
        <v>7.26999999999998</v>
      </c>
      <c r="H1897" s="52" t="n">
        <f aca="false">F1897-E1897</f>
        <v>16.9068657164539</v>
      </c>
      <c r="I1897" s="52" t="n">
        <f aca="false">MAX(H1897,G1897)</f>
        <v>16.9068657164539</v>
      </c>
      <c r="J1897" s="4" t="str">
        <f aca="false">IFERROR("PN"&amp;SMALL(PN_list,COUNTIF(PN_list,"&lt;"&amp;I1897*bar_per_m)+1),"&gt; max PN")</f>
        <v>PN10</v>
      </c>
      <c r="K1897" s="4" t="str">
        <f aca="false">IF(L1897="no","end at tank",IF(H1897&lt;0,"NEGATIVE",IF(H1897&lt;p_min-0.005,"low","OK")))</f>
        <v>OK</v>
      </c>
      <c r="L1897" s="4" t="s">
        <v>414</v>
      </c>
    </row>
    <row r="1898" customFormat="false" ht="15" hidden="false" customHeight="false" outlineLevel="0" collapsed="false">
      <c r="A1898" s="4" t="s">
        <v>44</v>
      </c>
      <c r="B1898" s="4" t="s">
        <v>373</v>
      </c>
      <c r="C1898" s="47" t="n">
        <v>14202.48</v>
      </c>
      <c r="D1898" s="48" t="n">
        <v>1701.31</v>
      </c>
      <c r="E1898" s="49" t="n">
        <f aca="false">D1898-cover</f>
        <v>1700.11</v>
      </c>
      <c r="F1898" s="50" t="n">
        <f aca="false">'Z6 Nkangamo-Uhuru'!S18-'Z6 Nkangamo-Uhuru'!P18*C1898/'Z6 Nkangamo-Uhuru'!G18</f>
        <v>1716.1056812602</v>
      </c>
      <c r="G1898" s="51" t="n">
        <f aca="false">'Z6 Nkangamo-Uhuru'!$B$8-E1898</f>
        <v>6.3900000000001</v>
      </c>
      <c r="H1898" s="52" t="n">
        <f aca="false">F1898-E1898</f>
        <v>15.9956812602043</v>
      </c>
      <c r="I1898" s="52" t="n">
        <f aca="false">MAX(H1898,G1898)</f>
        <v>15.9956812602043</v>
      </c>
      <c r="J1898" s="4" t="str">
        <f aca="false">IFERROR("PN"&amp;SMALL(PN_list,COUNTIF(PN_list,"&lt;"&amp;I1898*bar_per_m)+1),"&gt; max PN")</f>
        <v>PN10</v>
      </c>
      <c r="K1898" s="4" t="str">
        <f aca="false">IF(L1898="no","end at tank",IF(H1898&lt;0,"NEGATIVE",IF(H1898&lt;p_min-0.005,"low","OK")))</f>
        <v>OK</v>
      </c>
      <c r="L1898" s="4" t="s">
        <v>414</v>
      </c>
    </row>
    <row r="1899" customFormat="false" ht="15" hidden="false" customHeight="false" outlineLevel="0" collapsed="false">
      <c r="A1899" s="4" t="s">
        <v>44</v>
      </c>
      <c r="B1899" s="4" t="s">
        <v>373</v>
      </c>
      <c r="C1899" s="47" t="n">
        <v>14222.65</v>
      </c>
      <c r="D1899" s="48" t="n">
        <v>1701.53</v>
      </c>
      <c r="E1899" s="49" t="n">
        <f aca="false">D1899-cover</f>
        <v>1700.33</v>
      </c>
      <c r="F1899" s="50" t="n">
        <f aca="false">'Z6 Nkangamo-Uhuru'!S18-'Z6 Nkangamo-Uhuru'!P18*C1899/'Z6 Nkangamo-Uhuru'!G18</f>
        <v>1716.07426315418</v>
      </c>
      <c r="G1899" s="51" t="n">
        <f aca="false">'Z6 Nkangamo-Uhuru'!$B$8-E1899</f>
        <v>6.17000000000007</v>
      </c>
      <c r="H1899" s="52" t="n">
        <f aca="false">F1899-E1899</f>
        <v>15.7442631541824</v>
      </c>
      <c r="I1899" s="52" t="n">
        <f aca="false">MAX(H1899,G1899)</f>
        <v>15.7442631541824</v>
      </c>
      <c r="J1899" s="4" t="str">
        <f aca="false">IFERROR("PN"&amp;SMALL(PN_list,COUNTIF(PN_list,"&lt;"&amp;I1899*bar_per_m)+1),"&gt; max PN")</f>
        <v>PN10</v>
      </c>
      <c r="K1899" s="4" t="str">
        <f aca="false">IF(L1899="no","end at tank",IF(H1899&lt;0,"NEGATIVE",IF(H1899&lt;p_min-0.005,"low","OK")))</f>
        <v>OK</v>
      </c>
      <c r="L1899" s="4" t="s">
        <v>414</v>
      </c>
    </row>
    <row r="1900" customFormat="false" ht="15" hidden="false" customHeight="false" outlineLevel="0" collapsed="false">
      <c r="A1900" s="4" t="s">
        <v>44</v>
      </c>
      <c r="B1900" s="4" t="s">
        <v>373</v>
      </c>
      <c r="C1900" s="47" t="n">
        <v>14242.66</v>
      </c>
      <c r="D1900" s="48" t="n">
        <v>1701.72</v>
      </c>
      <c r="E1900" s="49" t="n">
        <f aca="false">D1900-cover</f>
        <v>1700.52</v>
      </c>
      <c r="F1900" s="50" t="n">
        <f aca="false">'Z6 Nkangamo-Uhuru'!S18-'Z6 Nkangamo-Uhuru'!P18*C1900/'Z6 Nkangamo-Uhuru'!G18</f>
        <v>1716.04309427458</v>
      </c>
      <c r="G1900" s="51" t="n">
        <f aca="false">'Z6 Nkangamo-Uhuru'!$B$8-E1900</f>
        <v>5.98000000000002</v>
      </c>
      <c r="H1900" s="52" t="n">
        <f aca="false">F1900-E1900</f>
        <v>15.5230942745839</v>
      </c>
      <c r="I1900" s="52" t="n">
        <f aca="false">MAX(H1900,G1900)</f>
        <v>15.5230942745839</v>
      </c>
      <c r="J1900" s="4" t="str">
        <f aca="false">IFERROR("PN"&amp;SMALL(PN_list,COUNTIF(PN_list,"&lt;"&amp;I1900*bar_per_m)+1),"&gt; max PN")</f>
        <v>PN10</v>
      </c>
      <c r="K1900" s="4" t="str">
        <f aca="false">IF(L1900="no","end at tank",IF(H1900&lt;0,"NEGATIVE",IF(H1900&lt;p_min-0.005,"low","OK")))</f>
        <v>OK</v>
      </c>
      <c r="L1900" s="4" t="s">
        <v>414</v>
      </c>
    </row>
    <row r="1901" customFormat="false" ht="15" hidden="false" customHeight="false" outlineLevel="0" collapsed="false">
      <c r="A1901" s="4" t="s">
        <v>44</v>
      </c>
      <c r="B1901" s="4" t="s">
        <v>373</v>
      </c>
      <c r="C1901" s="47" t="n">
        <v>14262.66</v>
      </c>
      <c r="D1901" s="48" t="n">
        <v>1702.03</v>
      </c>
      <c r="E1901" s="49" t="n">
        <f aca="false">D1901-cover</f>
        <v>1700.83</v>
      </c>
      <c r="F1901" s="50" t="n">
        <f aca="false">'Z6 Nkangamo-Uhuru'!S18-'Z6 Nkangamo-Uhuru'!P18*C1901/'Z6 Nkangamo-Uhuru'!G18</f>
        <v>1716.01194097164</v>
      </c>
      <c r="G1901" s="51" t="n">
        <f aca="false">'Z6 Nkangamo-Uhuru'!$B$8-E1901</f>
        <v>5.67000000000007</v>
      </c>
      <c r="H1901" s="52" t="n">
        <f aca="false">F1901-E1901</f>
        <v>15.1819409716372</v>
      </c>
      <c r="I1901" s="52" t="n">
        <f aca="false">MAX(H1901,G1901)</f>
        <v>15.1819409716372</v>
      </c>
      <c r="J1901" s="4" t="str">
        <f aca="false">IFERROR("PN"&amp;SMALL(PN_list,COUNTIF(PN_list,"&lt;"&amp;I1901*bar_per_m)+1),"&gt; max PN")</f>
        <v>PN10</v>
      </c>
      <c r="K1901" s="4" t="str">
        <f aca="false">IF(L1901="no","end at tank",IF(H1901&lt;0,"NEGATIVE",IF(H1901&lt;p_min-0.005,"low","OK")))</f>
        <v>OK</v>
      </c>
      <c r="L1901" s="4" t="s">
        <v>414</v>
      </c>
    </row>
    <row r="1902" customFormat="false" ht="15" hidden="false" customHeight="false" outlineLevel="0" collapsed="false">
      <c r="A1902" s="4" t="s">
        <v>44</v>
      </c>
      <c r="B1902" s="4" t="s">
        <v>373</v>
      </c>
      <c r="C1902" s="47" t="n">
        <v>14282.66</v>
      </c>
      <c r="D1902" s="48" t="n">
        <v>1702.18</v>
      </c>
      <c r="E1902" s="49" t="n">
        <f aca="false">D1902-cover</f>
        <v>1700.98</v>
      </c>
      <c r="F1902" s="50" t="n">
        <f aca="false">'Z6 Nkangamo-Uhuru'!S18-'Z6 Nkangamo-Uhuru'!P18*C1902/'Z6 Nkangamo-Uhuru'!G18</f>
        <v>1715.98078766869</v>
      </c>
      <c r="G1902" s="51" t="n">
        <f aca="false">'Z6 Nkangamo-Uhuru'!$B$8-E1902</f>
        <v>5.51999999999998</v>
      </c>
      <c r="H1902" s="52" t="n">
        <f aca="false">F1902-E1902</f>
        <v>15.0007876686902</v>
      </c>
      <c r="I1902" s="52" t="n">
        <f aca="false">MAX(H1902,G1902)</f>
        <v>15.0007876686902</v>
      </c>
      <c r="J1902" s="4" t="str">
        <f aca="false">IFERROR("PN"&amp;SMALL(PN_list,COUNTIF(PN_list,"&lt;"&amp;I1902*bar_per_m)+1),"&gt; max PN")</f>
        <v>PN10</v>
      </c>
      <c r="K1902" s="4" t="str">
        <f aca="false">IF(L1902="no","end at tank",IF(H1902&lt;0,"NEGATIVE",IF(H1902&lt;p_min-0.005,"low","OK")))</f>
        <v>OK</v>
      </c>
      <c r="L1902" s="4" t="s">
        <v>414</v>
      </c>
    </row>
    <row r="1903" customFormat="false" ht="15" hidden="false" customHeight="false" outlineLevel="0" collapsed="false">
      <c r="A1903" s="4" t="s">
        <v>44</v>
      </c>
      <c r="B1903" s="4" t="s">
        <v>373</v>
      </c>
      <c r="C1903" s="47" t="n">
        <v>14302.66</v>
      </c>
      <c r="D1903" s="48" t="n">
        <v>1702.18</v>
      </c>
      <c r="E1903" s="49" t="n">
        <f aca="false">D1903-cover</f>
        <v>1700.98</v>
      </c>
      <c r="F1903" s="50" t="n">
        <f aca="false">'Z6 Nkangamo-Uhuru'!S18-'Z6 Nkangamo-Uhuru'!P18*C1903/'Z6 Nkangamo-Uhuru'!G18</f>
        <v>1715.94963436574</v>
      </c>
      <c r="G1903" s="51" t="n">
        <f aca="false">'Z6 Nkangamo-Uhuru'!$B$8-E1903</f>
        <v>5.51999999999998</v>
      </c>
      <c r="H1903" s="52" t="n">
        <f aca="false">F1903-E1903</f>
        <v>14.9696343657433</v>
      </c>
      <c r="I1903" s="52" t="n">
        <f aca="false">MAX(H1903,G1903)</f>
        <v>14.9696343657433</v>
      </c>
      <c r="J1903" s="4" t="str">
        <f aca="false">IFERROR("PN"&amp;SMALL(PN_list,COUNTIF(PN_list,"&lt;"&amp;I1903*bar_per_m)+1),"&gt; max PN")</f>
        <v>PN10</v>
      </c>
      <c r="K1903" s="4" t="str">
        <f aca="false">IF(L1903="no","end at tank",IF(H1903&lt;0,"NEGATIVE",IF(H1903&lt;p_min-0.005,"low","OK")))</f>
        <v>OK</v>
      </c>
      <c r="L1903" s="4" t="s">
        <v>414</v>
      </c>
    </row>
    <row r="1904" customFormat="false" ht="15" hidden="false" customHeight="false" outlineLevel="0" collapsed="false">
      <c r="A1904" s="4" t="s">
        <v>44</v>
      </c>
      <c r="B1904" s="4" t="s">
        <v>373</v>
      </c>
      <c r="C1904" s="47" t="n">
        <v>14322.7</v>
      </c>
      <c r="D1904" s="48" t="n">
        <v>1703.5</v>
      </c>
      <c r="E1904" s="49" t="n">
        <f aca="false">D1904-cover</f>
        <v>1702.3</v>
      </c>
      <c r="F1904" s="50" t="n">
        <f aca="false">'Z6 Nkangamo-Uhuru'!S18-'Z6 Nkangamo-Uhuru'!P18*C1904/'Z6 Nkangamo-Uhuru'!G18</f>
        <v>1715.91841875619</v>
      </c>
      <c r="G1904" s="51" t="n">
        <f aca="false">'Z6 Nkangamo-Uhuru'!$B$8-E1904</f>
        <v>4.20000000000005</v>
      </c>
      <c r="H1904" s="52" t="n">
        <f aca="false">F1904-E1904</f>
        <v>13.6184187561908</v>
      </c>
      <c r="I1904" s="52" t="n">
        <f aca="false">MAX(H1904,G1904)</f>
        <v>13.6184187561908</v>
      </c>
      <c r="J1904" s="4" t="str">
        <f aca="false">IFERROR("PN"&amp;SMALL(PN_list,COUNTIF(PN_list,"&lt;"&amp;I1904*bar_per_m)+1),"&gt; max PN")</f>
        <v>PN10</v>
      </c>
      <c r="K1904" s="4" t="str">
        <f aca="false">IF(L1904="no","end at tank",IF(H1904&lt;0,"NEGATIVE",IF(H1904&lt;p_min-0.005,"low","OK")))</f>
        <v>OK</v>
      </c>
      <c r="L1904" s="4" t="s">
        <v>414</v>
      </c>
    </row>
    <row r="1905" customFormat="false" ht="15" hidden="false" customHeight="false" outlineLevel="0" collapsed="false">
      <c r="A1905" s="4" t="s">
        <v>44</v>
      </c>
      <c r="B1905" s="4" t="s">
        <v>373</v>
      </c>
      <c r="C1905" s="47" t="n">
        <v>14342.63</v>
      </c>
      <c r="D1905" s="48" t="n">
        <v>1704.1</v>
      </c>
      <c r="E1905" s="49" t="n">
        <f aca="false">D1905-cover</f>
        <v>1702.9</v>
      </c>
      <c r="F1905" s="50" t="n">
        <f aca="false">'Z6 Nkangamo-Uhuru'!S18-'Z6 Nkangamo-Uhuru'!P18*C1905/'Z6 Nkangamo-Uhuru'!G18</f>
        <v>1715.8873744898</v>
      </c>
      <c r="G1905" s="51" t="n">
        <f aca="false">'Z6 Nkangamo-Uhuru'!$B$8-E1905</f>
        <v>3.60000000000014</v>
      </c>
      <c r="H1905" s="52" t="n">
        <f aca="false">F1905-E1905</f>
        <v>12.9873744898043</v>
      </c>
      <c r="I1905" s="52" t="n">
        <f aca="false">MAX(H1905,G1905)</f>
        <v>12.9873744898043</v>
      </c>
      <c r="J1905" s="4" t="str">
        <f aca="false">IFERROR("PN"&amp;SMALL(PN_list,COUNTIF(PN_list,"&lt;"&amp;I1905*bar_per_m)+1),"&gt; max PN")</f>
        <v>PN10</v>
      </c>
      <c r="K1905" s="4" t="str">
        <f aca="false">IF(L1905="no","end at tank",IF(H1905&lt;0,"NEGATIVE",IF(H1905&lt;p_min-0.005,"low","OK")))</f>
        <v>OK</v>
      </c>
      <c r="L1905" s="4" t="s">
        <v>414</v>
      </c>
    </row>
    <row r="1906" customFormat="false" ht="15" hidden="false" customHeight="false" outlineLevel="0" collapsed="false">
      <c r="A1906" s="4" t="s">
        <v>44</v>
      </c>
      <c r="B1906" s="4" t="s">
        <v>373</v>
      </c>
      <c r="C1906" s="47" t="n">
        <v>14362.63</v>
      </c>
      <c r="D1906" s="48" t="n">
        <v>1704.22</v>
      </c>
      <c r="E1906" s="49" t="n">
        <f aca="false">D1906-cover</f>
        <v>1703.02</v>
      </c>
      <c r="F1906" s="50" t="n">
        <f aca="false">'Z6 Nkangamo-Uhuru'!S18-'Z6 Nkangamo-Uhuru'!P18*C1906/'Z6 Nkangamo-Uhuru'!G18</f>
        <v>1715.85622118686</v>
      </c>
      <c r="G1906" s="51" t="n">
        <f aca="false">'Z6 Nkangamo-Uhuru'!$B$8-E1906</f>
        <v>3.48000000000002</v>
      </c>
      <c r="H1906" s="52" t="n">
        <f aca="false">F1906-E1906</f>
        <v>12.8362211868573</v>
      </c>
      <c r="I1906" s="52" t="n">
        <f aca="false">MAX(H1906,G1906)</f>
        <v>12.8362211868573</v>
      </c>
      <c r="J1906" s="4" t="str">
        <f aca="false">IFERROR("PN"&amp;SMALL(PN_list,COUNTIF(PN_list,"&lt;"&amp;I1906*bar_per_m)+1),"&gt; max PN")</f>
        <v>PN10</v>
      </c>
      <c r="K1906" s="4" t="str">
        <f aca="false">IF(L1906="no","end at tank",IF(H1906&lt;0,"NEGATIVE",IF(H1906&lt;p_min-0.005,"low","OK")))</f>
        <v>OK</v>
      </c>
      <c r="L1906" s="4" t="s">
        <v>414</v>
      </c>
    </row>
    <row r="1907" customFormat="false" ht="15" hidden="false" customHeight="false" outlineLevel="0" collapsed="false">
      <c r="A1907" s="4" t="s">
        <v>44</v>
      </c>
      <c r="B1907" s="4" t="s">
        <v>373</v>
      </c>
      <c r="C1907" s="47" t="n">
        <v>14382.63</v>
      </c>
      <c r="D1907" s="48" t="n">
        <v>1704.55</v>
      </c>
      <c r="E1907" s="49" t="n">
        <f aca="false">D1907-cover</f>
        <v>1703.35</v>
      </c>
      <c r="F1907" s="50" t="n">
        <f aca="false">'Z6 Nkangamo-Uhuru'!S18-'Z6 Nkangamo-Uhuru'!P18*C1907/'Z6 Nkangamo-Uhuru'!G18</f>
        <v>1715.82506788391</v>
      </c>
      <c r="G1907" s="51" t="n">
        <f aca="false">'Z6 Nkangamo-Uhuru'!$B$8-E1907</f>
        <v>3.15000000000009</v>
      </c>
      <c r="H1907" s="52" t="n">
        <f aca="false">F1907-E1907</f>
        <v>12.4750678839107</v>
      </c>
      <c r="I1907" s="52" t="n">
        <f aca="false">MAX(H1907,G1907)</f>
        <v>12.4750678839107</v>
      </c>
      <c r="J1907" s="4" t="str">
        <f aca="false">IFERROR("PN"&amp;SMALL(PN_list,COUNTIF(PN_list,"&lt;"&amp;I1907*bar_per_m)+1),"&gt; max PN")</f>
        <v>PN10</v>
      </c>
      <c r="K1907" s="4" t="str">
        <f aca="false">IF(L1907="no","end at tank",IF(H1907&lt;0,"NEGATIVE",IF(H1907&lt;p_min-0.005,"low","OK")))</f>
        <v>OK</v>
      </c>
      <c r="L1907" s="4" t="s">
        <v>414</v>
      </c>
    </row>
    <row r="1908" customFormat="false" ht="15" hidden="false" customHeight="false" outlineLevel="0" collapsed="false">
      <c r="A1908" s="4" t="s">
        <v>44</v>
      </c>
      <c r="B1908" s="4" t="s">
        <v>373</v>
      </c>
      <c r="C1908" s="47" t="n">
        <v>14402.66</v>
      </c>
      <c r="D1908" s="48" t="n">
        <v>1705.63</v>
      </c>
      <c r="E1908" s="49" t="n">
        <f aca="false">D1908-cover</f>
        <v>1704.43</v>
      </c>
      <c r="F1908" s="50" t="n">
        <f aca="false">'Z6 Nkangamo-Uhuru'!S18-'Z6 Nkangamo-Uhuru'!P18*C1908/'Z6 Nkangamo-Uhuru'!G18</f>
        <v>1715.79386785101</v>
      </c>
      <c r="G1908" s="51" t="n">
        <f aca="false">'Z6 Nkangamo-Uhuru'!$B$8-E1908</f>
        <v>2.06999999999994</v>
      </c>
      <c r="H1908" s="52" t="n">
        <f aca="false">F1908-E1908</f>
        <v>11.3638678510092</v>
      </c>
      <c r="I1908" s="52" t="n">
        <f aca="false">MAX(H1908,G1908)</f>
        <v>11.3638678510092</v>
      </c>
      <c r="J1908" s="4" t="str">
        <f aca="false">IFERROR("PN"&amp;SMALL(PN_list,COUNTIF(PN_list,"&lt;"&amp;I1908*bar_per_m)+1),"&gt; max PN")</f>
        <v>PN10</v>
      </c>
      <c r="K1908" s="4" t="str">
        <f aca="false">IF(L1908="no","end at tank",IF(H1908&lt;0,"NEGATIVE",IF(H1908&lt;p_min-0.005,"low","OK")))</f>
        <v>OK</v>
      </c>
      <c r="L1908" s="4" t="s">
        <v>414</v>
      </c>
    </row>
    <row r="1909" customFormat="false" ht="15" hidden="false" customHeight="false" outlineLevel="0" collapsed="false">
      <c r="A1909" s="4" t="s">
        <v>44</v>
      </c>
      <c r="B1909" s="4" t="s">
        <v>373</v>
      </c>
      <c r="C1909" s="47" t="n">
        <v>14422.72</v>
      </c>
      <c r="D1909" s="48" t="n">
        <v>1706.68</v>
      </c>
      <c r="E1909" s="49" t="n">
        <f aca="false">D1909-cover</f>
        <v>1705.48</v>
      </c>
      <c r="F1909" s="50" t="n">
        <f aca="false">'Z6 Nkangamo-Uhuru'!S18-'Z6 Nkangamo-Uhuru'!P18*C1909/'Z6 Nkangamo-Uhuru'!G18</f>
        <v>1715.76262108815</v>
      </c>
      <c r="G1909" s="51" t="n">
        <f aca="false">'Z6 Nkangamo-Uhuru'!$B$8-E1909</f>
        <v>1.01999999999998</v>
      </c>
      <c r="H1909" s="52" t="n">
        <f aca="false">F1909-E1909</f>
        <v>10.2826210881535</v>
      </c>
      <c r="I1909" s="52" t="n">
        <f aca="false">MAX(H1909,G1909)</f>
        <v>10.2826210881535</v>
      </c>
      <c r="J1909" s="4" t="str">
        <f aca="false">IFERROR("PN"&amp;SMALL(PN_list,COUNTIF(PN_list,"&lt;"&amp;I1909*bar_per_m)+1),"&gt; max PN")</f>
        <v>PN10</v>
      </c>
      <c r="K1909" s="4" t="str">
        <f aca="false">IF(L1909="no","end at tank",IF(H1909&lt;0,"NEGATIVE",IF(H1909&lt;p_min-0.005,"low","OK")))</f>
        <v>OK</v>
      </c>
      <c r="L1909" s="4" t="s">
        <v>414</v>
      </c>
    </row>
    <row r="1910" customFormat="false" ht="15" hidden="false" customHeight="false" outlineLevel="0" collapsed="false">
      <c r="A1910" s="4" t="s">
        <v>44</v>
      </c>
      <c r="B1910" s="4" t="s">
        <v>373</v>
      </c>
      <c r="C1910" s="47" t="n">
        <v>14442.74</v>
      </c>
      <c r="D1910" s="48" t="n">
        <v>1707.58</v>
      </c>
      <c r="E1910" s="49" t="n">
        <f aca="false">D1910-cover</f>
        <v>1706.38</v>
      </c>
      <c r="F1910" s="50" t="n">
        <f aca="false">'Z6 Nkangamo-Uhuru'!S18-'Z6 Nkangamo-Uhuru'!P18*C1910/'Z6 Nkangamo-Uhuru'!G18</f>
        <v>1715.7314366319</v>
      </c>
      <c r="G1910" s="51" t="n">
        <f aca="false">'Z6 Nkangamo-Uhuru'!$B$8-E1910</f>
        <v>0.120000000000118</v>
      </c>
      <c r="H1910" s="52" t="n">
        <f aca="false">F1910-E1910</f>
        <v>9.35143663190388</v>
      </c>
      <c r="I1910" s="52" t="n">
        <f aca="false">MAX(H1910,G1910)</f>
        <v>9.35143663190388</v>
      </c>
      <c r="J1910" s="4" t="str">
        <f aca="false">IFERROR("PN"&amp;SMALL(PN_list,COUNTIF(PN_list,"&lt;"&amp;I1910*bar_per_m)+1),"&gt; max PN")</f>
        <v>PN10</v>
      </c>
      <c r="K1910" s="4" t="str">
        <f aca="false">IF(L1910="no","end at tank",IF(H1910&lt;0,"NEGATIVE",IF(H1910&lt;p_min-0.005,"low","OK")))</f>
        <v>OK</v>
      </c>
      <c r="L1910" s="4" t="s">
        <v>414</v>
      </c>
    </row>
    <row r="1911" customFormat="false" ht="15" hidden="false" customHeight="false" outlineLevel="0" collapsed="false">
      <c r="A1911" s="4" t="s">
        <v>44</v>
      </c>
      <c r="B1911" s="4" t="s">
        <v>373</v>
      </c>
      <c r="C1911" s="47" t="n">
        <v>14462.76</v>
      </c>
      <c r="D1911" s="48" t="n">
        <v>1708.45</v>
      </c>
      <c r="E1911" s="49" t="n">
        <f aca="false">D1911-cover</f>
        <v>1707.25</v>
      </c>
      <c r="F1911" s="50" t="n">
        <f aca="false">'Z6 Nkangamo-Uhuru'!S18-'Z6 Nkangamo-Uhuru'!P18*C1911/'Z6 Nkangamo-Uhuru'!G18</f>
        <v>1715.70025217565</v>
      </c>
      <c r="G1911" s="51" t="n">
        <f aca="false">'Z6 Nkangamo-Uhuru'!$B$8-E1911</f>
        <v>-0.75</v>
      </c>
      <c r="H1911" s="52" t="n">
        <f aca="false">F1911-E1911</f>
        <v>8.45025217565399</v>
      </c>
      <c r="I1911" s="52" t="n">
        <f aca="false">MAX(H1911,G1911)</f>
        <v>8.45025217565399</v>
      </c>
      <c r="J1911" s="4" t="str">
        <f aca="false">IFERROR("PN"&amp;SMALL(PN_list,COUNTIF(PN_list,"&lt;"&amp;I1911*bar_per_m)+1),"&gt; max PN")</f>
        <v>PN10</v>
      </c>
      <c r="K1911" s="4" t="str">
        <f aca="false">IF(L1911="no","end at tank",IF(H1911&lt;0,"NEGATIVE",IF(H1911&lt;p_min-0.005,"low","OK")))</f>
        <v>OK</v>
      </c>
      <c r="L1911" s="4" t="s">
        <v>414</v>
      </c>
    </row>
    <row r="1912" customFormat="false" ht="15" hidden="false" customHeight="false" outlineLevel="0" collapsed="false">
      <c r="A1912" s="4" t="s">
        <v>44</v>
      </c>
      <c r="B1912" s="4" t="s">
        <v>373</v>
      </c>
      <c r="C1912" s="47" t="n">
        <v>14482.76</v>
      </c>
      <c r="D1912" s="48" t="n">
        <v>1708.64</v>
      </c>
      <c r="E1912" s="49" t="n">
        <f aca="false">D1912-cover</f>
        <v>1707.44</v>
      </c>
      <c r="F1912" s="50" t="n">
        <f aca="false">'Z6 Nkangamo-Uhuru'!S18-'Z6 Nkangamo-Uhuru'!P18*C1912/'Z6 Nkangamo-Uhuru'!G18</f>
        <v>1715.66909887271</v>
      </c>
      <c r="G1912" s="51" t="n">
        <f aca="false">'Z6 Nkangamo-Uhuru'!$B$8-E1912</f>
        <v>-0.940000000000055</v>
      </c>
      <c r="H1912" s="52" t="n">
        <f aca="false">F1912-E1912</f>
        <v>8.22909887270725</v>
      </c>
      <c r="I1912" s="52" t="n">
        <f aca="false">MAX(H1912,G1912)</f>
        <v>8.22909887270725</v>
      </c>
      <c r="J1912" s="4" t="str">
        <f aca="false">IFERROR("PN"&amp;SMALL(PN_list,COUNTIF(PN_list,"&lt;"&amp;I1912*bar_per_m)+1),"&gt; max PN")</f>
        <v>PN10</v>
      </c>
      <c r="K1912" s="4" t="str">
        <f aca="false">IF(L1912="no","end at tank",IF(H1912&lt;0,"NEGATIVE",IF(H1912&lt;p_min-0.005,"low","OK")))</f>
        <v>OK</v>
      </c>
      <c r="L1912" s="4" t="s">
        <v>414</v>
      </c>
    </row>
    <row r="1913" customFormat="false" ht="15" hidden="false" customHeight="false" outlineLevel="0" collapsed="false">
      <c r="A1913" s="4" t="s">
        <v>44</v>
      </c>
      <c r="B1913" s="4" t="s">
        <v>373</v>
      </c>
      <c r="C1913" s="47" t="n">
        <v>14502.77</v>
      </c>
      <c r="D1913" s="48" t="n">
        <v>1709.18</v>
      </c>
      <c r="E1913" s="49" t="n">
        <f aca="false">D1913-cover</f>
        <v>1707.98</v>
      </c>
      <c r="F1913" s="50" t="n">
        <f aca="false">'Z6 Nkangamo-Uhuru'!S18-'Z6 Nkangamo-Uhuru'!P18*C1913/'Z6 Nkangamo-Uhuru'!G18</f>
        <v>1715.63792999311</v>
      </c>
      <c r="G1913" s="51" t="n">
        <f aca="false">'Z6 Nkangamo-Uhuru'!$B$8-E1913</f>
        <v>-1.48000000000002</v>
      </c>
      <c r="H1913" s="52" t="n">
        <f aca="false">F1913-E1913</f>
        <v>7.65792999310884</v>
      </c>
      <c r="I1913" s="52" t="n">
        <f aca="false">MAX(H1913,G1913)</f>
        <v>7.65792999310884</v>
      </c>
      <c r="J1913" s="4" t="str">
        <f aca="false">IFERROR("PN"&amp;SMALL(PN_list,COUNTIF(PN_list,"&lt;"&amp;I1913*bar_per_m)+1),"&gt; max PN")</f>
        <v>PN10</v>
      </c>
      <c r="K1913" s="4" t="str">
        <f aca="false">IF(L1913="no","end at tank",IF(H1913&lt;0,"NEGATIVE",IF(H1913&lt;p_min-0.005,"low","OK")))</f>
        <v>OK</v>
      </c>
      <c r="L1913" s="4" t="s">
        <v>414</v>
      </c>
    </row>
    <row r="1914" customFormat="false" ht="15" hidden="false" customHeight="false" outlineLevel="0" collapsed="false">
      <c r="A1914" s="4" t="s">
        <v>44</v>
      </c>
      <c r="B1914" s="4" t="s">
        <v>373</v>
      </c>
      <c r="C1914" s="47" t="n">
        <v>14522.92</v>
      </c>
      <c r="D1914" s="48" t="n">
        <v>1709.55</v>
      </c>
      <c r="E1914" s="49" t="n">
        <f aca="false">D1914-cover</f>
        <v>1708.35</v>
      </c>
      <c r="F1914" s="50" t="n">
        <f aca="false">'Z6 Nkangamo-Uhuru'!S18-'Z6 Nkangamo-Uhuru'!P18*C1914/'Z6 Nkangamo-Uhuru'!G18</f>
        <v>1715.60654304039</v>
      </c>
      <c r="G1914" s="51" t="n">
        <f aca="false">'Z6 Nkangamo-Uhuru'!$B$8-E1914</f>
        <v>-1.84999999999991</v>
      </c>
      <c r="H1914" s="52" t="n">
        <f aca="false">F1914-E1914</f>
        <v>7.25654304039017</v>
      </c>
      <c r="I1914" s="52" t="n">
        <f aca="false">MAX(H1914,G1914)</f>
        <v>7.25654304039017</v>
      </c>
      <c r="J1914" s="4" t="str">
        <f aca="false">IFERROR("PN"&amp;SMALL(PN_list,COUNTIF(PN_list,"&lt;"&amp;I1914*bar_per_m)+1),"&gt; max PN")</f>
        <v>PN10</v>
      </c>
      <c r="K1914" s="4" t="str">
        <f aca="false">IF(L1914="no","end at tank",IF(H1914&lt;0,"NEGATIVE",IF(H1914&lt;p_min-0.005,"low","OK")))</f>
        <v>OK</v>
      </c>
      <c r="L1914" s="4" t="s">
        <v>414</v>
      </c>
    </row>
    <row r="1915" customFormat="false" ht="15" hidden="false" customHeight="false" outlineLevel="0" collapsed="false">
      <c r="A1915" s="4" t="s">
        <v>44</v>
      </c>
      <c r="B1915" s="4" t="s">
        <v>373</v>
      </c>
      <c r="C1915" s="47" t="n">
        <v>14542.92</v>
      </c>
      <c r="D1915" s="48" t="n">
        <v>1709.77</v>
      </c>
      <c r="E1915" s="49" t="n">
        <f aca="false">D1915-cover</f>
        <v>1708.57</v>
      </c>
      <c r="F1915" s="50" t="n">
        <f aca="false">'Z6 Nkangamo-Uhuru'!S18-'Z6 Nkangamo-Uhuru'!P18*C1915/'Z6 Nkangamo-Uhuru'!G18</f>
        <v>1715.57538973744</v>
      </c>
      <c r="G1915" s="51" t="n">
        <f aca="false">'Z6 Nkangamo-Uhuru'!$B$8-E1915</f>
        <v>-2.06999999999994</v>
      </c>
      <c r="H1915" s="52" t="n">
        <f aca="false">F1915-E1915</f>
        <v>7.00538973744324</v>
      </c>
      <c r="I1915" s="52" t="n">
        <f aca="false">MAX(H1915,G1915)</f>
        <v>7.00538973744324</v>
      </c>
      <c r="J1915" s="4" t="str">
        <f aca="false">IFERROR("PN"&amp;SMALL(PN_list,COUNTIF(PN_list,"&lt;"&amp;I1915*bar_per_m)+1),"&gt; max PN")</f>
        <v>PN10</v>
      </c>
      <c r="K1915" s="4" t="str">
        <f aca="false">IF(L1915="no","end at tank",IF(H1915&lt;0,"NEGATIVE",IF(H1915&lt;p_min-0.005,"low","OK")))</f>
        <v>OK</v>
      </c>
      <c r="L1915" s="4" t="s">
        <v>414</v>
      </c>
    </row>
    <row r="1916" customFormat="false" ht="15" hidden="false" customHeight="false" outlineLevel="0" collapsed="false">
      <c r="A1916" s="4" t="s">
        <v>44</v>
      </c>
      <c r="B1916" s="4" t="s">
        <v>373</v>
      </c>
      <c r="C1916" s="47" t="n">
        <v>14563.14</v>
      </c>
      <c r="D1916" s="48" t="n">
        <v>1709.96</v>
      </c>
      <c r="E1916" s="49" t="n">
        <f aca="false">D1916-cover</f>
        <v>1708.76</v>
      </c>
      <c r="F1916" s="50" t="n">
        <f aca="false">'Z6 Nkangamo-Uhuru'!S18-'Z6 Nkangamo-Uhuru'!P18*C1916/'Z6 Nkangamo-Uhuru'!G18</f>
        <v>1715.54389374816</v>
      </c>
      <c r="G1916" s="51" t="n">
        <f aca="false">'Z6 Nkangamo-Uhuru'!$B$8-E1916</f>
        <v>-2.25999999999999</v>
      </c>
      <c r="H1916" s="52" t="n">
        <f aca="false">F1916-E1916</f>
        <v>6.78389374816402</v>
      </c>
      <c r="I1916" s="52" t="n">
        <f aca="false">MAX(H1916,G1916)</f>
        <v>6.78389374816402</v>
      </c>
      <c r="J1916" s="4" t="str">
        <f aca="false">IFERROR("PN"&amp;SMALL(PN_list,COUNTIF(PN_list,"&lt;"&amp;I1916*bar_per_m)+1),"&gt; max PN")</f>
        <v>PN10</v>
      </c>
      <c r="K1916" s="4" t="str">
        <f aca="false">IF(L1916="no","end at tank",IF(H1916&lt;0,"NEGATIVE",IF(H1916&lt;p_min-0.005,"low","OK")))</f>
        <v>OK</v>
      </c>
      <c r="L1916" s="4" t="s">
        <v>414</v>
      </c>
    </row>
    <row r="1917" customFormat="false" ht="15" hidden="false" customHeight="false" outlineLevel="0" collapsed="false">
      <c r="A1917" s="4" t="s">
        <v>44</v>
      </c>
      <c r="B1917" s="4" t="s">
        <v>373</v>
      </c>
      <c r="C1917" s="47" t="n">
        <v>14583.14</v>
      </c>
      <c r="D1917" s="48" t="n">
        <v>1710.04</v>
      </c>
      <c r="E1917" s="49" t="n">
        <f aca="false">D1917-cover</f>
        <v>1708.84</v>
      </c>
      <c r="F1917" s="50" t="n">
        <f aca="false">'Z6 Nkangamo-Uhuru'!S18-'Z6 Nkangamo-Uhuru'!P18*C1917/'Z6 Nkangamo-Uhuru'!G18</f>
        <v>1715.51274044522</v>
      </c>
      <c r="G1917" s="51" t="n">
        <f aca="false">'Z6 Nkangamo-Uhuru'!$B$8-E1917</f>
        <v>-2.33999999999992</v>
      </c>
      <c r="H1917" s="52" t="n">
        <f aca="false">F1917-E1917</f>
        <v>6.67274044521719</v>
      </c>
      <c r="I1917" s="52" t="n">
        <f aca="false">MAX(H1917,G1917)</f>
        <v>6.67274044521719</v>
      </c>
      <c r="J1917" s="4" t="str">
        <f aca="false">IFERROR("PN"&amp;SMALL(PN_list,COUNTIF(PN_list,"&lt;"&amp;I1917*bar_per_m)+1),"&gt; max PN")</f>
        <v>PN10</v>
      </c>
      <c r="K1917" s="4" t="str">
        <f aca="false">IF(L1917="no","end at tank",IF(H1917&lt;0,"NEGATIVE",IF(H1917&lt;p_min-0.005,"low","OK")))</f>
        <v>OK</v>
      </c>
      <c r="L1917" s="4" t="s">
        <v>414</v>
      </c>
    </row>
    <row r="1918" customFormat="false" ht="15" hidden="false" customHeight="false" outlineLevel="0" collapsed="false">
      <c r="A1918" s="4" t="s">
        <v>44</v>
      </c>
      <c r="B1918" s="4" t="s">
        <v>373</v>
      </c>
      <c r="C1918" s="47" t="n">
        <v>14603.14</v>
      </c>
      <c r="D1918" s="48" t="n">
        <v>1709.86</v>
      </c>
      <c r="E1918" s="49" t="n">
        <f aca="false">D1918-cover</f>
        <v>1708.66</v>
      </c>
      <c r="F1918" s="50" t="n">
        <f aca="false">'Z6 Nkangamo-Uhuru'!S18-'Z6 Nkangamo-Uhuru'!P18*C1918/'Z6 Nkangamo-Uhuru'!G18</f>
        <v>1715.48158714227</v>
      </c>
      <c r="G1918" s="51" t="n">
        <f aca="false">'Z6 Nkangamo-Uhuru'!$B$8-E1918</f>
        <v>-2.15999999999985</v>
      </c>
      <c r="H1918" s="52" t="n">
        <f aca="false">F1918-E1918</f>
        <v>6.82158714227035</v>
      </c>
      <c r="I1918" s="52" t="n">
        <f aca="false">MAX(H1918,G1918)</f>
        <v>6.82158714227035</v>
      </c>
      <c r="J1918" s="4" t="str">
        <f aca="false">IFERROR("PN"&amp;SMALL(PN_list,COUNTIF(PN_list,"&lt;"&amp;I1918*bar_per_m)+1),"&gt; max PN")</f>
        <v>PN10</v>
      </c>
      <c r="K1918" s="4" t="str">
        <f aca="false">IF(L1918="no","end at tank",IF(H1918&lt;0,"NEGATIVE",IF(H1918&lt;p_min-0.005,"low","OK")))</f>
        <v>OK</v>
      </c>
      <c r="L1918" s="4" t="s">
        <v>414</v>
      </c>
    </row>
    <row r="1919" customFormat="false" ht="15" hidden="false" customHeight="false" outlineLevel="0" collapsed="false">
      <c r="A1919" s="4" t="s">
        <v>44</v>
      </c>
      <c r="B1919" s="4" t="s">
        <v>373</v>
      </c>
      <c r="C1919" s="47" t="n">
        <v>14623.38</v>
      </c>
      <c r="D1919" s="48" t="n">
        <v>1709.06</v>
      </c>
      <c r="E1919" s="49" t="n">
        <f aca="false">D1919-cover</f>
        <v>1707.86</v>
      </c>
      <c r="F1919" s="50" t="n">
        <f aca="false">'Z6 Nkangamo-Uhuru'!S18-'Z6 Nkangamo-Uhuru'!P18*C1919/'Z6 Nkangamo-Uhuru'!G18</f>
        <v>1715.45005999969</v>
      </c>
      <c r="G1919" s="51" t="n">
        <f aca="false">'Z6 Nkangamo-Uhuru'!$B$8-E1919</f>
        <v>-1.3599999999999</v>
      </c>
      <c r="H1919" s="52" t="n">
        <f aca="false">F1919-E1919</f>
        <v>7.59005999968827</v>
      </c>
      <c r="I1919" s="52" t="n">
        <f aca="false">MAX(H1919,G1919)</f>
        <v>7.59005999968827</v>
      </c>
      <c r="J1919" s="4" t="str">
        <f aca="false">IFERROR("PN"&amp;SMALL(PN_list,COUNTIF(PN_list,"&lt;"&amp;I1919*bar_per_m)+1),"&gt; max PN")</f>
        <v>PN10</v>
      </c>
      <c r="K1919" s="4" t="str">
        <f aca="false">IF(L1919="no","end at tank",IF(H1919&lt;0,"NEGATIVE",IF(H1919&lt;p_min-0.005,"low","OK")))</f>
        <v>OK</v>
      </c>
      <c r="L1919" s="4" t="s">
        <v>414</v>
      </c>
    </row>
    <row r="1920" customFormat="false" ht="15" hidden="false" customHeight="false" outlineLevel="0" collapsed="false">
      <c r="A1920" s="4" t="s">
        <v>44</v>
      </c>
      <c r="B1920" s="4" t="s">
        <v>373</v>
      </c>
      <c r="C1920" s="47" t="n">
        <v>14643.4</v>
      </c>
      <c r="D1920" s="48" t="n">
        <v>1708.07</v>
      </c>
      <c r="E1920" s="49" t="n">
        <f aca="false">D1920-cover</f>
        <v>1706.87</v>
      </c>
      <c r="F1920" s="50" t="n">
        <f aca="false">'Z6 Nkangamo-Uhuru'!S18-'Z6 Nkangamo-Uhuru'!P18*C1920/'Z6 Nkangamo-Uhuru'!G18</f>
        <v>1715.41887554344</v>
      </c>
      <c r="G1920" s="51" t="n">
        <f aca="false">'Z6 Nkangamo-Uhuru'!$B$8-E1920</f>
        <v>-0.369999999999891</v>
      </c>
      <c r="H1920" s="52" t="n">
        <f aca="false">F1920-E1920</f>
        <v>8.5488755434385</v>
      </c>
      <c r="I1920" s="52" t="n">
        <f aca="false">MAX(H1920,G1920)</f>
        <v>8.5488755434385</v>
      </c>
      <c r="J1920" s="4" t="str">
        <f aca="false">IFERROR("PN"&amp;SMALL(PN_list,COUNTIF(PN_list,"&lt;"&amp;I1920*bar_per_m)+1),"&gt; max PN")</f>
        <v>PN10</v>
      </c>
      <c r="K1920" s="4" t="str">
        <f aca="false">IF(L1920="no","end at tank",IF(H1920&lt;0,"NEGATIVE",IF(H1920&lt;p_min-0.005,"low","OK")))</f>
        <v>OK</v>
      </c>
      <c r="L1920" s="4" t="s">
        <v>414</v>
      </c>
    </row>
    <row r="1921" customFormat="false" ht="15" hidden="false" customHeight="false" outlineLevel="0" collapsed="false">
      <c r="A1921" s="4" t="s">
        <v>44</v>
      </c>
      <c r="B1921" s="4" t="s">
        <v>373</v>
      </c>
      <c r="C1921" s="47" t="n">
        <v>14663.4</v>
      </c>
      <c r="D1921" s="48" t="n">
        <v>1708.02</v>
      </c>
      <c r="E1921" s="49" t="n">
        <f aca="false">D1921-cover</f>
        <v>1706.82</v>
      </c>
      <c r="F1921" s="50" t="n">
        <f aca="false">'Z6 Nkangamo-Uhuru'!S18-'Z6 Nkangamo-Uhuru'!P18*C1921/'Z6 Nkangamo-Uhuru'!G18</f>
        <v>1715.38772224049</v>
      </c>
      <c r="G1921" s="51" t="n">
        <f aca="false">'Z6 Nkangamo-Uhuru'!$B$8-E1921</f>
        <v>-0.319999999999936</v>
      </c>
      <c r="H1921" s="52" t="n">
        <f aca="false">F1921-E1921</f>
        <v>8.56772224049155</v>
      </c>
      <c r="I1921" s="52" t="n">
        <f aca="false">MAX(H1921,G1921)</f>
        <v>8.56772224049155</v>
      </c>
      <c r="J1921" s="4" t="str">
        <f aca="false">IFERROR("PN"&amp;SMALL(PN_list,COUNTIF(PN_list,"&lt;"&amp;I1921*bar_per_m)+1),"&gt; max PN")</f>
        <v>PN10</v>
      </c>
      <c r="K1921" s="4" t="str">
        <f aca="false">IF(L1921="no","end at tank",IF(H1921&lt;0,"NEGATIVE",IF(H1921&lt;p_min-0.005,"low","OK")))</f>
        <v>OK</v>
      </c>
      <c r="L1921" s="4" t="s">
        <v>414</v>
      </c>
    </row>
    <row r="1922" customFormat="false" ht="15" hidden="false" customHeight="false" outlineLevel="0" collapsed="false">
      <c r="A1922" s="4" t="s">
        <v>44</v>
      </c>
      <c r="B1922" s="4" t="s">
        <v>373</v>
      </c>
      <c r="C1922" s="47" t="n">
        <v>14683.45</v>
      </c>
      <c r="D1922" s="48" t="n">
        <v>1706.72</v>
      </c>
      <c r="E1922" s="49" t="n">
        <f aca="false">D1922-cover</f>
        <v>1705.52</v>
      </c>
      <c r="F1922" s="50" t="n">
        <f aca="false">'Z6 Nkangamo-Uhuru'!S18-'Z6 Nkangamo-Uhuru'!P18*C1922/'Z6 Nkangamo-Uhuru'!G18</f>
        <v>1715.35649105429</v>
      </c>
      <c r="G1922" s="51" t="n">
        <f aca="false">'Z6 Nkangamo-Uhuru'!$B$8-E1922</f>
        <v>0.980000000000018</v>
      </c>
      <c r="H1922" s="52" t="n">
        <f aca="false">F1922-E1922</f>
        <v>9.83649105428731</v>
      </c>
      <c r="I1922" s="52" t="n">
        <f aca="false">MAX(H1922,G1922)</f>
        <v>9.83649105428731</v>
      </c>
      <c r="J1922" s="4" t="str">
        <f aca="false">IFERROR("PN"&amp;SMALL(PN_list,COUNTIF(PN_list,"&lt;"&amp;I1922*bar_per_m)+1),"&gt; max PN")</f>
        <v>PN10</v>
      </c>
      <c r="K1922" s="4" t="str">
        <f aca="false">IF(L1922="no","end at tank",IF(H1922&lt;0,"NEGATIVE",IF(H1922&lt;p_min-0.005,"low","OK")))</f>
        <v>OK</v>
      </c>
      <c r="L1922" s="4" t="s">
        <v>414</v>
      </c>
    </row>
    <row r="1923" customFormat="false" ht="15" hidden="false" customHeight="false" outlineLevel="0" collapsed="false">
      <c r="A1923" s="4" t="s">
        <v>44</v>
      </c>
      <c r="B1923" s="4" t="s">
        <v>373</v>
      </c>
      <c r="C1923" s="47" t="n">
        <v>14703.45</v>
      </c>
      <c r="D1923" s="48" t="n">
        <v>1706.81</v>
      </c>
      <c r="E1923" s="49" t="n">
        <f aca="false">D1923-cover</f>
        <v>1705.61</v>
      </c>
      <c r="F1923" s="50" t="n">
        <f aca="false">'Z6 Nkangamo-Uhuru'!S18-'Z6 Nkangamo-Uhuru'!P18*C1923/'Z6 Nkangamo-Uhuru'!G18</f>
        <v>1715.32533775134</v>
      </c>
      <c r="G1923" s="51" t="n">
        <f aca="false">'Z6 Nkangamo-Uhuru'!$B$8-E1923</f>
        <v>0.8900000000001</v>
      </c>
      <c r="H1923" s="52" t="n">
        <f aca="false">F1923-E1923</f>
        <v>9.71533775134049</v>
      </c>
      <c r="I1923" s="52" t="n">
        <f aca="false">MAX(H1923,G1923)</f>
        <v>9.71533775134049</v>
      </c>
      <c r="J1923" s="4" t="str">
        <f aca="false">IFERROR("PN"&amp;SMALL(PN_list,COUNTIF(PN_list,"&lt;"&amp;I1923*bar_per_m)+1),"&gt; max PN")</f>
        <v>PN10</v>
      </c>
      <c r="K1923" s="4" t="str">
        <f aca="false">IF(L1923="no","end at tank",IF(H1923&lt;0,"NEGATIVE",IF(H1923&lt;p_min-0.005,"low","OK")))</f>
        <v>OK</v>
      </c>
      <c r="L1923" s="4" t="s">
        <v>414</v>
      </c>
    </row>
    <row r="1924" customFormat="false" ht="15" hidden="false" customHeight="false" outlineLevel="0" collapsed="false">
      <c r="A1924" s="4" t="s">
        <v>44</v>
      </c>
      <c r="B1924" s="4" t="s">
        <v>373</v>
      </c>
      <c r="C1924" s="47" t="n">
        <v>14723.49</v>
      </c>
      <c r="D1924" s="48" t="n">
        <v>1705.58</v>
      </c>
      <c r="E1924" s="49" t="n">
        <f aca="false">D1924-cover</f>
        <v>1704.38</v>
      </c>
      <c r="F1924" s="50" t="n">
        <f aca="false">'Z6 Nkangamo-Uhuru'!S18-'Z6 Nkangamo-Uhuru'!P18*C1924/'Z6 Nkangamo-Uhuru'!G18</f>
        <v>1715.29412214179</v>
      </c>
      <c r="G1924" s="51" t="n">
        <f aca="false">'Z6 Nkangamo-Uhuru'!$B$8-E1924</f>
        <v>2.12000000000012</v>
      </c>
      <c r="H1924" s="52" t="n">
        <f aca="false">F1924-E1924</f>
        <v>10.9141221417879</v>
      </c>
      <c r="I1924" s="52" t="n">
        <f aca="false">MAX(H1924,G1924)</f>
        <v>10.9141221417879</v>
      </c>
      <c r="J1924" s="4" t="str">
        <f aca="false">IFERROR("PN"&amp;SMALL(PN_list,COUNTIF(PN_list,"&lt;"&amp;I1924*bar_per_m)+1),"&gt; max PN")</f>
        <v>PN10</v>
      </c>
      <c r="K1924" s="4" t="str">
        <f aca="false">IF(L1924="no","end at tank",IF(H1924&lt;0,"NEGATIVE",IF(H1924&lt;p_min-0.005,"low","OK")))</f>
        <v>OK</v>
      </c>
      <c r="L1924" s="4" t="s">
        <v>414</v>
      </c>
    </row>
    <row r="1925" customFormat="false" ht="15" hidden="false" customHeight="false" outlineLevel="0" collapsed="false">
      <c r="A1925" s="4" t="s">
        <v>44</v>
      </c>
      <c r="B1925" s="4" t="s">
        <v>373</v>
      </c>
      <c r="C1925" s="47" t="n">
        <v>14743.49</v>
      </c>
      <c r="D1925" s="48" t="n">
        <v>1705.58</v>
      </c>
      <c r="E1925" s="49" t="n">
        <f aca="false">D1925-cover</f>
        <v>1704.38</v>
      </c>
      <c r="F1925" s="50" t="n">
        <f aca="false">'Z6 Nkangamo-Uhuru'!S18-'Z6 Nkangamo-Uhuru'!P18*C1925/'Z6 Nkangamo-Uhuru'!G18</f>
        <v>1715.26296883884</v>
      </c>
      <c r="G1925" s="51" t="n">
        <f aca="false">'Z6 Nkangamo-Uhuru'!$B$8-E1925</f>
        <v>2.12000000000012</v>
      </c>
      <c r="H1925" s="52" t="n">
        <f aca="false">F1925-E1925</f>
        <v>10.882968838841</v>
      </c>
      <c r="I1925" s="52" t="n">
        <f aca="false">MAX(H1925,G1925)</f>
        <v>10.882968838841</v>
      </c>
      <c r="J1925" s="4" t="str">
        <f aca="false">IFERROR("PN"&amp;SMALL(PN_list,COUNTIF(PN_list,"&lt;"&amp;I1925*bar_per_m)+1),"&gt; max PN")</f>
        <v>PN10</v>
      </c>
      <c r="K1925" s="4" t="str">
        <f aca="false">IF(L1925="no","end at tank",IF(H1925&lt;0,"NEGATIVE",IF(H1925&lt;p_min-0.005,"low","OK")))</f>
        <v>OK</v>
      </c>
      <c r="L1925" s="4" t="s">
        <v>414</v>
      </c>
    </row>
    <row r="1926" customFormat="false" ht="15" hidden="false" customHeight="false" outlineLevel="0" collapsed="false">
      <c r="A1926" s="4" t="s">
        <v>44</v>
      </c>
      <c r="B1926" s="4" t="s">
        <v>373</v>
      </c>
      <c r="C1926" s="47" t="n">
        <v>14763.43</v>
      </c>
      <c r="D1926" s="48" t="n">
        <v>1705.06</v>
      </c>
      <c r="E1926" s="49" t="n">
        <f aca="false">D1926-cover</f>
        <v>1703.86</v>
      </c>
      <c r="F1926" s="50" t="n">
        <f aca="false">'Z6 Nkangamo-Uhuru'!S18-'Z6 Nkangamo-Uhuru'!P18*C1926/'Z6 Nkangamo-Uhuru'!G18</f>
        <v>1715.2319089958</v>
      </c>
      <c r="G1926" s="51" t="n">
        <f aca="false">'Z6 Nkangamo-Uhuru'!$B$8-E1926</f>
        <v>2.6400000000001</v>
      </c>
      <c r="H1926" s="52" t="n">
        <f aca="false">F1926-E1926</f>
        <v>11.3719089958031</v>
      </c>
      <c r="I1926" s="52" t="n">
        <f aca="false">MAX(H1926,G1926)</f>
        <v>11.3719089958031</v>
      </c>
      <c r="J1926" s="4" t="str">
        <f aca="false">IFERROR("PN"&amp;SMALL(PN_list,COUNTIF(PN_list,"&lt;"&amp;I1926*bar_per_m)+1),"&gt; max PN")</f>
        <v>PN10</v>
      </c>
      <c r="K1926" s="4" t="str">
        <f aca="false">IF(L1926="no","end at tank",IF(H1926&lt;0,"NEGATIVE",IF(H1926&lt;p_min-0.005,"low","OK")))</f>
        <v>OK</v>
      </c>
      <c r="L1926" s="4" t="s">
        <v>414</v>
      </c>
    </row>
    <row r="1927" customFormat="false" ht="15" hidden="false" customHeight="false" outlineLevel="0" collapsed="false">
      <c r="A1927" s="4" t="s">
        <v>44</v>
      </c>
      <c r="B1927" s="4" t="s">
        <v>373</v>
      </c>
      <c r="C1927" s="47" t="n">
        <v>14783.45</v>
      </c>
      <c r="D1927" s="48" t="n">
        <v>1704.12</v>
      </c>
      <c r="E1927" s="49" t="n">
        <f aca="false">D1927-cover</f>
        <v>1702.92</v>
      </c>
      <c r="F1927" s="50" t="n">
        <f aca="false">'Z6 Nkangamo-Uhuru'!S18-'Z6 Nkangamo-Uhuru'!P18*C1927/'Z6 Nkangamo-Uhuru'!G18</f>
        <v>1715.20072453955</v>
      </c>
      <c r="G1927" s="51" t="n">
        <f aca="false">'Z6 Nkangamo-Uhuru'!$B$8-E1927</f>
        <v>3.58000000000015</v>
      </c>
      <c r="H1927" s="52" t="n">
        <f aca="false">F1927-E1927</f>
        <v>12.2807245395534</v>
      </c>
      <c r="I1927" s="52" t="n">
        <f aca="false">MAX(H1927,G1927)</f>
        <v>12.2807245395534</v>
      </c>
      <c r="J1927" s="4" t="str">
        <f aca="false">IFERROR("PN"&amp;SMALL(PN_list,COUNTIF(PN_list,"&lt;"&amp;I1927*bar_per_m)+1),"&gt; max PN")</f>
        <v>PN10</v>
      </c>
      <c r="K1927" s="4" t="str">
        <f aca="false">IF(L1927="no","end at tank",IF(H1927&lt;0,"NEGATIVE",IF(H1927&lt;p_min-0.005,"low","OK")))</f>
        <v>OK</v>
      </c>
      <c r="L1927" s="4" t="s">
        <v>414</v>
      </c>
    </row>
    <row r="1928" customFormat="false" ht="15" hidden="false" customHeight="false" outlineLevel="0" collapsed="false">
      <c r="A1928" s="4" t="s">
        <v>44</v>
      </c>
      <c r="B1928" s="4" t="s">
        <v>373</v>
      </c>
      <c r="C1928" s="47" t="n">
        <v>14803.46</v>
      </c>
      <c r="D1928" s="48" t="n">
        <v>1703.83</v>
      </c>
      <c r="E1928" s="49" t="n">
        <f aca="false">D1928-cover</f>
        <v>1702.63</v>
      </c>
      <c r="F1928" s="50" t="n">
        <f aca="false">'Z6 Nkangamo-Uhuru'!S18-'Z6 Nkangamo-Uhuru'!P18*C1928/'Z6 Nkangamo-Uhuru'!G18</f>
        <v>1715.16955565995</v>
      </c>
      <c r="G1928" s="51" t="n">
        <f aca="false">'Z6 Nkangamo-Uhuru'!$B$8-E1928</f>
        <v>3.87000000000012</v>
      </c>
      <c r="H1928" s="52" t="n">
        <f aca="false">F1928-E1928</f>
        <v>12.5395556599549</v>
      </c>
      <c r="I1928" s="52" t="n">
        <f aca="false">MAX(H1928,G1928)</f>
        <v>12.5395556599549</v>
      </c>
      <c r="J1928" s="4" t="str">
        <f aca="false">IFERROR("PN"&amp;SMALL(PN_list,COUNTIF(PN_list,"&lt;"&amp;I1928*bar_per_m)+1),"&gt; max PN")</f>
        <v>PN10</v>
      </c>
      <c r="K1928" s="4" t="str">
        <f aca="false">IF(L1928="no","end at tank",IF(H1928&lt;0,"NEGATIVE",IF(H1928&lt;p_min-0.005,"low","OK")))</f>
        <v>OK</v>
      </c>
      <c r="L1928" s="4" t="s">
        <v>414</v>
      </c>
    </row>
    <row r="1929" customFormat="false" ht="15" hidden="false" customHeight="false" outlineLevel="0" collapsed="false">
      <c r="A1929" s="4" t="s">
        <v>44</v>
      </c>
      <c r="B1929" s="4" t="s">
        <v>373</v>
      </c>
      <c r="C1929" s="47" t="n">
        <v>14823.49</v>
      </c>
      <c r="D1929" s="48" t="n">
        <v>1702.64</v>
      </c>
      <c r="E1929" s="49" t="n">
        <f aca="false">D1929-cover</f>
        <v>1701.44</v>
      </c>
      <c r="F1929" s="50" t="n">
        <f aca="false">'Z6 Nkangamo-Uhuru'!S18-'Z6 Nkangamo-Uhuru'!P18*C1929/'Z6 Nkangamo-Uhuru'!G18</f>
        <v>1715.13835562705</v>
      </c>
      <c r="G1929" s="51" t="n">
        <f aca="false">'Z6 Nkangamo-Uhuru'!$B$8-E1929</f>
        <v>5.05999999999995</v>
      </c>
      <c r="H1929" s="52" t="n">
        <f aca="false">F1929-E1929</f>
        <v>13.6983556270536</v>
      </c>
      <c r="I1929" s="52" t="n">
        <f aca="false">MAX(H1929,G1929)</f>
        <v>13.6983556270536</v>
      </c>
      <c r="J1929" s="4" t="str">
        <f aca="false">IFERROR("PN"&amp;SMALL(PN_list,COUNTIF(PN_list,"&lt;"&amp;I1929*bar_per_m)+1),"&gt; max PN")</f>
        <v>PN10</v>
      </c>
      <c r="K1929" s="4" t="str">
        <f aca="false">IF(L1929="no","end at tank",IF(H1929&lt;0,"NEGATIVE",IF(H1929&lt;p_min-0.005,"low","OK")))</f>
        <v>OK</v>
      </c>
      <c r="L1929" s="4" t="s">
        <v>414</v>
      </c>
    </row>
    <row r="1930" customFormat="false" ht="15" hidden="false" customHeight="false" outlineLevel="0" collapsed="false">
      <c r="A1930" s="4" t="s">
        <v>44</v>
      </c>
      <c r="B1930" s="4" t="s">
        <v>373</v>
      </c>
      <c r="C1930" s="47" t="n">
        <v>14843.49</v>
      </c>
      <c r="D1930" s="48" t="n">
        <v>1702.39</v>
      </c>
      <c r="E1930" s="49" t="n">
        <f aca="false">D1930-cover</f>
        <v>1701.19</v>
      </c>
      <c r="F1930" s="50" t="n">
        <f aca="false">'Z6 Nkangamo-Uhuru'!S18-'Z6 Nkangamo-Uhuru'!P18*C1930/'Z6 Nkangamo-Uhuru'!G18</f>
        <v>1715.10720232411</v>
      </c>
      <c r="G1930" s="51" t="n">
        <f aca="false">'Z6 Nkangamo-Uhuru'!$B$8-E1930</f>
        <v>5.30999999999995</v>
      </c>
      <c r="H1930" s="52" t="n">
        <f aca="false">F1930-E1930</f>
        <v>13.9172023241067</v>
      </c>
      <c r="I1930" s="52" t="n">
        <f aca="false">MAX(H1930,G1930)</f>
        <v>13.9172023241067</v>
      </c>
      <c r="J1930" s="4" t="str">
        <f aca="false">IFERROR("PN"&amp;SMALL(PN_list,COUNTIF(PN_list,"&lt;"&amp;I1930*bar_per_m)+1),"&gt; max PN")</f>
        <v>PN10</v>
      </c>
      <c r="K1930" s="4" t="str">
        <f aca="false">IF(L1930="no","end at tank",IF(H1930&lt;0,"NEGATIVE",IF(H1930&lt;p_min-0.005,"low","OK")))</f>
        <v>OK</v>
      </c>
      <c r="L1930" s="4" t="s">
        <v>414</v>
      </c>
    </row>
    <row r="1931" customFormat="false" ht="15" hidden="false" customHeight="false" outlineLevel="0" collapsed="false">
      <c r="A1931" s="4" t="s">
        <v>44</v>
      </c>
      <c r="B1931" s="4" t="s">
        <v>373</v>
      </c>
      <c r="C1931" s="47" t="n">
        <v>14863.51</v>
      </c>
      <c r="D1931" s="48" t="n">
        <v>1701.53</v>
      </c>
      <c r="E1931" s="49" t="n">
        <f aca="false">D1931-cover</f>
        <v>1700.33</v>
      </c>
      <c r="F1931" s="50" t="n">
        <f aca="false">'Z6 Nkangamo-Uhuru'!S18-'Z6 Nkangamo-Uhuru'!P18*C1931/'Z6 Nkangamo-Uhuru'!G18</f>
        <v>1715.07601786786</v>
      </c>
      <c r="G1931" s="51" t="n">
        <f aca="false">'Z6 Nkangamo-Uhuru'!$B$8-E1931</f>
        <v>6.17000000000007</v>
      </c>
      <c r="H1931" s="52" t="n">
        <f aca="false">F1931-E1931</f>
        <v>14.7460178678571</v>
      </c>
      <c r="I1931" s="52" t="n">
        <f aca="false">MAX(H1931,G1931)</f>
        <v>14.7460178678571</v>
      </c>
      <c r="J1931" s="4" t="str">
        <f aca="false">IFERROR("PN"&amp;SMALL(PN_list,COUNTIF(PN_list,"&lt;"&amp;I1931*bar_per_m)+1),"&gt; max PN")</f>
        <v>PN10</v>
      </c>
      <c r="K1931" s="4" t="str">
        <f aca="false">IF(L1931="no","end at tank",IF(H1931&lt;0,"NEGATIVE",IF(H1931&lt;p_min-0.005,"low","OK")))</f>
        <v>OK</v>
      </c>
      <c r="L1931" s="4" t="s">
        <v>414</v>
      </c>
    </row>
    <row r="1932" customFormat="false" ht="15" hidden="false" customHeight="false" outlineLevel="0" collapsed="false">
      <c r="A1932" s="4" t="s">
        <v>44</v>
      </c>
      <c r="B1932" s="4" t="s">
        <v>373</v>
      </c>
      <c r="C1932" s="47" t="n">
        <v>14883.52</v>
      </c>
      <c r="D1932" s="48" t="n">
        <v>1700.91</v>
      </c>
      <c r="E1932" s="49" t="n">
        <f aca="false">D1932-cover</f>
        <v>1699.71</v>
      </c>
      <c r="F1932" s="50" t="n">
        <f aca="false">'Z6 Nkangamo-Uhuru'!S18-'Z6 Nkangamo-Uhuru'!P18*C1932/'Z6 Nkangamo-Uhuru'!G18</f>
        <v>1715.04484898826</v>
      </c>
      <c r="G1932" s="51" t="n">
        <f aca="false">'Z6 Nkangamo-Uhuru'!$B$8-E1932</f>
        <v>6.78999999999996</v>
      </c>
      <c r="H1932" s="52" t="n">
        <f aca="false">F1932-E1932</f>
        <v>15.3348489882587</v>
      </c>
      <c r="I1932" s="52" t="n">
        <f aca="false">MAX(H1932,G1932)</f>
        <v>15.3348489882587</v>
      </c>
      <c r="J1932" s="4" t="str">
        <f aca="false">IFERROR("PN"&amp;SMALL(PN_list,COUNTIF(PN_list,"&lt;"&amp;I1932*bar_per_m)+1),"&gt; max PN")</f>
        <v>PN10</v>
      </c>
      <c r="K1932" s="4" t="str">
        <f aca="false">IF(L1932="no","end at tank",IF(H1932&lt;0,"NEGATIVE",IF(H1932&lt;p_min-0.005,"low","OK")))</f>
        <v>OK</v>
      </c>
      <c r="L1932" s="4" t="s">
        <v>414</v>
      </c>
    </row>
    <row r="1933" customFormat="false" ht="15" hidden="false" customHeight="false" outlineLevel="0" collapsed="false">
      <c r="A1933" s="4" t="s">
        <v>44</v>
      </c>
      <c r="B1933" s="4" t="s">
        <v>373</v>
      </c>
      <c r="C1933" s="47" t="n">
        <v>14903.53</v>
      </c>
      <c r="D1933" s="48" t="n">
        <v>1700.39</v>
      </c>
      <c r="E1933" s="49" t="n">
        <f aca="false">D1933-cover</f>
        <v>1699.19</v>
      </c>
      <c r="F1933" s="50" t="n">
        <f aca="false">'Z6 Nkangamo-Uhuru'!S18-'Z6 Nkangamo-Uhuru'!P18*C1933/'Z6 Nkangamo-Uhuru'!G18</f>
        <v>1715.01368010866</v>
      </c>
      <c r="G1933" s="51" t="n">
        <f aca="false">'Z6 Nkangamo-Uhuru'!$B$8-E1933</f>
        <v>7.30999999999995</v>
      </c>
      <c r="H1933" s="52" t="n">
        <f aca="false">F1933-E1933</f>
        <v>15.8236801086605</v>
      </c>
      <c r="I1933" s="52" t="n">
        <f aca="false">MAX(H1933,G1933)</f>
        <v>15.8236801086605</v>
      </c>
      <c r="J1933" s="4" t="str">
        <f aca="false">IFERROR("PN"&amp;SMALL(PN_list,COUNTIF(PN_list,"&lt;"&amp;I1933*bar_per_m)+1),"&gt; max PN")</f>
        <v>PN10</v>
      </c>
      <c r="K1933" s="4" t="str">
        <f aca="false">IF(L1933="no","end at tank",IF(H1933&lt;0,"NEGATIVE",IF(H1933&lt;p_min-0.005,"low","OK")))</f>
        <v>OK</v>
      </c>
      <c r="L1933" s="4" t="s">
        <v>414</v>
      </c>
    </row>
    <row r="1934" customFormat="false" ht="15" hidden="false" customHeight="false" outlineLevel="0" collapsed="false">
      <c r="A1934" s="4" t="s">
        <v>44</v>
      </c>
      <c r="B1934" s="4" t="s">
        <v>373</v>
      </c>
      <c r="C1934" s="47" t="n">
        <v>14923.54</v>
      </c>
      <c r="D1934" s="48" t="n">
        <v>1699.82</v>
      </c>
      <c r="E1934" s="49" t="n">
        <f aca="false">D1934-cover</f>
        <v>1698.62</v>
      </c>
      <c r="F1934" s="50" t="n">
        <f aca="false">'Z6 Nkangamo-Uhuru'!S18-'Z6 Nkangamo-Uhuru'!P18*C1934/'Z6 Nkangamo-Uhuru'!G18</f>
        <v>1714.98251122906</v>
      </c>
      <c r="G1934" s="51" t="n">
        <f aca="false">'Z6 Nkangamo-Uhuru'!$B$8-E1934</f>
        <v>7.88000000000011</v>
      </c>
      <c r="H1934" s="52" t="n">
        <f aca="false">F1934-E1934</f>
        <v>16.3625112290622</v>
      </c>
      <c r="I1934" s="52" t="n">
        <f aca="false">MAX(H1934,G1934)</f>
        <v>16.3625112290622</v>
      </c>
      <c r="J1934" s="4" t="str">
        <f aca="false">IFERROR("PN"&amp;SMALL(PN_list,COUNTIF(PN_list,"&lt;"&amp;I1934*bar_per_m)+1),"&gt; max PN")</f>
        <v>PN10</v>
      </c>
      <c r="K1934" s="4" t="str">
        <f aca="false">IF(L1934="no","end at tank",IF(H1934&lt;0,"NEGATIVE",IF(H1934&lt;p_min-0.005,"low","OK")))</f>
        <v>OK</v>
      </c>
      <c r="L1934" s="4" t="s">
        <v>414</v>
      </c>
    </row>
    <row r="1935" customFormat="false" ht="15" hidden="false" customHeight="false" outlineLevel="0" collapsed="false">
      <c r="A1935" s="4" t="s">
        <v>44</v>
      </c>
      <c r="B1935" s="4" t="s">
        <v>373</v>
      </c>
      <c r="C1935" s="47" t="n">
        <v>14943.55</v>
      </c>
      <c r="D1935" s="48" t="n">
        <v>1699.12</v>
      </c>
      <c r="E1935" s="49" t="n">
        <f aca="false">D1935-cover</f>
        <v>1697.92</v>
      </c>
      <c r="F1935" s="50" t="n">
        <f aca="false">'Z6 Nkangamo-Uhuru'!S18-'Z6 Nkangamo-Uhuru'!P18*C1935/'Z6 Nkangamo-Uhuru'!G18</f>
        <v>1714.95134234946</v>
      </c>
      <c r="G1935" s="51" t="n">
        <f aca="false">'Z6 Nkangamo-Uhuru'!$B$8-E1935</f>
        <v>8.58000000000016</v>
      </c>
      <c r="H1935" s="52" t="n">
        <f aca="false">F1935-E1935</f>
        <v>17.031342349464</v>
      </c>
      <c r="I1935" s="52" t="n">
        <f aca="false">MAX(H1935,G1935)</f>
        <v>17.031342349464</v>
      </c>
      <c r="J1935" s="4" t="str">
        <f aca="false">IFERROR("PN"&amp;SMALL(PN_list,COUNTIF(PN_list,"&lt;"&amp;I1935*bar_per_m)+1),"&gt; max PN")</f>
        <v>PN10</v>
      </c>
      <c r="K1935" s="4" t="str">
        <f aca="false">IF(L1935="no","end at tank",IF(H1935&lt;0,"NEGATIVE",IF(H1935&lt;p_min-0.005,"low","OK")))</f>
        <v>OK</v>
      </c>
      <c r="L1935" s="4" t="s">
        <v>414</v>
      </c>
    </row>
    <row r="1936" customFormat="false" ht="15" hidden="false" customHeight="false" outlineLevel="0" collapsed="false">
      <c r="A1936" s="4" t="s">
        <v>44</v>
      </c>
      <c r="B1936" s="4" t="s">
        <v>373</v>
      </c>
      <c r="C1936" s="47" t="n">
        <v>14963.56</v>
      </c>
      <c r="D1936" s="48" t="n">
        <v>1698.48</v>
      </c>
      <c r="E1936" s="49" t="n">
        <f aca="false">D1936-cover</f>
        <v>1697.28</v>
      </c>
      <c r="F1936" s="50" t="n">
        <f aca="false">'Z6 Nkangamo-Uhuru'!S18-'Z6 Nkangamo-Uhuru'!P18*C1936/'Z6 Nkangamo-Uhuru'!G18</f>
        <v>1714.92017346987</v>
      </c>
      <c r="G1936" s="51" t="n">
        <f aca="false">'Z6 Nkangamo-Uhuru'!$B$8-E1936</f>
        <v>9.22000000000003</v>
      </c>
      <c r="H1936" s="52" t="n">
        <f aca="false">F1936-E1936</f>
        <v>17.6401734698657</v>
      </c>
      <c r="I1936" s="52" t="n">
        <f aca="false">MAX(H1936,G1936)</f>
        <v>17.6401734698657</v>
      </c>
      <c r="J1936" s="4" t="str">
        <f aca="false">IFERROR("PN"&amp;SMALL(PN_list,COUNTIF(PN_list,"&lt;"&amp;I1936*bar_per_m)+1),"&gt; max PN")</f>
        <v>PN10</v>
      </c>
      <c r="K1936" s="4" t="str">
        <f aca="false">IF(L1936="no","end at tank",IF(H1936&lt;0,"NEGATIVE",IF(H1936&lt;p_min-0.005,"low","OK")))</f>
        <v>OK</v>
      </c>
      <c r="L1936" s="4" t="s">
        <v>414</v>
      </c>
    </row>
    <row r="1937" customFormat="false" ht="15" hidden="false" customHeight="false" outlineLevel="0" collapsed="false">
      <c r="A1937" s="4" t="s">
        <v>44</v>
      </c>
      <c r="B1937" s="4" t="s">
        <v>373</v>
      </c>
      <c r="C1937" s="47" t="n">
        <v>14983.57</v>
      </c>
      <c r="D1937" s="48" t="n">
        <v>1697.91</v>
      </c>
      <c r="E1937" s="49" t="n">
        <f aca="false">D1937-cover</f>
        <v>1696.71</v>
      </c>
      <c r="F1937" s="50" t="n">
        <f aca="false">'Z6 Nkangamo-Uhuru'!S18-'Z6 Nkangamo-Uhuru'!P18*C1937/'Z6 Nkangamo-Uhuru'!G18</f>
        <v>1714.88900459027</v>
      </c>
      <c r="G1937" s="51" t="n">
        <f aca="false">'Z6 Nkangamo-Uhuru'!$B$8-E1937</f>
        <v>9.78999999999996</v>
      </c>
      <c r="H1937" s="52" t="n">
        <f aca="false">F1937-E1937</f>
        <v>18.1790045902671</v>
      </c>
      <c r="I1937" s="52" t="n">
        <f aca="false">MAX(H1937,G1937)</f>
        <v>18.1790045902671</v>
      </c>
      <c r="J1937" s="4" t="str">
        <f aca="false">IFERROR("PN"&amp;SMALL(PN_list,COUNTIF(PN_list,"&lt;"&amp;I1937*bar_per_m)+1),"&gt; max PN")</f>
        <v>PN10</v>
      </c>
      <c r="K1937" s="4" t="str">
        <f aca="false">IF(L1937="no","end at tank",IF(H1937&lt;0,"NEGATIVE",IF(H1937&lt;p_min-0.005,"low","OK")))</f>
        <v>OK</v>
      </c>
      <c r="L1937" s="4" t="s">
        <v>414</v>
      </c>
    </row>
    <row r="1938" customFormat="false" ht="15" hidden="false" customHeight="false" outlineLevel="0" collapsed="false">
      <c r="A1938" s="4" t="s">
        <v>44</v>
      </c>
      <c r="B1938" s="4" t="s">
        <v>373</v>
      </c>
      <c r="C1938" s="47" t="n">
        <v>15003.57</v>
      </c>
      <c r="D1938" s="48" t="n">
        <v>1697.74</v>
      </c>
      <c r="E1938" s="49" t="n">
        <f aca="false">D1938-cover</f>
        <v>1696.54</v>
      </c>
      <c r="F1938" s="50" t="n">
        <f aca="false">'Z6 Nkangamo-Uhuru'!S18-'Z6 Nkangamo-Uhuru'!P18*C1938/'Z6 Nkangamo-Uhuru'!G18</f>
        <v>1714.85785128732</v>
      </c>
      <c r="G1938" s="51" t="n">
        <f aca="false">'Z6 Nkangamo-Uhuru'!$B$8-E1938</f>
        <v>9.96000000000004</v>
      </c>
      <c r="H1938" s="52" t="n">
        <f aca="false">F1938-E1938</f>
        <v>18.3178512873205</v>
      </c>
      <c r="I1938" s="52" t="n">
        <f aca="false">MAX(H1938,G1938)</f>
        <v>18.3178512873205</v>
      </c>
      <c r="J1938" s="4" t="str">
        <f aca="false">IFERROR("PN"&amp;SMALL(PN_list,COUNTIF(PN_list,"&lt;"&amp;I1938*bar_per_m)+1),"&gt; max PN")</f>
        <v>PN10</v>
      </c>
      <c r="K1938" s="4" t="str">
        <f aca="false">IF(L1938="no","end at tank",IF(H1938&lt;0,"NEGATIVE",IF(H1938&lt;p_min-0.005,"low","OK")))</f>
        <v>OK</v>
      </c>
      <c r="L1938" s="4" t="s">
        <v>414</v>
      </c>
    </row>
    <row r="1939" customFormat="false" ht="15" hidden="false" customHeight="false" outlineLevel="0" collapsed="false">
      <c r="A1939" s="4" t="s">
        <v>44</v>
      </c>
      <c r="B1939" s="4" t="s">
        <v>373</v>
      </c>
      <c r="C1939" s="47" t="n">
        <v>15023.58</v>
      </c>
      <c r="D1939" s="48" t="n">
        <v>1696.94</v>
      </c>
      <c r="E1939" s="49" t="n">
        <f aca="false">D1939-cover</f>
        <v>1695.74</v>
      </c>
      <c r="F1939" s="50" t="n">
        <f aca="false">'Z6 Nkangamo-Uhuru'!S18-'Z6 Nkangamo-Uhuru'!P18*C1939/'Z6 Nkangamo-Uhuru'!G18</f>
        <v>1714.82668240772</v>
      </c>
      <c r="G1939" s="51" t="n">
        <f aca="false">'Z6 Nkangamo-Uhuru'!$B$8-E1939</f>
        <v>10.76</v>
      </c>
      <c r="H1939" s="52" t="n">
        <f aca="false">F1939-E1939</f>
        <v>19.086682407722</v>
      </c>
      <c r="I1939" s="52" t="n">
        <f aca="false">MAX(H1939,G1939)</f>
        <v>19.086682407722</v>
      </c>
      <c r="J1939" s="4" t="str">
        <f aca="false">IFERROR("PN"&amp;SMALL(PN_list,COUNTIF(PN_list,"&lt;"&amp;I1939*bar_per_m)+1),"&gt; max PN")</f>
        <v>PN10</v>
      </c>
      <c r="K1939" s="4" t="str">
        <f aca="false">IF(L1939="no","end at tank",IF(H1939&lt;0,"NEGATIVE",IF(H1939&lt;p_min-0.005,"low","OK")))</f>
        <v>OK</v>
      </c>
      <c r="L1939" s="4" t="s">
        <v>414</v>
      </c>
    </row>
    <row r="1940" customFormat="false" ht="15" hidden="false" customHeight="false" outlineLevel="0" collapsed="false">
      <c r="A1940" s="4" t="s">
        <v>44</v>
      </c>
      <c r="B1940" s="4" t="s">
        <v>373</v>
      </c>
      <c r="C1940" s="47" t="n">
        <v>15043.59</v>
      </c>
      <c r="D1940" s="48" t="n">
        <v>1696.44</v>
      </c>
      <c r="E1940" s="49" t="n">
        <f aca="false">D1940-cover</f>
        <v>1695.24</v>
      </c>
      <c r="F1940" s="50" t="n">
        <f aca="false">'Z6 Nkangamo-Uhuru'!S18-'Z6 Nkangamo-Uhuru'!P18*C1940/'Z6 Nkangamo-Uhuru'!G18</f>
        <v>1714.79551352812</v>
      </c>
      <c r="G1940" s="51" t="n">
        <f aca="false">'Z6 Nkangamo-Uhuru'!$B$8-E1940</f>
        <v>11.26</v>
      </c>
      <c r="H1940" s="52" t="n">
        <f aca="false">F1940-E1940</f>
        <v>19.5555135281238</v>
      </c>
      <c r="I1940" s="52" t="n">
        <f aca="false">MAX(H1940,G1940)</f>
        <v>19.5555135281238</v>
      </c>
      <c r="J1940" s="4" t="str">
        <f aca="false">IFERROR("PN"&amp;SMALL(PN_list,COUNTIF(PN_list,"&lt;"&amp;I1940*bar_per_m)+1),"&gt; max PN")</f>
        <v>PN10</v>
      </c>
      <c r="K1940" s="4" t="str">
        <f aca="false">IF(L1940="no","end at tank",IF(H1940&lt;0,"NEGATIVE",IF(H1940&lt;p_min-0.005,"low","OK")))</f>
        <v>OK</v>
      </c>
      <c r="L1940" s="4" t="s">
        <v>414</v>
      </c>
    </row>
    <row r="1941" customFormat="false" ht="15" hidden="false" customHeight="false" outlineLevel="0" collapsed="false">
      <c r="A1941" s="4" t="s">
        <v>44</v>
      </c>
      <c r="B1941" s="4" t="s">
        <v>373</v>
      </c>
      <c r="C1941" s="47" t="n">
        <v>15063.59</v>
      </c>
      <c r="D1941" s="48" t="n">
        <v>1696.02</v>
      </c>
      <c r="E1941" s="49" t="n">
        <f aca="false">D1941-cover</f>
        <v>1694.82</v>
      </c>
      <c r="F1941" s="50" t="n">
        <f aca="false">'Z6 Nkangamo-Uhuru'!S18-'Z6 Nkangamo-Uhuru'!P18*C1941/'Z6 Nkangamo-Uhuru'!G18</f>
        <v>1714.76436022518</v>
      </c>
      <c r="G1941" s="51" t="n">
        <f aca="false">'Z6 Nkangamo-Uhuru'!$B$8-E1941</f>
        <v>11.6800000000001</v>
      </c>
      <c r="H1941" s="52" t="n">
        <f aca="false">F1941-E1941</f>
        <v>19.944360225177</v>
      </c>
      <c r="I1941" s="52" t="n">
        <f aca="false">MAX(H1941,G1941)</f>
        <v>19.944360225177</v>
      </c>
      <c r="J1941" s="4" t="str">
        <f aca="false">IFERROR("PN"&amp;SMALL(PN_list,COUNTIF(PN_list,"&lt;"&amp;I1941*bar_per_m)+1),"&gt; max PN")</f>
        <v>PN10</v>
      </c>
      <c r="K1941" s="4" t="str">
        <f aca="false">IF(L1941="no","end at tank",IF(H1941&lt;0,"NEGATIVE",IF(H1941&lt;p_min-0.005,"low","OK")))</f>
        <v>OK</v>
      </c>
      <c r="L1941" s="4" t="s">
        <v>414</v>
      </c>
    </row>
    <row r="1942" customFormat="false" ht="15" hidden="false" customHeight="false" outlineLevel="0" collapsed="false">
      <c r="A1942" s="4" t="s">
        <v>44</v>
      </c>
      <c r="B1942" s="4" t="s">
        <v>373</v>
      </c>
      <c r="C1942" s="47" t="n">
        <v>15083.6</v>
      </c>
      <c r="D1942" s="48" t="n">
        <v>1695.72</v>
      </c>
      <c r="E1942" s="49" t="n">
        <f aca="false">D1942-cover</f>
        <v>1694.52</v>
      </c>
      <c r="F1942" s="50" t="n">
        <f aca="false">'Z6 Nkangamo-Uhuru'!S18-'Z6 Nkangamo-Uhuru'!P18*C1942/'Z6 Nkangamo-Uhuru'!G18</f>
        <v>1714.73319134558</v>
      </c>
      <c r="G1942" s="51" t="n">
        <f aca="false">'Z6 Nkangamo-Uhuru'!$B$8-E1942</f>
        <v>11.98</v>
      </c>
      <c r="H1942" s="52" t="n">
        <f aca="false">F1942-E1942</f>
        <v>20.2131913455787</v>
      </c>
      <c r="I1942" s="52" t="n">
        <f aca="false">MAX(H1942,G1942)</f>
        <v>20.2131913455787</v>
      </c>
      <c r="J1942" s="4" t="str">
        <f aca="false">IFERROR("PN"&amp;SMALL(PN_list,COUNTIF(PN_list,"&lt;"&amp;I1942*bar_per_m)+1),"&gt; max PN")</f>
        <v>PN10</v>
      </c>
      <c r="K1942" s="4" t="str">
        <f aca="false">IF(L1942="no","end at tank",IF(H1942&lt;0,"NEGATIVE",IF(H1942&lt;p_min-0.005,"low","OK")))</f>
        <v>OK</v>
      </c>
      <c r="L1942" s="4" t="s">
        <v>414</v>
      </c>
    </row>
    <row r="1943" customFormat="false" ht="15" hidden="false" customHeight="false" outlineLevel="0" collapsed="false">
      <c r="A1943" s="4" t="s">
        <v>44</v>
      </c>
      <c r="B1943" s="4" t="s">
        <v>373</v>
      </c>
      <c r="C1943" s="47" t="n">
        <v>15103.6</v>
      </c>
      <c r="D1943" s="48" t="n">
        <v>1696.06</v>
      </c>
      <c r="E1943" s="49" t="n">
        <f aca="false">D1943-cover</f>
        <v>1694.86</v>
      </c>
      <c r="F1943" s="50" t="n">
        <f aca="false">'Z6 Nkangamo-Uhuru'!S18-'Z6 Nkangamo-Uhuru'!P18*C1943/'Z6 Nkangamo-Uhuru'!G18</f>
        <v>1714.70203804263</v>
      </c>
      <c r="G1943" s="51" t="n">
        <f aca="false">'Z6 Nkangamo-Uhuru'!$B$8-E1943</f>
        <v>11.6400000000001</v>
      </c>
      <c r="H1943" s="52" t="n">
        <f aca="false">F1943-E1943</f>
        <v>19.8420380426319</v>
      </c>
      <c r="I1943" s="52" t="n">
        <f aca="false">MAX(H1943,G1943)</f>
        <v>19.8420380426319</v>
      </c>
      <c r="J1943" s="4" t="str">
        <f aca="false">IFERROR("PN"&amp;SMALL(PN_list,COUNTIF(PN_list,"&lt;"&amp;I1943*bar_per_m)+1),"&gt; max PN")</f>
        <v>PN10</v>
      </c>
      <c r="K1943" s="4" t="str">
        <f aca="false">IF(L1943="no","end at tank",IF(H1943&lt;0,"NEGATIVE",IF(H1943&lt;p_min-0.005,"low","OK")))</f>
        <v>OK</v>
      </c>
      <c r="L1943" s="4" t="s">
        <v>414</v>
      </c>
    </row>
    <row r="1944" customFormat="false" ht="15" hidden="false" customHeight="false" outlineLevel="0" collapsed="false">
      <c r="A1944" s="4" t="s">
        <v>44</v>
      </c>
      <c r="B1944" s="4" t="s">
        <v>373</v>
      </c>
      <c r="C1944" s="47" t="n">
        <v>15123.6</v>
      </c>
      <c r="D1944" s="48" t="n">
        <v>1696.06</v>
      </c>
      <c r="E1944" s="49" t="n">
        <f aca="false">D1944-cover</f>
        <v>1694.86</v>
      </c>
      <c r="F1944" s="50" t="n">
        <f aca="false">'Z6 Nkangamo-Uhuru'!S18-'Z6 Nkangamo-Uhuru'!P18*C1944/'Z6 Nkangamo-Uhuru'!G18</f>
        <v>1714.67088473969</v>
      </c>
      <c r="G1944" s="51" t="n">
        <f aca="false">'Z6 Nkangamo-Uhuru'!$B$8-E1944</f>
        <v>11.6400000000001</v>
      </c>
      <c r="H1944" s="52" t="n">
        <f aca="false">F1944-E1944</f>
        <v>19.8108847396852</v>
      </c>
      <c r="I1944" s="52" t="n">
        <f aca="false">MAX(H1944,G1944)</f>
        <v>19.8108847396852</v>
      </c>
      <c r="J1944" s="4" t="str">
        <f aca="false">IFERROR("PN"&amp;SMALL(PN_list,COUNTIF(PN_list,"&lt;"&amp;I1944*bar_per_m)+1),"&gt; max PN")</f>
        <v>PN10</v>
      </c>
      <c r="K1944" s="4" t="str">
        <f aca="false">IF(L1944="no","end at tank",IF(H1944&lt;0,"NEGATIVE",IF(H1944&lt;p_min-0.005,"low","OK")))</f>
        <v>OK</v>
      </c>
      <c r="L1944" s="4" t="s">
        <v>414</v>
      </c>
    </row>
    <row r="1945" customFormat="false" ht="15" hidden="false" customHeight="false" outlineLevel="0" collapsed="false">
      <c r="A1945" s="4" t="s">
        <v>44</v>
      </c>
      <c r="B1945" s="4" t="s">
        <v>373</v>
      </c>
      <c r="C1945" s="47" t="n">
        <v>15143.67</v>
      </c>
      <c r="D1945" s="48" t="n">
        <v>1694.33</v>
      </c>
      <c r="E1945" s="49" t="n">
        <f aca="false">D1945-cover</f>
        <v>1693.13</v>
      </c>
      <c r="F1945" s="50" t="n">
        <f aca="false">'Z6 Nkangamo-Uhuru'!S18-'Z6 Nkangamo-Uhuru'!P18*C1945/'Z6 Nkangamo-Uhuru'!G18</f>
        <v>1714.63962240018</v>
      </c>
      <c r="G1945" s="51" t="n">
        <f aca="false">'Z6 Nkangamo-Uhuru'!$B$8-E1945</f>
        <v>13.3700000000001</v>
      </c>
      <c r="H1945" s="52" t="n">
        <f aca="false">F1945-E1945</f>
        <v>21.5096224001779</v>
      </c>
      <c r="I1945" s="52" t="n">
        <f aca="false">MAX(H1945,G1945)</f>
        <v>21.5096224001779</v>
      </c>
      <c r="J1945" s="4" t="str">
        <f aca="false">IFERROR("PN"&amp;SMALL(PN_list,COUNTIF(PN_list,"&lt;"&amp;I1945*bar_per_m)+1),"&gt; max PN")</f>
        <v>PN10</v>
      </c>
      <c r="K1945" s="4" t="str">
        <f aca="false">IF(L1945="no","end at tank",IF(H1945&lt;0,"NEGATIVE",IF(H1945&lt;p_min-0.005,"low","OK")))</f>
        <v>OK</v>
      </c>
      <c r="L1945" s="4" t="s">
        <v>414</v>
      </c>
    </row>
    <row r="1946" customFormat="false" ht="15" hidden="false" customHeight="false" outlineLevel="0" collapsed="false">
      <c r="A1946" s="4" t="s">
        <v>44</v>
      </c>
      <c r="B1946" s="4" t="s">
        <v>373</v>
      </c>
      <c r="C1946" s="47" t="n">
        <v>15163.68</v>
      </c>
      <c r="D1946" s="48" t="n">
        <v>1693.96</v>
      </c>
      <c r="E1946" s="49" t="n">
        <f aca="false">D1946-cover</f>
        <v>1692.76</v>
      </c>
      <c r="F1946" s="50" t="n">
        <f aca="false">'Z6 Nkangamo-Uhuru'!S18-'Z6 Nkangamo-Uhuru'!P18*C1946/'Z6 Nkangamo-Uhuru'!G18</f>
        <v>1714.60845352058</v>
      </c>
      <c r="G1946" s="51" t="n">
        <f aca="false">'Z6 Nkangamo-Uhuru'!$B$8-E1946</f>
        <v>13.74</v>
      </c>
      <c r="H1946" s="52" t="n">
        <f aca="false">F1946-E1946</f>
        <v>21.8484535205796</v>
      </c>
      <c r="I1946" s="52" t="n">
        <f aca="false">MAX(H1946,G1946)</f>
        <v>21.8484535205796</v>
      </c>
      <c r="J1946" s="4" t="str">
        <f aca="false">IFERROR("PN"&amp;SMALL(PN_list,COUNTIF(PN_list,"&lt;"&amp;I1946*bar_per_m)+1),"&gt; max PN")</f>
        <v>PN10</v>
      </c>
      <c r="K1946" s="4" t="str">
        <f aca="false">IF(L1946="no","end at tank",IF(H1946&lt;0,"NEGATIVE",IF(H1946&lt;p_min-0.005,"low","OK")))</f>
        <v>OK</v>
      </c>
      <c r="L1946" s="4" t="s">
        <v>414</v>
      </c>
    </row>
    <row r="1947" customFormat="false" ht="15" hidden="false" customHeight="false" outlineLevel="0" collapsed="false">
      <c r="A1947" s="4" t="s">
        <v>44</v>
      </c>
      <c r="B1947" s="4" t="s">
        <v>373</v>
      </c>
      <c r="C1947" s="47" t="n">
        <v>15183.68</v>
      </c>
      <c r="D1947" s="48" t="n">
        <v>1693.43</v>
      </c>
      <c r="E1947" s="49" t="n">
        <f aca="false">D1947-cover</f>
        <v>1692.23</v>
      </c>
      <c r="F1947" s="50" t="n">
        <f aca="false">'Z6 Nkangamo-Uhuru'!S18-'Z6 Nkangamo-Uhuru'!P18*C1947/'Z6 Nkangamo-Uhuru'!G18</f>
        <v>1714.57730021763</v>
      </c>
      <c r="G1947" s="51" t="n">
        <f aca="false">'Z6 Nkangamo-Uhuru'!$B$8-E1947</f>
        <v>14.27</v>
      </c>
      <c r="H1947" s="52" t="n">
        <f aca="false">F1947-E1947</f>
        <v>22.3473002176327</v>
      </c>
      <c r="I1947" s="52" t="n">
        <f aca="false">MAX(H1947,G1947)</f>
        <v>22.3473002176327</v>
      </c>
      <c r="J1947" s="4" t="str">
        <f aca="false">IFERROR("PN"&amp;SMALL(PN_list,COUNTIF(PN_list,"&lt;"&amp;I1947*bar_per_m)+1),"&gt; max PN")</f>
        <v>PN10</v>
      </c>
      <c r="K1947" s="4" t="str">
        <f aca="false">IF(L1947="no","end at tank",IF(H1947&lt;0,"NEGATIVE",IF(H1947&lt;p_min-0.005,"low","OK")))</f>
        <v>OK</v>
      </c>
      <c r="L1947" s="4" t="s">
        <v>414</v>
      </c>
    </row>
    <row r="1948" customFormat="false" ht="15" hidden="false" customHeight="false" outlineLevel="0" collapsed="false">
      <c r="A1948" s="4" t="s">
        <v>44</v>
      </c>
      <c r="B1948" s="4" t="s">
        <v>373</v>
      </c>
      <c r="C1948" s="47" t="n">
        <v>15203.76</v>
      </c>
      <c r="D1948" s="48" t="n">
        <v>1693.09</v>
      </c>
      <c r="E1948" s="49" t="n">
        <f aca="false">D1948-cover</f>
        <v>1691.89</v>
      </c>
      <c r="F1948" s="50" t="n">
        <f aca="false">'Z6 Nkangamo-Uhuru'!S18-'Z6 Nkangamo-Uhuru'!P18*C1948/'Z6 Nkangamo-Uhuru'!G18</f>
        <v>1714.54602230147</v>
      </c>
      <c r="G1948" s="51" t="n">
        <f aca="false">'Z6 Nkangamo-Uhuru'!$B$8-E1948</f>
        <v>14.6100000000001</v>
      </c>
      <c r="H1948" s="52" t="n">
        <f aca="false">F1948-E1948</f>
        <v>22.6560223014742</v>
      </c>
      <c r="I1948" s="52" t="n">
        <f aca="false">MAX(H1948,G1948)</f>
        <v>22.6560223014742</v>
      </c>
      <c r="J1948" s="4" t="str">
        <f aca="false">IFERROR("PN"&amp;SMALL(PN_list,COUNTIF(PN_list,"&lt;"&amp;I1948*bar_per_m)+1),"&gt; max PN")</f>
        <v>PN10</v>
      </c>
      <c r="K1948" s="4" t="str">
        <f aca="false">IF(L1948="no","end at tank",IF(H1948&lt;0,"NEGATIVE",IF(H1948&lt;p_min-0.005,"low","OK")))</f>
        <v>OK</v>
      </c>
      <c r="L1948" s="4" t="s">
        <v>414</v>
      </c>
    </row>
    <row r="1949" customFormat="false" ht="15" hidden="false" customHeight="false" outlineLevel="0" collapsed="false">
      <c r="A1949" s="4" t="s">
        <v>44</v>
      </c>
      <c r="B1949" s="4" t="s">
        <v>373</v>
      </c>
      <c r="C1949" s="47" t="n">
        <v>15223.76</v>
      </c>
      <c r="D1949" s="48" t="n">
        <v>1693.09</v>
      </c>
      <c r="E1949" s="49" t="n">
        <f aca="false">D1949-cover</f>
        <v>1691.89</v>
      </c>
      <c r="F1949" s="50" t="n">
        <f aca="false">'Z6 Nkangamo-Uhuru'!S18-'Z6 Nkangamo-Uhuru'!P18*C1949/'Z6 Nkangamo-Uhuru'!G18</f>
        <v>1714.51486899853</v>
      </c>
      <c r="G1949" s="51" t="n">
        <f aca="false">'Z6 Nkangamo-Uhuru'!$B$8-E1949</f>
        <v>14.6100000000001</v>
      </c>
      <c r="H1949" s="52" t="n">
        <f aca="false">F1949-E1949</f>
        <v>22.6248689985275</v>
      </c>
      <c r="I1949" s="52" t="n">
        <f aca="false">MAX(H1949,G1949)</f>
        <v>22.6248689985275</v>
      </c>
      <c r="J1949" s="4" t="str">
        <f aca="false">IFERROR("PN"&amp;SMALL(PN_list,COUNTIF(PN_list,"&lt;"&amp;I1949*bar_per_m)+1),"&gt; max PN")</f>
        <v>PN10</v>
      </c>
      <c r="K1949" s="4" t="str">
        <f aca="false">IF(L1949="no","end at tank",IF(H1949&lt;0,"NEGATIVE",IF(H1949&lt;p_min-0.005,"low","OK")))</f>
        <v>OK</v>
      </c>
      <c r="L1949" s="4" t="s">
        <v>414</v>
      </c>
    </row>
    <row r="1950" customFormat="false" ht="15" hidden="false" customHeight="false" outlineLevel="0" collapsed="false">
      <c r="A1950" s="4" t="s">
        <v>44</v>
      </c>
      <c r="B1950" s="4" t="s">
        <v>373</v>
      </c>
      <c r="C1950" s="47" t="n">
        <v>15243.76</v>
      </c>
      <c r="D1950" s="48" t="n">
        <v>1692.76</v>
      </c>
      <c r="E1950" s="49" t="n">
        <f aca="false">D1950-cover</f>
        <v>1691.56</v>
      </c>
      <c r="F1950" s="50" t="n">
        <f aca="false">'Z6 Nkangamo-Uhuru'!S18-'Z6 Nkangamo-Uhuru'!P18*C1950/'Z6 Nkangamo-Uhuru'!G18</f>
        <v>1714.48371569558</v>
      </c>
      <c r="G1950" s="51" t="n">
        <f aca="false">'Z6 Nkangamo-Uhuru'!$B$8-E1950</f>
        <v>14.9400000000001</v>
      </c>
      <c r="H1950" s="52" t="n">
        <f aca="false">F1950-E1950</f>
        <v>22.9237156955805</v>
      </c>
      <c r="I1950" s="52" t="n">
        <f aca="false">MAX(H1950,G1950)</f>
        <v>22.9237156955805</v>
      </c>
      <c r="J1950" s="4" t="str">
        <f aca="false">IFERROR("PN"&amp;SMALL(PN_list,COUNTIF(PN_list,"&lt;"&amp;I1950*bar_per_m)+1),"&gt; max PN")</f>
        <v>PN10</v>
      </c>
      <c r="K1950" s="4" t="str">
        <f aca="false">IF(L1950="no","end at tank",IF(H1950&lt;0,"NEGATIVE",IF(H1950&lt;p_min-0.005,"low","OK")))</f>
        <v>OK</v>
      </c>
      <c r="L1950" s="4" t="s">
        <v>414</v>
      </c>
    </row>
    <row r="1951" customFormat="false" ht="15" hidden="false" customHeight="false" outlineLevel="0" collapsed="false">
      <c r="A1951" s="4" t="s">
        <v>44</v>
      </c>
      <c r="B1951" s="4" t="s">
        <v>373</v>
      </c>
      <c r="C1951" s="47" t="n">
        <v>15263.76</v>
      </c>
      <c r="D1951" s="48" t="n">
        <v>1692.62</v>
      </c>
      <c r="E1951" s="49" t="n">
        <f aca="false">D1951-cover</f>
        <v>1691.42</v>
      </c>
      <c r="F1951" s="50" t="n">
        <f aca="false">'Z6 Nkangamo-Uhuru'!S18-'Z6 Nkangamo-Uhuru'!P18*C1951/'Z6 Nkangamo-Uhuru'!G18</f>
        <v>1714.45256239263</v>
      </c>
      <c r="G1951" s="51" t="n">
        <f aca="false">'Z6 Nkangamo-Uhuru'!$B$8-E1951</f>
        <v>15.0800000000002</v>
      </c>
      <c r="H1951" s="52" t="n">
        <f aca="false">F1951-E1951</f>
        <v>23.0325623926337</v>
      </c>
      <c r="I1951" s="52" t="n">
        <f aca="false">MAX(H1951,G1951)</f>
        <v>23.0325623926337</v>
      </c>
      <c r="J1951" s="4" t="str">
        <f aca="false">IFERROR("PN"&amp;SMALL(PN_list,COUNTIF(PN_list,"&lt;"&amp;I1951*bar_per_m)+1),"&gt; max PN")</f>
        <v>PN10</v>
      </c>
      <c r="K1951" s="4" t="str">
        <f aca="false">IF(L1951="no","end at tank",IF(H1951&lt;0,"NEGATIVE",IF(H1951&lt;p_min-0.005,"low","OK")))</f>
        <v>OK</v>
      </c>
      <c r="L1951" s="4" t="s">
        <v>414</v>
      </c>
    </row>
    <row r="1952" customFormat="false" ht="15" hidden="false" customHeight="false" outlineLevel="0" collapsed="false">
      <c r="A1952" s="4" t="s">
        <v>44</v>
      </c>
      <c r="B1952" s="4" t="s">
        <v>373</v>
      </c>
      <c r="C1952" s="47" t="n">
        <v>15283.76</v>
      </c>
      <c r="D1952" s="48" t="n">
        <v>1692.32</v>
      </c>
      <c r="E1952" s="49" t="n">
        <f aca="false">D1952-cover</f>
        <v>1691.12</v>
      </c>
      <c r="F1952" s="50" t="n">
        <f aca="false">'Z6 Nkangamo-Uhuru'!S18-'Z6 Nkangamo-Uhuru'!P18*C1952/'Z6 Nkangamo-Uhuru'!G18</f>
        <v>1714.42140908969</v>
      </c>
      <c r="G1952" s="51" t="n">
        <f aca="false">'Z6 Nkangamo-Uhuru'!$B$8-E1952</f>
        <v>15.3800000000001</v>
      </c>
      <c r="H1952" s="52" t="n">
        <f aca="false">F1952-E1952</f>
        <v>23.301409089687</v>
      </c>
      <c r="I1952" s="52" t="n">
        <f aca="false">MAX(H1952,G1952)</f>
        <v>23.301409089687</v>
      </c>
      <c r="J1952" s="4" t="str">
        <f aca="false">IFERROR("PN"&amp;SMALL(PN_list,COUNTIF(PN_list,"&lt;"&amp;I1952*bar_per_m)+1),"&gt; max PN")</f>
        <v>PN10</v>
      </c>
      <c r="K1952" s="4" t="str">
        <f aca="false">IF(L1952="no","end at tank",IF(H1952&lt;0,"NEGATIVE",IF(H1952&lt;p_min-0.005,"low","OK")))</f>
        <v>OK</v>
      </c>
      <c r="L1952" s="4" t="s">
        <v>414</v>
      </c>
    </row>
    <row r="1953" customFormat="false" ht="15" hidden="false" customHeight="false" outlineLevel="0" collapsed="false">
      <c r="A1953" s="4" t="s">
        <v>44</v>
      </c>
      <c r="B1953" s="4" t="s">
        <v>373</v>
      </c>
      <c r="C1953" s="47" t="n">
        <v>15303.76</v>
      </c>
      <c r="D1953" s="48" t="n">
        <v>1692.52</v>
      </c>
      <c r="E1953" s="49" t="n">
        <f aca="false">D1953-cover</f>
        <v>1691.32</v>
      </c>
      <c r="F1953" s="50" t="n">
        <f aca="false">'Z6 Nkangamo-Uhuru'!S18-'Z6 Nkangamo-Uhuru'!P18*C1953/'Z6 Nkangamo-Uhuru'!G18</f>
        <v>1714.39025578674</v>
      </c>
      <c r="G1953" s="51" t="n">
        <f aca="false">'Z6 Nkangamo-Uhuru'!$B$8-E1953</f>
        <v>15.1800000000001</v>
      </c>
      <c r="H1953" s="52" t="n">
        <f aca="false">F1953-E1953</f>
        <v>23.0702557867401</v>
      </c>
      <c r="I1953" s="52" t="n">
        <f aca="false">MAX(H1953,G1953)</f>
        <v>23.0702557867401</v>
      </c>
      <c r="J1953" s="4" t="str">
        <f aca="false">IFERROR("PN"&amp;SMALL(PN_list,COUNTIF(PN_list,"&lt;"&amp;I1953*bar_per_m)+1),"&gt; max PN")</f>
        <v>PN10</v>
      </c>
      <c r="K1953" s="4" t="str">
        <f aca="false">IF(L1953="no","end at tank",IF(H1953&lt;0,"NEGATIVE",IF(H1953&lt;p_min-0.005,"low","OK")))</f>
        <v>OK</v>
      </c>
      <c r="L1953" s="4" t="s">
        <v>414</v>
      </c>
    </row>
    <row r="1954" customFormat="false" ht="15" hidden="false" customHeight="false" outlineLevel="0" collapsed="false">
      <c r="A1954" s="4" t="s">
        <v>44</v>
      </c>
      <c r="B1954" s="4" t="s">
        <v>373</v>
      </c>
      <c r="C1954" s="47" t="n">
        <v>15323.78</v>
      </c>
      <c r="D1954" s="48" t="n">
        <v>1691.63</v>
      </c>
      <c r="E1954" s="49" t="n">
        <f aca="false">D1954-cover</f>
        <v>1690.43</v>
      </c>
      <c r="F1954" s="50" t="n">
        <f aca="false">'Z6 Nkangamo-Uhuru'!S18-'Z6 Nkangamo-Uhuru'!P18*C1954/'Z6 Nkangamo-Uhuru'!G18</f>
        <v>1714.35907133049</v>
      </c>
      <c r="G1954" s="51" t="n">
        <f aca="false">'Z6 Nkangamo-Uhuru'!$B$8-E1954</f>
        <v>16.0699999999999</v>
      </c>
      <c r="H1954" s="52" t="n">
        <f aca="false">F1954-E1954</f>
        <v>23.9290713304902</v>
      </c>
      <c r="I1954" s="52" t="n">
        <f aca="false">MAX(H1954,G1954)</f>
        <v>23.9290713304902</v>
      </c>
      <c r="J1954" s="4" t="str">
        <f aca="false">IFERROR("PN"&amp;SMALL(PN_list,COUNTIF(PN_list,"&lt;"&amp;I1954*bar_per_m)+1),"&gt; max PN")</f>
        <v>PN10</v>
      </c>
      <c r="K1954" s="4" t="str">
        <f aca="false">IF(L1954="no","end at tank",IF(H1954&lt;0,"NEGATIVE",IF(H1954&lt;p_min-0.005,"low","OK")))</f>
        <v>OK</v>
      </c>
      <c r="L1954" s="4" t="s">
        <v>414</v>
      </c>
    </row>
    <row r="1955" customFormat="false" ht="15" hidden="false" customHeight="false" outlineLevel="0" collapsed="false">
      <c r="A1955" s="4" t="s">
        <v>44</v>
      </c>
      <c r="B1955" s="4" t="s">
        <v>373</v>
      </c>
      <c r="C1955" s="47" t="n">
        <v>15343.81</v>
      </c>
      <c r="D1955" s="48" t="n">
        <v>1692.67</v>
      </c>
      <c r="E1955" s="49" t="n">
        <f aca="false">D1955-cover</f>
        <v>1691.47</v>
      </c>
      <c r="F1955" s="50" t="n">
        <f aca="false">'Z6 Nkangamo-Uhuru'!S18-'Z6 Nkangamo-Uhuru'!P18*C1955/'Z6 Nkangamo-Uhuru'!G18</f>
        <v>1714.32787129759</v>
      </c>
      <c r="G1955" s="51" t="n">
        <f aca="false">'Z6 Nkangamo-Uhuru'!$B$8-E1955</f>
        <v>15.03</v>
      </c>
      <c r="H1955" s="52" t="n">
        <f aca="false">F1955-E1955</f>
        <v>22.8578712975889</v>
      </c>
      <c r="I1955" s="52" t="n">
        <f aca="false">MAX(H1955,G1955)</f>
        <v>22.8578712975889</v>
      </c>
      <c r="J1955" s="4" t="str">
        <f aca="false">IFERROR("PN"&amp;SMALL(PN_list,COUNTIF(PN_list,"&lt;"&amp;I1955*bar_per_m)+1),"&gt; max PN")</f>
        <v>PN10</v>
      </c>
      <c r="K1955" s="4" t="str">
        <f aca="false">IF(L1955="no","end at tank",IF(H1955&lt;0,"NEGATIVE",IF(H1955&lt;p_min-0.005,"low","OK")))</f>
        <v>OK</v>
      </c>
      <c r="L1955" s="4" t="s">
        <v>414</v>
      </c>
    </row>
    <row r="1956" customFormat="false" ht="15" hidden="false" customHeight="false" outlineLevel="0" collapsed="false">
      <c r="A1956" s="4" t="s">
        <v>44</v>
      </c>
      <c r="B1956" s="4" t="s">
        <v>373</v>
      </c>
      <c r="C1956" s="47" t="n">
        <v>15363.83</v>
      </c>
      <c r="D1956" s="48" t="n">
        <v>1691.84</v>
      </c>
      <c r="E1956" s="49" t="n">
        <f aca="false">D1956-cover</f>
        <v>1690.64</v>
      </c>
      <c r="F1956" s="50" t="n">
        <f aca="false">'Z6 Nkangamo-Uhuru'!S18-'Z6 Nkangamo-Uhuru'!P18*C1956/'Z6 Nkangamo-Uhuru'!G18</f>
        <v>1714.29668684134</v>
      </c>
      <c r="G1956" s="51" t="n">
        <f aca="false">'Z6 Nkangamo-Uhuru'!$B$8-E1956</f>
        <v>15.8600000000001</v>
      </c>
      <c r="H1956" s="52" t="n">
        <f aca="false">F1956-E1956</f>
        <v>23.6566868413393</v>
      </c>
      <c r="I1956" s="52" t="n">
        <f aca="false">MAX(H1956,G1956)</f>
        <v>23.6566868413393</v>
      </c>
      <c r="J1956" s="4" t="str">
        <f aca="false">IFERROR("PN"&amp;SMALL(PN_list,COUNTIF(PN_list,"&lt;"&amp;I1956*bar_per_m)+1),"&gt; max PN")</f>
        <v>PN10</v>
      </c>
      <c r="K1956" s="4" t="str">
        <f aca="false">IF(L1956="no","end at tank",IF(H1956&lt;0,"NEGATIVE",IF(H1956&lt;p_min-0.005,"low","OK")))</f>
        <v>OK</v>
      </c>
      <c r="L1956" s="4" t="s">
        <v>414</v>
      </c>
    </row>
    <row r="1957" customFormat="false" ht="15" hidden="false" customHeight="false" outlineLevel="0" collapsed="false">
      <c r="A1957" s="4" t="s">
        <v>44</v>
      </c>
      <c r="B1957" s="4" t="s">
        <v>373</v>
      </c>
      <c r="C1957" s="47" t="n">
        <v>15383.83</v>
      </c>
      <c r="D1957" s="48" t="n">
        <v>1691.41</v>
      </c>
      <c r="E1957" s="49" t="n">
        <f aca="false">D1957-cover</f>
        <v>1690.21</v>
      </c>
      <c r="F1957" s="50" t="n">
        <f aca="false">'Z6 Nkangamo-Uhuru'!S18-'Z6 Nkangamo-Uhuru'!P18*C1957/'Z6 Nkangamo-Uhuru'!G18</f>
        <v>1714.26553353839</v>
      </c>
      <c r="G1957" s="51" t="n">
        <f aca="false">'Z6 Nkangamo-Uhuru'!$B$8-E1957</f>
        <v>16.29</v>
      </c>
      <c r="H1957" s="52" t="n">
        <f aca="false">F1957-E1957</f>
        <v>24.0555335383924</v>
      </c>
      <c r="I1957" s="52" t="n">
        <f aca="false">MAX(H1957,G1957)</f>
        <v>24.0555335383924</v>
      </c>
      <c r="J1957" s="4" t="str">
        <f aca="false">IFERROR("PN"&amp;SMALL(PN_list,COUNTIF(PN_list,"&lt;"&amp;I1957*bar_per_m)+1),"&gt; max PN")</f>
        <v>PN10</v>
      </c>
      <c r="K1957" s="4" t="str">
        <f aca="false">IF(L1957="no","end at tank",IF(H1957&lt;0,"NEGATIVE",IF(H1957&lt;p_min-0.005,"low","OK")))</f>
        <v>OK</v>
      </c>
      <c r="L1957" s="4" t="s">
        <v>414</v>
      </c>
    </row>
    <row r="1958" customFormat="false" ht="15" hidden="false" customHeight="false" outlineLevel="0" collapsed="false">
      <c r="A1958" s="4" t="s">
        <v>44</v>
      </c>
      <c r="B1958" s="4" t="s">
        <v>373</v>
      </c>
      <c r="C1958" s="47" t="n">
        <v>15403.79</v>
      </c>
      <c r="D1958" s="48" t="n">
        <v>1691.39</v>
      </c>
      <c r="E1958" s="49" t="n">
        <f aca="false">D1958-cover</f>
        <v>1690.19</v>
      </c>
      <c r="F1958" s="50" t="n">
        <f aca="false">'Z6 Nkangamo-Uhuru'!S18-'Z6 Nkangamo-Uhuru'!P18*C1958/'Z6 Nkangamo-Uhuru'!G18</f>
        <v>1714.23444254205</v>
      </c>
      <c r="G1958" s="51" t="n">
        <f aca="false">'Z6 Nkangamo-Uhuru'!$B$8-E1958</f>
        <v>16.3099999999999</v>
      </c>
      <c r="H1958" s="52" t="n">
        <f aca="false">F1958-E1958</f>
        <v>24.0444425420515</v>
      </c>
      <c r="I1958" s="52" t="n">
        <f aca="false">MAX(H1958,G1958)</f>
        <v>24.0444425420515</v>
      </c>
      <c r="J1958" s="4" t="str">
        <f aca="false">IFERROR("PN"&amp;SMALL(PN_list,COUNTIF(PN_list,"&lt;"&amp;I1958*bar_per_m)+1),"&gt; max PN")</f>
        <v>PN10</v>
      </c>
      <c r="K1958" s="4" t="str">
        <f aca="false">IF(L1958="no","end at tank",IF(H1958&lt;0,"NEGATIVE",IF(H1958&lt;p_min-0.005,"low","OK")))</f>
        <v>OK</v>
      </c>
      <c r="L1958" s="4" t="s">
        <v>414</v>
      </c>
    </row>
    <row r="1959" customFormat="false" ht="15" hidden="false" customHeight="false" outlineLevel="0" collapsed="false">
      <c r="A1959" s="4" t="s">
        <v>44</v>
      </c>
      <c r="B1959" s="4" t="s">
        <v>373</v>
      </c>
      <c r="C1959" s="47" t="n">
        <v>15423.79</v>
      </c>
      <c r="D1959" s="48" t="n">
        <v>1691.19</v>
      </c>
      <c r="E1959" s="49" t="n">
        <f aca="false">D1959-cover</f>
        <v>1689.99</v>
      </c>
      <c r="F1959" s="50" t="n">
        <f aca="false">'Z6 Nkangamo-Uhuru'!S18-'Z6 Nkangamo-Uhuru'!P18*C1959/'Z6 Nkangamo-Uhuru'!G18</f>
        <v>1714.2032892391</v>
      </c>
      <c r="G1959" s="51" t="n">
        <f aca="false">'Z6 Nkangamo-Uhuru'!$B$8-E1959</f>
        <v>16.51</v>
      </c>
      <c r="H1959" s="52" t="n">
        <f aca="false">F1959-E1959</f>
        <v>24.2132892391046</v>
      </c>
      <c r="I1959" s="52" t="n">
        <f aca="false">MAX(H1959,G1959)</f>
        <v>24.2132892391046</v>
      </c>
      <c r="J1959" s="4" t="str">
        <f aca="false">IFERROR("PN"&amp;SMALL(PN_list,COUNTIF(PN_list,"&lt;"&amp;I1959*bar_per_m)+1),"&gt; max PN")</f>
        <v>PN10</v>
      </c>
      <c r="K1959" s="4" t="str">
        <f aca="false">IF(L1959="no","end at tank",IF(H1959&lt;0,"NEGATIVE",IF(H1959&lt;p_min-0.005,"low","OK")))</f>
        <v>OK</v>
      </c>
      <c r="L1959" s="4" t="s">
        <v>414</v>
      </c>
    </row>
    <row r="1960" customFormat="false" ht="15" hidden="false" customHeight="false" outlineLevel="0" collapsed="false">
      <c r="A1960" s="4" t="s">
        <v>44</v>
      </c>
      <c r="B1960" s="4" t="s">
        <v>373</v>
      </c>
      <c r="C1960" s="47" t="n">
        <v>15443.8</v>
      </c>
      <c r="D1960" s="48" t="n">
        <v>1690.67</v>
      </c>
      <c r="E1960" s="49" t="n">
        <f aca="false">D1960-cover</f>
        <v>1689.47</v>
      </c>
      <c r="F1960" s="50" t="n">
        <f aca="false">'Z6 Nkangamo-Uhuru'!S18-'Z6 Nkangamo-Uhuru'!P18*C1960/'Z6 Nkangamo-Uhuru'!G18</f>
        <v>1714.17212035951</v>
      </c>
      <c r="G1960" s="51" t="n">
        <f aca="false">'Z6 Nkangamo-Uhuru'!$B$8-E1960</f>
        <v>17.03</v>
      </c>
      <c r="H1960" s="52" t="n">
        <f aca="false">F1960-E1960</f>
        <v>24.7021203595064</v>
      </c>
      <c r="I1960" s="52" t="n">
        <f aca="false">MAX(H1960,G1960)</f>
        <v>24.7021203595064</v>
      </c>
      <c r="J1960" s="4" t="str">
        <f aca="false">IFERROR("PN"&amp;SMALL(PN_list,COUNTIF(PN_list,"&lt;"&amp;I1960*bar_per_m)+1),"&gt; max PN")</f>
        <v>PN10</v>
      </c>
      <c r="K1960" s="4" t="str">
        <f aca="false">IF(L1960="no","end at tank",IF(H1960&lt;0,"NEGATIVE",IF(H1960&lt;p_min-0.005,"low","OK")))</f>
        <v>OK</v>
      </c>
      <c r="L1960" s="4" t="s">
        <v>414</v>
      </c>
    </row>
    <row r="1961" customFormat="false" ht="15" hidden="false" customHeight="false" outlineLevel="0" collapsed="false">
      <c r="A1961" s="4" t="s">
        <v>44</v>
      </c>
      <c r="B1961" s="4" t="s">
        <v>373</v>
      </c>
      <c r="C1961" s="47" t="n">
        <v>15463.8</v>
      </c>
      <c r="D1961" s="48" t="n">
        <v>1690.75</v>
      </c>
      <c r="E1961" s="49" t="n">
        <f aca="false">D1961-cover</f>
        <v>1689.55</v>
      </c>
      <c r="F1961" s="50" t="n">
        <f aca="false">'Z6 Nkangamo-Uhuru'!S18-'Z6 Nkangamo-Uhuru'!P18*C1961/'Z6 Nkangamo-Uhuru'!G18</f>
        <v>1714.14096705656</v>
      </c>
      <c r="G1961" s="51" t="n">
        <f aca="false">'Z6 Nkangamo-Uhuru'!$B$8-E1961</f>
        <v>16.95</v>
      </c>
      <c r="H1961" s="52" t="n">
        <f aca="false">F1961-E1961</f>
        <v>24.5909670565595</v>
      </c>
      <c r="I1961" s="52" t="n">
        <f aca="false">MAX(H1961,G1961)</f>
        <v>24.5909670565595</v>
      </c>
      <c r="J1961" s="4" t="str">
        <f aca="false">IFERROR("PN"&amp;SMALL(PN_list,COUNTIF(PN_list,"&lt;"&amp;I1961*bar_per_m)+1),"&gt; max PN")</f>
        <v>PN10</v>
      </c>
      <c r="K1961" s="4" t="str">
        <f aca="false">IF(L1961="no","end at tank",IF(H1961&lt;0,"NEGATIVE",IF(H1961&lt;p_min-0.005,"low","OK")))</f>
        <v>OK</v>
      </c>
      <c r="L1961" s="4" t="s">
        <v>414</v>
      </c>
    </row>
    <row r="1962" customFormat="false" ht="15" hidden="false" customHeight="false" outlineLevel="0" collapsed="false">
      <c r="A1962" s="4" t="s">
        <v>44</v>
      </c>
      <c r="B1962" s="4" t="s">
        <v>373</v>
      </c>
      <c r="C1962" s="47" t="n">
        <v>15483.8</v>
      </c>
      <c r="D1962" s="48" t="n">
        <v>1690.72</v>
      </c>
      <c r="E1962" s="49" t="n">
        <f aca="false">D1962-cover</f>
        <v>1689.52</v>
      </c>
      <c r="F1962" s="50" t="n">
        <f aca="false">'Z6 Nkangamo-Uhuru'!S18-'Z6 Nkangamo-Uhuru'!P18*C1962/'Z6 Nkangamo-Uhuru'!G18</f>
        <v>1714.10981375361</v>
      </c>
      <c r="G1962" s="51" t="n">
        <f aca="false">'Z6 Nkangamo-Uhuru'!$B$8-E1962</f>
        <v>16.98</v>
      </c>
      <c r="H1962" s="52" t="n">
        <f aca="false">F1962-E1962</f>
        <v>24.5898137536126</v>
      </c>
      <c r="I1962" s="52" t="n">
        <f aca="false">MAX(H1962,G1962)</f>
        <v>24.5898137536126</v>
      </c>
      <c r="J1962" s="4" t="str">
        <f aca="false">IFERROR("PN"&amp;SMALL(PN_list,COUNTIF(PN_list,"&lt;"&amp;I1962*bar_per_m)+1),"&gt; max PN")</f>
        <v>PN10</v>
      </c>
      <c r="K1962" s="4" t="str">
        <f aca="false">IF(L1962="no","end at tank",IF(H1962&lt;0,"NEGATIVE",IF(H1962&lt;p_min-0.005,"low","OK")))</f>
        <v>OK</v>
      </c>
      <c r="L1962" s="4" t="s">
        <v>414</v>
      </c>
    </row>
    <row r="1963" customFormat="false" ht="15" hidden="false" customHeight="false" outlineLevel="0" collapsed="false">
      <c r="A1963" s="4" t="s">
        <v>44</v>
      </c>
      <c r="B1963" s="4" t="s">
        <v>373</v>
      </c>
      <c r="C1963" s="47" t="n">
        <v>15503.8</v>
      </c>
      <c r="D1963" s="48" t="n">
        <v>1690.5</v>
      </c>
      <c r="E1963" s="49" t="n">
        <f aca="false">D1963-cover</f>
        <v>1689.3</v>
      </c>
      <c r="F1963" s="50" t="n">
        <f aca="false">'Z6 Nkangamo-Uhuru'!S18-'Z6 Nkangamo-Uhuru'!P18*C1963/'Z6 Nkangamo-Uhuru'!G18</f>
        <v>1714.07866045067</v>
      </c>
      <c r="G1963" s="51" t="n">
        <f aca="false">'Z6 Nkangamo-Uhuru'!$B$8-E1963</f>
        <v>17.2</v>
      </c>
      <c r="H1963" s="52" t="n">
        <f aca="false">F1963-E1963</f>
        <v>24.7786604506659</v>
      </c>
      <c r="I1963" s="52" t="n">
        <f aca="false">MAX(H1963,G1963)</f>
        <v>24.7786604506659</v>
      </c>
      <c r="J1963" s="4" t="str">
        <f aca="false">IFERROR("PN"&amp;SMALL(PN_list,COUNTIF(PN_list,"&lt;"&amp;I1963*bar_per_m)+1),"&gt; max PN")</f>
        <v>PN10</v>
      </c>
      <c r="K1963" s="4" t="str">
        <f aca="false">IF(L1963="no","end at tank",IF(H1963&lt;0,"NEGATIVE",IF(H1963&lt;p_min-0.005,"low","OK")))</f>
        <v>OK</v>
      </c>
      <c r="L1963" s="4" t="s">
        <v>414</v>
      </c>
    </row>
    <row r="1964" customFormat="false" ht="15" hidden="false" customHeight="false" outlineLevel="0" collapsed="false">
      <c r="A1964" s="4" t="s">
        <v>44</v>
      </c>
      <c r="B1964" s="4" t="s">
        <v>373</v>
      </c>
      <c r="C1964" s="47" t="n">
        <v>15523.8</v>
      </c>
      <c r="D1964" s="48" t="n">
        <v>1690.5</v>
      </c>
      <c r="E1964" s="49" t="n">
        <f aca="false">D1964-cover</f>
        <v>1689.3</v>
      </c>
      <c r="F1964" s="50" t="n">
        <f aca="false">'Z6 Nkangamo-Uhuru'!S18-'Z6 Nkangamo-Uhuru'!P18*C1964/'Z6 Nkangamo-Uhuru'!G18</f>
        <v>1714.04750714772</v>
      </c>
      <c r="G1964" s="51" t="n">
        <f aca="false">'Z6 Nkangamo-Uhuru'!$B$8-E1964</f>
        <v>17.2</v>
      </c>
      <c r="H1964" s="52" t="n">
        <f aca="false">F1964-E1964</f>
        <v>24.747507147719</v>
      </c>
      <c r="I1964" s="52" t="n">
        <f aca="false">MAX(H1964,G1964)</f>
        <v>24.747507147719</v>
      </c>
      <c r="J1964" s="4" t="str">
        <f aca="false">IFERROR("PN"&amp;SMALL(PN_list,COUNTIF(PN_list,"&lt;"&amp;I1964*bar_per_m)+1),"&gt; max PN")</f>
        <v>PN10</v>
      </c>
      <c r="K1964" s="4" t="str">
        <f aca="false">IF(L1964="no","end at tank",IF(H1964&lt;0,"NEGATIVE",IF(H1964&lt;p_min-0.005,"low","OK")))</f>
        <v>OK</v>
      </c>
      <c r="L1964" s="4" t="s">
        <v>414</v>
      </c>
    </row>
    <row r="1965" customFormat="false" ht="15" hidden="false" customHeight="false" outlineLevel="0" collapsed="false">
      <c r="A1965" s="4" t="s">
        <v>44</v>
      </c>
      <c r="B1965" s="4" t="s">
        <v>373</v>
      </c>
      <c r="C1965" s="47" t="n">
        <v>15543.8</v>
      </c>
      <c r="D1965" s="48" t="n">
        <v>1690.35</v>
      </c>
      <c r="E1965" s="49" t="n">
        <f aca="false">D1965-cover</f>
        <v>1689.15</v>
      </c>
      <c r="F1965" s="50" t="n">
        <f aca="false">'Z6 Nkangamo-Uhuru'!S18-'Z6 Nkangamo-Uhuru'!P18*C1965/'Z6 Nkangamo-Uhuru'!G18</f>
        <v>1714.01635384477</v>
      </c>
      <c r="G1965" s="51" t="n">
        <f aca="false">'Z6 Nkangamo-Uhuru'!$B$8-E1965</f>
        <v>17.3500000000001</v>
      </c>
      <c r="H1965" s="52" t="n">
        <f aca="false">F1965-E1965</f>
        <v>24.8663538447722</v>
      </c>
      <c r="I1965" s="52" t="n">
        <f aca="false">MAX(H1965,G1965)</f>
        <v>24.8663538447722</v>
      </c>
      <c r="J1965" s="4" t="str">
        <f aca="false">IFERROR("PN"&amp;SMALL(PN_list,COUNTIF(PN_list,"&lt;"&amp;I1965*bar_per_m)+1),"&gt; max PN")</f>
        <v>PN10</v>
      </c>
      <c r="K1965" s="4" t="str">
        <f aca="false">IF(L1965="no","end at tank",IF(H1965&lt;0,"NEGATIVE",IF(H1965&lt;p_min-0.005,"low","OK")))</f>
        <v>OK</v>
      </c>
      <c r="L1965" s="4" t="s">
        <v>414</v>
      </c>
    </row>
    <row r="1966" customFormat="false" ht="15" hidden="false" customHeight="false" outlineLevel="0" collapsed="false">
      <c r="A1966" s="4" t="s">
        <v>44</v>
      </c>
      <c r="B1966" s="4" t="s">
        <v>373</v>
      </c>
      <c r="C1966" s="47" t="n">
        <v>15563.8</v>
      </c>
      <c r="D1966" s="48" t="n">
        <v>1690.45</v>
      </c>
      <c r="E1966" s="49" t="n">
        <f aca="false">D1966-cover</f>
        <v>1689.25</v>
      </c>
      <c r="F1966" s="50" t="n">
        <f aca="false">'Z6 Nkangamo-Uhuru'!S18-'Z6 Nkangamo-Uhuru'!P18*C1966/'Z6 Nkangamo-Uhuru'!G18</f>
        <v>1713.98520054183</v>
      </c>
      <c r="G1966" s="51" t="n">
        <f aca="false">'Z6 Nkangamo-Uhuru'!$B$8-E1966</f>
        <v>17.25</v>
      </c>
      <c r="H1966" s="52" t="n">
        <f aca="false">F1966-E1966</f>
        <v>24.7352005418254</v>
      </c>
      <c r="I1966" s="52" t="n">
        <f aca="false">MAX(H1966,G1966)</f>
        <v>24.7352005418254</v>
      </c>
      <c r="J1966" s="4" t="str">
        <f aca="false">IFERROR("PN"&amp;SMALL(PN_list,COUNTIF(PN_list,"&lt;"&amp;I1966*bar_per_m)+1),"&gt; max PN")</f>
        <v>PN10</v>
      </c>
      <c r="K1966" s="4" t="str">
        <f aca="false">IF(L1966="no","end at tank",IF(H1966&lt;0,"NEGATIVE",IF(H1966&lt;p_min-0.005,"low","OK")))</f>
        <v>OK</v>
      </c>
      <c r="L1966" s="4" t="s">
        <v>414</v>
      </c>
    </row>
    <row r="1967" customFormat="false" ht="15" hidden="false" customHeight="false" outlineLevel="0" collapsed="false">
      <c r="A1967" s="4" t="s">
        <v>44</v>
      </c>
      <c r="B1967" s="4" t="s">
        <v>373</v>
      </c>
      <c r="C1967" s="47" t="n">
        <v>15583.8</v>
      </c>
      <c r="D1967" s="48" t="n">
        <v>1690.4</v>
      </c>
      <c r="E1967" s="49" t="n">
        <f aca="false">D1967-cover</f>
        <v>1689.2</v>
      </c>
      <c r="F1967" s="50" t="n">
        <f aca="false">'Z6 Nkangamo-Uhuru'!S18-'Z6 Nkangamo-Uhuru'!P18*C1967/'Z6 Nkangamo-Uhuru'!G18</f>
        <v>1713.95404723888</v>
      </c>
      <c r="G1967" s="51" t="n">
        <f aca="false">'Z6 Nkangamo-Uhuru'!$B$8-E1967</f>
        <v>17.3</v>
      </c>
      <c r="H1967" s="52" t="n">
        <f aca="false">F1967-E1967</f>
        <v>24.7540472388785</v>
      </c>
      <c r="I1967" s="52" t="n">
        <f aca="false">MAX(H1967,G1967)</f>
        <v>24.7540472388785</v>
      </c>
      <c r="J1967" s="4" t="str">
        <f aca="false">IFERROR("PN"&amp;SMALL(PN_list,COUNTIF(PN_list,"&lt;"&amp;I1967*bar_per_m)+1),"&gt; max PN")</f>
        <v>PN10</v>
      </c>
      <c r="K1967" s="4" t="str">
        <f aca="false">IF(L1967="no","end at tank",IF(H1967&lt;0,"NEGATIVE",IF(H1967&lt;p_min-0.005,"low","OK")))</f>
        <v>OK</v>
      </c>
      <c r="L1967" s="4" t="s">
        <v>414</v>
      </c>
    </row>
    <row r="1968" customFormat="false" ht="15" hidden="false" customHeight="false" outlineLevel="0" collapsed="false">
      <c r="A1968" s="4" t="s">
        <v>44</v>
      </c>
      <c r="B1968" s="4" t="s">
        <v>373</v>
      </c>
      <c r="C1968" s="47" t="n">
        <v>15603.8</v>
      </c>
      <c r="D1968" s="48" t="n">
        <v>1690.26</v>
      </c>
      <c r="E1968" s="49" t="n">
        <f aca="false">D1968-cover</f>
        <v>1689.06</v>
      </c>
      <c r="F1968" s="50" t="n">
        <f aca="false">'Z6 Nkangamo-Uhuru'!S18-'Z6 Nkangamo-Uhuru'!P18*C1968/'Z6 Nkangamo-Uhuru'!G18</f>
        <v>1713.92289393593</v>
      </c>
      <c r="G1968" s="51" t="n">
        <f aca="false">'Z6 Nkangamo-Uhuru'!$B$8-E1968</f>
        <v>17.4400000000001</v>
      </c>
      <c r="H1968" s="52" t="n">
        <f aca="false">F1968-E1968</f>
        <v>24.8628939359317</v>
      </c>
      <c r="I1968" s="52" t="n">
        <f aca="false">MAX(H1968,G1968)</f>
        <v>24.8628939359317</v>
      </c>
      <c r="J1968" s="4" t="str">
        <f aca="false">IFERROR("PN"&amp;SMALL(PN_list,COUNTIF(PN_list,"&lt;"&amp;I1968*bar_per_m)+1),"&gt; max PN")</f>
        <v>PN10</v>
      </c>
      <c r="K1968" s="4" t="str">
        <f aca="false">IF(L1968="no","end at tank",IF(H1968&lt;0,"NEGATIVE",IF(H1968&lt;p_min-0.005,"low","OK")))</f>
        <v>OK</v>
      </c>
      <c r="L1968" s="4" t="s">
        <v>414</v>
      </c>
    </row>
    <row r="1969" customFormat="false" ht="15" hidden="false" customHeight="false" outlineLevel="0" collapsed="false">
      <c r="A1969" s="4" t="s">
        <v>44</v>
      </c>
      <c r="B1969" s="4" t="s">
        <v>373</v>
      </c>
      <c r="C1969" s="47" t="n">
        <v>15623.82</v>
      </c>
      <c r="D1969" s="48" t="n">
        <v>1689.45</v>
      </c>
      <c r="E1969" s="49" t="n">
        <f aca="false">D1969-cover</f>
        <v>1688.25</v>
      </c>
      <c r="F1969" s="50" t="n">
        <f aca="false">'Z6 Nkangamo-Uhuru'!S18-'Z6 Nkangamo-Uhuru'!P18*C1969/'Z6 Nkangamo-Uhuru'!G18</f>
        <v>1713.89170947968</v>
      </c>
      <c r="G1969" s="51" t="n">
        <f aca="false">'Z6 Nkangamo-Uhuru'!$B$8-E1969</f>
        <v>18.25</v>
      </c>
      <c r="H1969" s="52" t="n">
        <f aca="false">F1969-E1969</f>
        <v>25.6417094796818</v>
      </c>
      <c r="I1969" s="52" t="n">
        <f aca="false">MAX(H1969,G1969)</f>
        <v>25.6417094796818</v>
      </c>
      <c r="J1969" s="4" t="str">
        <f aca="false">IFERROR("PN"&amp;SMALL(PN_list,COUNTIF(PN_list,"&lt;"&amp;I1969*bar_per_m)+1),"&gt; max PN")</f>
        <v>PN10</v>
      </c>
      <c r="K1969" s="4" t="str">
        <f aca="false">IF(L1969="no","end at tank",IF(H1969&lt;0,"NEGATIVE",IF(H1969&lt;p_min-0.005,"low","OK")))</f>
        <v>OK</v>
      </c>
      <c r="L1969" s="4" t="s">
        <v>414</v>
      </c>
    </row>
    <row r="1970" customFormat="false" ht="15" hidden="false" customHeight="false" outlineLevel="0" collapsed="false">
      <c r="A1970" s="4" t="s">
        <v>44</v>
      </c>
      <c r="B1970" s="4" t="s">
        <v>373</v>
      </c>
      <c r="C1970" s="47" t="n">
        <v>15643.82</v>
      </c>
      <c r="D1970" s="48" t="n">
        <v>1689.45</v>
      </c>
      <c r="E1970" s="49" t="n">
        <f aca="false">D1970-cover</f>
        <v>1688.25</v>
      </c>
      <c r="F1970" s="50" t="n">
        <f aca="false">'Z6 Nkangamo-Uhuru'!S18-'Z6 Nkangamo-Uhuru'!P18*C1970/'Z6 Nkangamo-Uhuru'!G18</f>
        <v>1713.86055617674</v>
      </c>
      <c r="G1970" s="51" t="n">
        <f aca="false">'Z6 Nkangamo-Uhuru'!$B$8-E1970</f>
        <v>18.25</v>
      </c>
      <c r="H1970" s="52" t="n">
        <f aca="false">F1970-E1970</f>
        <v>25.6105561767351</v>
      </c>
      <c r="I1970" s="52" t="n">
        <f aca="false">MAX(H1970,G1970)</f>
        <v>25.6105561767351</v>
      </c>
      <c r="J1970" s="4" t="str">
        <f aca="false">IFERROR("PN"&amp;SMALL(PN_list,COUNTIF(PN_list,"&lt;"&amp;I1970*bar_per_m)+1),"&gt; max PN")</f>
        <v>PN10</v>
      </c>
      <c r="K1970" s="4" t="str">
        <f aca="false">IF(L1970="no","end at tank",IF(H1970&lt;0,"NEGATIVE",IF(H1970&lt;p_min-0.005,"low","OK")))</f>
        <v>OK</v>
      </c>
      <c r="L1970" s="4" t="s">
        <v>414</v>
      </c>
    </row>
    <row r="1971" customFormat="false" ht="15" hidden="false" customHeight="false" outlineLevel="0" collapsed="false">
      <c r="A1971" s="4" t="s">
        <v>44</v>
      </c>
      <c r="B1971" s="4" t="s">
        <v>373</v>
      </c>
      <c r="C1971" s="47" t="n">
        <v>15663.82</v>
      </c>
      <c r="D1971" s="48" t="n">
        <v>1688.98</v>
      </c>
      <c r="E1971" s="49" t="n">
        <f aca="false">D1971-cover</f>
        <v>1687.78</v>
      </c>
      <c r="F1971" s="50" t="n">
        <f aca="false">'Z6 Nkangamo-Uhuru'!S18-'Z6 Nkangamo-Uhuru'!P18*C1971/'Z6 Nkangamo-Uhuru'!G18</f>
        <v>1713.82940287379</v>
      </c>
      <c r="G1971" s="51" t="n">
        <f aca="false">'Z6 Nkangamo-Uhuru'!$B$8-E1971</f>
        <v>18.72</v>
      </c>
      <c r="H1971" s="52" t="n">
        <f aca="false">F1971-E1971</f>
        <v>26.0494028737883</v>
      </c>
      <c r="I1971" s="52" t="n">
        <f aca="false">MAX(H1971,G1971)</f>
        <v>26.0494028737883</v>
      </c>
      <c r="J1971" s="4" t="str">
        <f aca="false">IFERROR("PN"&amp;SMALL(PN_list,COUNTIF(PN_list,"&lt;"&amp;I1971*bar_per_m)+1),"&gt; max PN")</f>
        <v>PN10</v>
      </c>
      <c r="K1971" s="4" t="str">
        <f aca="false">IF(L1971="no","end at tank",IF(H1971&lt;0,"NEGATIVE",IF(H1971&lt;p_min-0.005,"low","OK")))</f>
        <v>OK</v>
      </c>
      <c r="L1971" s="4" t="s">
        <v>414</v>
      </c>
    </row>
    <row r="1972" customFormat="false" ht="15" hidden="false" customHeight="false" outlineLevel="0" collapsed="false">
      <c r="A1972" s="4" t="s">
        <v>44</v>
      </c>
      <c r="B1972" s="4" t="s">
        <v>373</v>
      </c>
      <c r="C1972" s="47" t="n">
        <v>15683.82</v>
      </c>
      <c r="D1972" s="48" t="n">
        <v>1688.98</v>
      </c>
      <c r="E1972" s="49" t="n">
        <f aca="false">D1972-cover</f>
        <v>1687.78</v>
      </c>
      <c r="F1972" s="50" t="n">
        <f aca="false">'Z6 Nkangamo-Uhuru'!S18-'Z6 Nkangamo-Uhuru'!P18*C1972/'Z6 Nkangamo-Uhuru'!G18</f>
        <v>1713.79824957084</v>
      </c>
      <c r="G1972" s="51" t="n">
        <f aca="false">'Z6 Nkangamo-Uhuru'!$B$8-E1972</f>
        <v>18.72</v>
      </c>
      <c r="H1972" s="52" t="n">
        <f aca="false">F1972-E1972</f>
        <v>26.0182495708416</v>
      </c>
      <c r="I1972" s="52" t="n">
        <f aca="false">MAX(H1972,G1972)</f>
        <v>26.0182495708416</v>
      </c>
      <c r="J1972" s="4" t="str">
        <f aca="false">IFERROR("PN"&amp;SMALL(PN_list,COUNTIF(PN_list,"&lt;"&amp;I1972*bar_per_m)+1),"&gt; max PN")</f>
        <v>PN10</v>
      </c>
      <c r="K1972" s="4" t="str">
        <f aca="false">IF(L1972="no","end at tank",IF(H1972&lt;0,"NEGATIVE",IF(H1972&lt;p_min-0.005,"low","OK")))</f>
        <v>OK</v>
      </c>
      <c r="L1972" s="4" t="s">
        <v>414</v>
      </c>
    </row>
    <row r="1973" customFormat="false" ht="15" hidden="false" customHeight="false" outlineLevel="0" collapsed="false">
      <c r="A1973" s="4" t="s">
        <v>44</v>
      </c>
      <c r="B1973" s="4" t="s">
        <v>373</v>
      </c>
      <c r="C1973" s="47" t="n">
        <v>15703.82</v>
      </c>
      <c r="D1973" s="48" t="n">
        <v>1688.94</v>
      </c>
      <c r="E1973" s="49" t="n">
        <f aca="false">D1973-cover</f>
        <v>1687.74</v>
      </c>
      <c r="F1973" s="50" t="n">
        <f aca="false">'Z6 Nkangamo-Uhuru'!S18-'Z6 Nkangamo-Uhuru'!P18*C1973/'Z6 Nkangamo-Uhuru'!G18</f>
        <v>1713.76709626789</v>
      </c>
      <c r="G1973" s="51" t="n">
        <f aca="false">'Z6 Nkangamo-Uhuru'!$B$8-E1973</f>
        <v>18.76</v>
      </c>
      <c r="H1973" s="52" t="n">
        <f aca="false">F1973-E1973</f>
        <v>26.0270962678947</v>
      </c>
      <c r="I1973" s="52" t="n">
        <f aca="false">MAX(H1973,G1973)</f>
        <v>26.0270962678947</v>
      </c>
      <c r="J1973" s="4" t="str">
        <f aca="false">IFERROR("PN"&amp;SMALL(PN_list,COUNTIF(PN_list,"&lt;"&amp;I1973*bar_per_m)+1),"&gt; max PN")</f>
        <v>PN10</v>
      </c>
      <c r="K1973" s="4" t="str">
        <f aca="false">IF(L1973="no","end at tank",IF(H1973&lt;0,"NEGATIVE",IF(H1973&lt;p_min-0.005,"low","OK")))</f>
        <v>OK</v>
      </c>
      <c r="L1973" s="4" t="s">
        <v>414</v>
      </c>
    </row>
    <row r="1974" customFormat="false" ht="15" hidden="false" customHeight="false" outlineLevel="0" collapsed="false">
      <c r="A1974" s="4" t="s">
        <v>44</v>
      </c>
      <c r="B1974" s="4" t="s">
        <v>373</v>
      </c>
      <c r="C1974" s="47" t="n">
        <v>15723.83</v>
      </c>
      <c r="D1974" s="48" t="n">
        <v>1688.68</v>
      </c>
      <c r="E1974" s="49" t="n">
        <f aca="false">D1974-cover</f>
        <v>1687.48</v>
      </c>
      <c r="F1974" s="50" t="n">
        <f aca="false">'Z6 Nkangamo-Uhuru'!S18-'Z6 Nkangamo-Uhuru'!P18*C1974/'Z6 Nkangamo-Uhuru'!G18</f>
        <v>1713.7359273883</v>
      </c>
      <c r="G1974" s="51" t="n">
        <f aca="false">'Z6 Nkangamo-Uhuru'!$B$8-E1974</f>
        <v>19.02</v>
      </c>
      <c r="H1974" s="52" t="n">
        <f aca="false">F1974-E1974</f>
        <v>26.2559273882964</v>
      </c>
      <c r="I1974" s="52" t="n">
        <f aca="false">MAX(H1974,G1974)</f>
        <v>26.2559273882964</v>
      </c>
      <c r="J1974" s="4" t="str">
        <f aca="false">IFERROR("PN"&amp;SMALL(PN_list,COUNTIF(PN_list,"&lt;"&amp;I1974*bar_per_m)+1),"&gt; max PN")</f>
        <v>PN10</v>
      </c>
      <c r="K1974" s="4" t="str">
        <f aca="false">IF(L1974="no","end at tank",IF(H1974&lt;0,"NEGATIVE",IF(H1974&lt;p_min-0.005,"low","OK")))</f>
        <v>OK</v>
      </c>
      <c r="L1974" s="4" t="s">
        <v>414</v>
      </c>
    </row>
    <row r="1975" customFormat="false" ht="15" hidden="false" customHeight="false" outlineLevel="0" collapsed="false">
      <c r="A1975" s="4" t="s">
        <v>44</v>
      </c>
      <c r="B1975" s="4" t="s">
        <v>373</v>
      </c>
      <c r="C1975" s="47" t="n">
        <v>15743.84</v>
      </c>
      <c r="D1975" s="48" t="n">
        <v>1688.02</v>
      </c>
      <c r="E1975" s="49" t="n">
        <f aca="false">D1975-cover</f>
        <v>1686.82</v>
      </c>
      <c r="F1975" s="50" t="n">
        <f aca="false">'Z6 Nkangamo-Uhuru'!S18-'Z6 Nkangamo-Uhuru'!P18*C1975/'Z6 Nkangamo-Uhuru'!G18</f>
        <v>1713.7047585087</v>
      </c>
      <c r="G1975" s="51" t="n">
        <f aca="false">'Z6 Nkangamo-Uhuru'!$B$8-E1975</f>
        <v>19.6800000000001</v>
      </c>
      <c r="H1975" s="52" t="n">
        <f aca="false">F1975-E1975</f>
        <v>26.884758508698</v>
      </c>
      <c r="I1975" s="52" t="n">
        <f aca="false">MAX(H1975,G1975)</f>
        <v>26.884758508698</v>
      </c>
      <c r="J1975" s="4" t="str">
        <f aca="false">IFERROR("PN"&amp;SMALL(PN_list,COUNTIF(PN_list,"&lt;"&amp;I1975*bar_per_m)+1),"&gt; max PN")</f>
        <v>PN10</v>
      </c>
      <c r="K1975" s="4" t="str">
        <f aca="false">IF(L1975="no","end at tank",IF(H1975&lt;0,"NEGATIVE",IF(H1975&lt;p_min-0.005,"low","OK")))</f>
        <v>OK</v>
      </c>
      <c r="L1975" s="4" t="s">
        <v>414</v>
      </c>
    </row>
    <row r="1976" customFormat="false" ht="15" hidden="false" customHeight="false" outlineLevel="0" collapsed="false">
      <c r="A1976" s="4" t="s">
        <v>44</v>
      </c>
      <c r="B1976" s="4" t="s">
        <v>373</v>
      </c>
      <c r="C1976" s="47" t="n">
        <v>15763.84</v>
      </c>
      <c r="D1976" s="48" t="n">
        <v>1687.62</v>
      </c>
      <c r="E1976" s="49" t="n">
        <f aca="false">D1976-cover</f>
        <v>1686.42</v>
      </c>
      <c r="F1976" s="50" t="n">
        <f aca="false">'Z6 Nkangamo-Uhuru'!S18-'Z6 Nkangamo-Uhuru'!P18*C1976/'Z6 Nkangamo-Uhuru'!G18</f>
        <v>1713.67360520575</v>
      </c>
      <c r="G1976" s="51" t="n">
        <f aca="false">'Z6 Nkangamo-Uhuru'!$B$8-E1976</f>
        <v>20.0800000000002</v>
      </c>
      <c r="H1976" s="52" t="n">
        <f aca="false">F1976-E1976</f>
        <v>27.2536052057515</v>
      </c>
      <c r="I1976" s="52" t="n">
        <f aca="false">MAX(H1976,G1976)</f>
        <v>27.2536052057515</v>
      </c>
      <c r="J1976" s="4" t="str">
        <f aca="false">IFERROR("PN"&amp;SMALL(PN_list,COUNTIF(PN_list,"&lt;"&amp;I1976*bar_per_m)+1),"&gt; max PN")</f>
        <v>PN10</v>
      </c>
      <c r="K1976" s="4" t="str">
        <f aca="false">IF(L1976="no","end at tank",IF(H1976&lt;0,"NEGATIVE",IF(H1976&lt;p_min-0.005,"low","OK")))</f>
        <v>OK</v>
      </c>
      <c r="L1976" s="4" t="s">
        <v>414</v>
      </c>
    </row>
    <row r="1977" customFormat="false" ht="15" hidden="false" customHeight="false" outlineLevel="0" collapsed="false">
      <c r="A1977" s="4" t="s">
        <v>44</v>
      </c>
      <c r="B1977" s="4" t="s">
        <v>373</v>
      </c>
      <c r="C1977" s="47" t="n">
        <v>15783.84</v>
      </c>
      <c r="D1977" s="48" t="n">
        <v>1687.7</v>
      </c>
      <c r="E1977" s="49" t="n">
        <f aca="false">D1977-cover</f>
        <v>1686.5</v>
      </c>
      <c r="F1977" s="50" t="n">
        <f aca="false">'Z6 Nkangamo-Uhuru'!S18-'Z6 Nkangamo-Uhuru'!P18*C1977/'Z6 Nkangamo-Uhuru'!G18</f>
        <v>1713.6424519028</v>
      </c>
      <c r="G1977" s="51" t="n">
        <f aca="false">'Z6 Nkangamo-Uhuru'!$B$8-E1977</f>
        <v>20</v>
      </c>
      <c r="H1977" s="52" t="n">
        <f aca="false">F1977-E1977</f>
        <v>27.1424519028044</v>
      </c>
      <c r="I1977" s="52" t="n">
        <f aca="false">MAX(H1977,G1977)</f>
        <v>27.1424519028044</v>
      </c>
      <c r="J1977" s="4" t="str">
        <f aca="false">IFERROR("PN"&amp;SMALL(PN_list,COUNTIF(PN_list,"&lt;"&amp;I1977*bar_per_m)+1),"&gt; max PN")</f>
        <v>PN10</v>
      </c>
      <c r="K1977" s="4" t="str">
        <f aca="false">IF(L1977="no","end at tank",IF(H1977&lt;0,"NEGATIVE",IF(H1977&lt;p_min-0.005,"low","OK")))</f>
        <v>OK</v>
      </c>
      <c r="L1977" s="4" t="s">
        <v>414</v>
      </c>
    </row>
    <row r="1978" customFormat="false" ht="15" hidden="false" customHeight="false" outlineLevel="0" collapsed="false">
      <c r="A1978" s="4" t="s">
        <v>44</v>
      </c>
      <c r="B1978" s="4" t="s">
        <v>373</v>
      </c>
      <c r="C1978" s="47" t="n">
        <v>15803.84</v>
      </c>
      <c r="D1978" s="48" t="n">
        <v>1687.44</v>
      </c>
      <c r="E1978" s="49" t="n">
        <f aca="false">D1978-cover</f>
        <v>1686.24</v>
      </c>
      <c r="F1978" s="50" t="n">
        <f aca="false">'Z6 Nkangamo-Uhuru'!S18-'Z6 Nkangamo-Uhuru'!P18*C1978/'Z6 Nkangamo-Uhuru'!G18</f>
        <v>1713.61129859986</v>
      </c>
      <c r="G1978" s="51" t="n">
        <f aca="false">'Z6 Nkangamo-Uhuru'!$B$8-E1978</f>
        <v>20.26</v>
      </c>
      <c r="H1978" s="52" t="n">
        <f aca="false">F1978-E1978</f>
        <v>27.3712985998575</v>
      </c>
      <c r="I1978" s="52" t="n">
        <f aca="false">MAX(H1978,G1978)</f>
        <v>27.3712985998575</v>
      </c>
      <c r="J1978" s="4" t="str">
        <f aca="false">IFERROR("PN"&amp;SMALL(PN_list,COUNTIF(PN_list,"&lt;"&amp;I1978*bar_per_m)+1),"&gt; max PN")</f>
        <v>PN10</v>
      </c>
      <c r="K1978" s="4" t="str">
        <f aca="false">IF(L1978="no","end at tank",IF(H1978&lt;0,"NEGATIVE",IF(H1978&lt;p_min-0.005,"low","OK")))</f>
        <v>OK</v>
      </c>
      <c r="L1978" s="4" t="s">
        <v>414</v>
      </c>
    </row>
    <row r="1979" customFormat="false" ht="15" hidden="false" customHeight="false" outlineLevel="0" collapsed="false">
      <c r="A1979" s="4" t="s">
        <v>44</v>
      </c>
      <c r="B1979" s="4" t="s">
        <v>373</v>
      </c>
      <c r="C1979" s="47" t="n">
        <v>15823.84</v>
      </c>
      <c r="D1979" s="48" t="n">
        <v>1687.44</v>
      </c>
      <c r="E1979" s="49" t="n">
        <f aca="false">D1979-cover</f>
        <v>1686.24</v>
      </c>
      <c r="F1979" s="50" t="n">
        <f aca="false">'Z6 Nkangamo-Uhuru'!S18-'Z6 Nkangamo-Uhuru'!P18*C1979/'Z6 Nkangamo-Uhuru'!G18</f>
        <v>1713.58014529691</v>
      </c>
      <c r="G1979" s="51" t="n">
        <f aca="false">'Z6 Nkangamo-Uhuru'!$B$8-E1979</f>
        <v>20.26</v>
      </c>
      <c r="H1979" s="52" t="n">
        <f aca="false">F1979-E1979</f>
        <v>27.3401452969108</v>
      </c>
      <c r="I1979" s="52" t="n">
        <f aca="false">MAX(H1979,G1979)</f>
        <v>27.3401452969108</v>
      </c>
      <c r="J1979" s="4" t="str">
        <f aca="false">IFERROR("PN"&amp;SMALL(PN_list,COUNTIF(PN_list,"&lt;"&amp;I1979*bar_per_m)+1),"&gt; max PN")</f>
        <v>PN10</v>
      </c>
      <c r="K1979" s="4" t="str">
        <f aca="false">IF(L1979="no","end at tank",IF(H1979&lt;0,"NEGATIVE",IF(H1979&lt;p_min-0.005,"low","OK")))</f>
        <v>OK</v>
      </c>
      <c r="L1979" s="4" t="s">
        <v>414</v>
      </c>
    </row>
    <row r="1980" customFormat="false" ht="15" hidden="false" customHeight="false" outlineLevel="0" collapsed="false">
      <c r="A1980" s="4" t="s">
        <v>44</v>
      </c>
      <c r="B1980" s="4" t="s">
        <v>373</v>
      </c>
      <c r="C1980" s="47" t="n">
        <v>15843.85</v>
      </c>
      <c r="D1980" s="48" t="n">
        <v>1686.79</v>
      </c>
      <c r="E1980" s="49" t="n">
        <f aca="false">D1980-cover</f>
        <v>1685.59</v>
      </c>
      <c r="F1980" s="50" t="n">
        <f aca="false">'Z6 Nkangamo-Uhuru'!S18-'Z6 Nkangamo-Uhuru'!P18*C1980/'Z6 Nkangamo-Uhuru'!G18</f>
        <v>1713.54897641731</v>
      </c>
      <c r="G1980" s="51" t="n">
        <f aca="false">'Z6 Nkangamo-Uhuru'!$B$8-E1980</f>
        <v>20.9100000000001</v>
      </c>
      <c r="H1980" s="52" t="n">
        <f aca="false">F1980-E1980</f>
        <v>27.9589764173124</v>
      </c>
      <c r="I1980" s="52" t="n">
        <f aca="false">MAX(H1980,G1980)</f>
        <v>27.9589764173124</v>
      </c>
      <c r="J1980" s="4" t="str">
        <f aca="false">IFERROR("PN"&amp;SMALL(PN_list,COUNTIF(PN_list,"&lt;"&amp;I1980*bar_per_m)+1),"&gt; max PN")</f>
        <v>PN10</v>
      </c>
      <c r="K1980" s="4" t="str">
        <f aca="false">IF(L1980="no","end at tank",IF(H1980&lt;0,"NEGATIVE",IF(H1980&lt;p_min-0.005,"low","OK")))</f>
        <v>OK</v>
      </c>
      <c r="L1980" s="4" t="s">
        <v>414</v>
      </c>
    </row>
    <row r="1981" customFormat="false" ht="15" hidden="false" customHeight="false" outlineLevel="0" collapsed="false">
      <c r="A1981" s="4" t="s">
        <v>44</v>
      </c>
      <c r="B1981" s="4" t="s">
        <v>373</v>
      </c>
      <c r="C1981" s="47" t="n">
        <v>15863.85</v>
      </c>
      <c r="D1981" s="48" t="n">
        <v>1686.79</v>
      </c>
      <c r="E1981" s="49" t="n">
        <f aca="false">D1981-cover</f>
        <v>1685.59</v>
      </c>
      <c r="F1981" s="50" t="n">
        <f aca="false">'Z6 Nkangamo-Uhuru'!S18-'Z6 Nkangamo-Uhuru'!P18*C1981/'Z6 Nkangamo-Uhuru'!G18</f>
        <v>1713.51782311437</v>
      </c>
      <c r="G1981" s="51" t="n">
        <f aca="false">'Z6 Nkangamo-Uhuru'!$B$8-E1981</f>
        <v>20.9100000000001</v>
      </c>
      <c r="H1981" s="52" t="n">
        <f aca="false">F1981-E1981</f>
        <v>27.9278231143658</v>
      </c>
      <c r="I1981" s="52" t="n">
        <f aca="false">MAX(H1981,G1981)</f>
        <v>27.9278231143658</v>
      </c>
      <c r="J1981" s="4" t="str">
        <f aca="false">IFERROR("PN"&amp;SMALL(PN_list,COUNTIF(PN_list,"&lt;"&amp;I1981*bar_per_m)+1),"&gt; max PN")</f>
        <v>PN10</v>
      </c>
      <c r="K1981" s="4" t="str">
        <f aca="false">IF(L1981="no","end at tank",IF(H1981&lt;0,"NEGATIVE",IF(H1981&lt;p_min-0.005,"low","OK")))</f>
        <v>OK</v>
      </c>
      <c r="L1981" s="4" t="s">
        <v>414</v>
      </c>
    </row>
    <row r="1982" customFormat="false" ht="15" hidden="false" customHeight="false" outlineLevel="0" collapsed="false">
      <c r="A1982" s="4" t="s">
        <v>44</v>
      </c>
      <c r="B1982" s="4" t="s">
        <v>373</v>
      </c>
      <c r="C1982" s="47" t="n">
        <v>15883.86</v>
      </c>
      <c r="D1982" s="48" t="n">
        <v>1686.24</v>
      </c>
      <c r="E1982" s="49" t="n">
        <f aca="false">D1982-cover</f>
        <v>1685.04</v>
      </c>
      <c r="F1982" s="50" t="n">
        <f aca="false">'Z6 Nkangamo-Uhuru'!S18-'Z6 Nkangamo-Uhuru'!P18*C1982/'Z6 Nkangamo-Uhuru'!G18</f>
        <v>1713.48665423477</v>
      </c>
      <c r="G1982" s="51" t="n">
        <f aca="false">'Z6 Nkangamo-Uhuru'!$B$8-E1982</f>
        <v>21.46</v>
      </c>
      <c r="H1982" s="52" t="n">
        <f aca="false">F1982-E1982</f>
        <v>28.4466542347673</v>
      </c>
      <c r="I1982" s="52" t="n">
        <f aca="false">MAX(H1982,G1982)</f>
        <v>28.4466542347673</v>
      </c>
      <c r="J1982" s="4" t="str">
        <f aca="false">IFERROR("PN"&amp;SMALL(PN_list,COUNTIF(PN_list,"&lt;"&amp;I1982*bar_per_m)+1),"&gt; max PN")</f>
        <v>PN10</v>
      </c>
      <c r="K1982" s="4" t="str">
        <f aca="false">IF(L1982="no","end at tank",IF(H1982&lt;0,"NEGATIVE",IF(H1982&lt;p_min-0.005,"low","OK")))</f>
        <v>OK</v>
      </c>
      <c r="L1982" s="4" t="s">
        <v>414</v>
      </c>
    </row>
    <row r="1983" customFormat="false" ht="15" hidden="false" customHeight="false" outlineLevel="0" collapsed="false">
      <c r="A1983" s="4" t="s">
        <v>44</v>
      </c>
      <c r="B1983" s="4" t="s">
        <v>373</v>
      </c>
      <c r="C1983" s="47" t="n">
        <v>15903.86</v>
      </c>
      <c r="D1983" s="48" t="n">
        <v>1686.24</v>
      </c>
      <c r="E1983" s="49" t="n">
        <f aca="false">D1983-cover</f>
        <v>1685.04</v>
      </c>
      <c r="F1983" s="50" t="n">
        <f aca="false">'Z6 Nkangamo-Uhuru'!S18-'Z6 Nkangamo-Uhuru'!P18*C1983/'Z6 Nkangamo-Uhuru'!G18</f>
        <v>1713.45550093182</v>
      </c>
      <c r="G1983" s="51" t="n">
        <f aca="false">'Z6 Nkangamo-Uhuru'!$B$8-E1983</f>
        <v>21.46</v>
      </c>
      <c r="H1983" s="52" t="n">
        <f aca="false">F1983-E1983</f>
        <v>28.4155009318206</v>
      </c>
      <c r="I1983" s="52" t="n">
        <f aca="false">MAX(H1983,G1983)</f>
        <v>28.4155009318206</v>
      </c>
      <c r="J1983" s="4" t="str">
        <f aca="false">IFERROR("PN"&amp;SMALL(PN_list,COUNTIF(PN_list,"&lt;"&amp;I1983*bar_per_m)+1),"&gt; max PN")</f>
        <v>PN10</v>
      </c>
      <c r="K1983" s="4" t="str">
        <f aca="false">IF(L1983="no","end at tank",IF(H1983&lt;0,"NEGATIVE",IF(H1983&lt;p_min-0.005,"low","OK")))</f>
        <v>OK</v>
      </c>
      <c r="L1983" s="4" t="s">
        <v>414</v>
      </c>
    </row>
    <row r="1984" customFormat="false" ht="15" hidden="false" customHeight="false" outlineLevel="0" collapsed="false">
      <c r="A1984" s="4" t="s">
        <v>44</v>
      </c>
      <c r="B1984" s="4" t="s">
        <v>373</v>
      </c>
      <c r="C1984" s="47" t="n">
        <v>15923.87</v>
      </c>
      <c r="D1984" s="48" t="n">
        <v>1685.57</v>
      </c>
      <c r="E1984" s="49" t="n">
        <f aca="false">D1984-cover</f>
        <v>1684.37</v>
      </c>
      <c r="F1984" s="50" t="n">
        <f aca="false">'Z6 Nkangamo-Uhuru'!S18-'Z6 Nkangamo-Uhuru'!P18*C1984/'Z6 Nkangamo-Uhuru'!G18</f>
        <v>1713.42433205222</v>
      </c>
      <c r="G1984" s="51" t="n">
        <f aca="false">'Z6 Nkangamo-Uhuru'!$B$8-E1984</f>
        <v>22.1300000000001</v>
      </c>
      <c r="H1984" s="52" t="n">
        <f aca="false">F1984-E1984</f>
        <v>29.0543320522222</v>
      </c>
      <c r="I1984" s="52" t="n">
        <f aca="false">MAX(H1984,G1984)</f>
        <v>29.0543320522222</v>
      </c>
      <c r="J1984" s="4" t="str">
        <f aca="false">IFERROR("PN"&amp;SMALL(PN_list,COUNTIF(PN_list,"&lt;"&amp;I1984*bar_per_m)+1),"&gt; max PN")</f>
        <v>PN10</v>
      </c>
      <c r="K1984" s="4" t="str">
        <f aca="false">IF(L1984="no","end at tank",IF(H1984&lt;0,"NEGATIVE",IF(H1984&lt;p_min-0.005,"low","OK")))</f>
        <v>OK</v>
      </c>
      <c r="L1984" s="4" t="s">
        <v>414</v>
      </c>
    </row>
    <row r="1985" customFormat="false" ht="15" hidden="false" customHeight="false" outlineLevel="0" collapsed="false">
      <c r="A1985" s="4" t="s">
        <v>44</v>
      </c>
      <c r="B1985" s="4" t="s">
        <v>373</v>
      </c>
      <c r="C1985" s="47" t="n">
        <v>15943.87</v>
      </c>
      <c r="D1985" s="48" t="n">
        <v>1685.57</v>
      </c>
      <c r="E1985" s="49" t="n">
        <f aca="false">D1985-cover</f>
        <v>1684.37</v>
      </c>
      <c r="F1985" s="50" t="n">
        <f aca="false">'Z6 Nkangamo-Uhuru'!S18-'Z6 Nkangamo-Uhuru'!P18*C1985/'Z6 Nkangamo-Uhuru'!G18</f>
        <v>1713.39317874928</v>
      </c>
      <c r="G1985" s="51" t="n">
        <f aca="false">'Z6 Nkangamo-Uhuru'!$B$8-E1985</f>
        <v>22.1300000000001</v>
      </c>
      <c r="H1985" s="52" t="n">
        <f aca="false">F1985-E1985</f>
        <v>29.0231787492755</v>
      </c>
      <c r="I1985" s="52" t="n">
        <f aca="false">MAX(H1985,G1985)</f>
        <v>29.0231787492755</v>
      </c>
      <c r="J1985" s="4" t="str">
        <f aca="false">IFERROR("PN"&amp;SMALL(PN_list,COUNTIF(PN_list,"&lt;"&amp;I1985*bar_per_m)+1),"&gt; max PN")</f>
        <v>PN10</v>
      </c>
      <c r="K1985" s="4" t="str">
        <f aca="false">IF(L1985="no","end at tank",IF(H1985&lt;0,"NEGATIVE",IF(H1985&lt;p_min-0.005,"low","OK")))</f>
        <v>OK</v>
      </c>
      <c r="L1985" s="4" t="s">
        <v>414</v>
      </c>
    </row>
    <row r="1986" customFormat="false" ht="15" hidden="false" customHeight="false" outlineLevel="0" collapsed="false">
      <c r="A1986" s="4" t="s">
        <v>44</v>
      </c>
      <c r="B1986" s="4" t="s">
        <v>373</v>
      </c>
      <c r="C1986" s="47" t="n">
        <v>15963.87</v>
      </c>
      <c r="D1986" s="48" t="n">
        <v>1685.4</v>
      </c>
      <c r="E1986" s="49" t="n">
        <f aca="false">D1986-cover</f>
        <v>1684.2</v>
      </c>
      <c r="F1986" s="50" t="n">
        <f aca="false">'Z6 Nkangamo-Uhuru'!S18-'Z6 Nkangamo-Uhuru'!P18*C1986/'Z6 Nkangamo-Uhuru'!G18</f>
        <v>1713.36202544633</v>
      </c>
      <c r="G1986" s="51" t="n">
        <f aca="false">'Z6 Nkangamo-Uhuru'!$B$8-E1986</f>
        <v>22.3</v>
      </c>
      <c r="H1986" s="52" t="n">
        <f aca="false">F1986-E1986</f>
        <v>29.1620254463285</v>
      </c>
      <c r="I1986" s="52" t="n">
        <f aca="false">MAX(H1986,G1986)</f>
        <v>29.1620254463285</v>
      </c>
      <c r="J1986" s="4" t="str">
        <f aca="false">IFERROR("PN"&amp;SMALL(PN_list,COUNTIF(PN_list,"&lt;"&amp;I1986*bar_per_m)+1),"&gt; max PN")</f>
        <v>PN10</v>
      </c>
      <c r="K1986" s="4" t="str">
        <f aca="false">IF(L1986="no","end at tank",IF(H1986&lt;0,"NEGATIVE",IF(H1986&lt;p_min-0.005,"low","OK")))</f>
        <v>OK</v>
      </c>
      <c r="L1986" s="4" t="s">
        <v>414</v>
      </c>
    </row>
    <row r="1987" customFormat="false" ht="15" hidden="false" customHeight="false" outlineLevel="0" collapsed="false">
      <c r="A1987" s="4" t="s">
        <v>44</v>
      </c>
      <c r="B1987" s="4" t="s">
        <v>373</v>
      </c>
      <c r="C1987" s="47" t="n">
        <v>15983.87</v>
      </c>
      <c r="D1987" s="48" t="n">
        <v>1685.4</v>
      </c>
      <c r="E1987" s="49" t="n">
        <f aca="false">D1987-cover</f>
        <v>1684.2</v>
      </c>
      <c r="F1987" s="50" t="n">
        <f aca="false">'Z6 Nkangamo-Uhuru'!S18-'Z6 Nkangamo-Uhuru'!P18*C1987/'Z6 Nkangamo-Uhuru'!G18</f>
        <v>1713.33087214338</v>
      </c>
      <c r="G1987" s="51" t="n">
        <f aca="false">'Z6 Nkangamo-Uhuru'!$B$8-E1987</f>
        <v>22.3</v>
      </c>
      <c r="H1987" s="52" t="n">
        <f aca="false">F1987-E1987</f>
        <v>29.1308721433816</v>
      </c>
      <c r="I1987" s="52" t="n">
        <f aca="false">MAX(H1987,G1987)</f>
        <v>29.1308721433816</v>
      </c>
      <c r="J1987" s="4" t="str">
        <f aca="false">IFERROR("PN"&amp;SMALL(PN_list,COUNTIF(PN_list,"&lt;"&amp;I1987*bar_per_m)+1),"&gt; max PN")</f>
        <v>PN10</v>
      </c>
      <c r="K1987" s="4" t="str">
        <f aca="false">IF(L1987="no","end at tank",IF(H1987&lt;0,"NEGATIVE",IF(H1987&lt;p_min-0.005,"low","OK")))</f>
        <v>OK</v>
      </c>
      <c r="L1987" s="4" t="s">
        <v>414</v>
      </c>
    </row>
    <row r="1988" customFormat="false" ht="15" hidden="false" customHeight="false" outlineLevel="0" collapsed="false">
      <c r="A1988" s="4" t="s">
        <v>44</v>
      </c>
      <c r="B1988" s="4" t="s">
        <v>373</v>
      </c>
      <c r="C1988" s="47" t="n">
        <v>16003.88</v>
      </c>
      <c r="D1988" s="48" t="n">
        <v>1684.75</v>
      </c>
      <c r="E1988" s="49" t="n">
        <f aca="false">D1988-cover</f>
        <v>1683.55</v>
      </c>
      <c r="F1988" s="50" t="n">
        <f aca="false">'Z6 Nkangamo-Uhuru'!S18-'Z6 Nkangamo-Uhuru'!P18*C1988/'Z6 Nkangamo-Uhuru'!G18</f>
        <v>1713.29970326378</v>
      </c>
      <c r="G1988" s="51" t="n">
        <f aca="false">'Z6 Nkangamo-Uhuru'!$B$8-E1988</f>
        <v>22.95</v>
      </c>
      <c r="H1988" s="52" t="n">
        <f aca="false">F1988-E1988</f>
        <v>29.7497032637834</v>
      </c>
      <c r="I1988" s="52" t="n">
        <f aca="false">MAX(H1988,G1988)</f>
        <v>29.7497032637834</v>
      </c>
      <c r="J1988" s="4" t="str">
        <f aca="false">IFERROR("PN"&amp;SMALL(PN_list,COUNTIF(PN_list,"&lt;"&amp;I1988*bar_per_m)+1),"&gt; max PN")</f>
        <v>PN10</v>
      </c>
      <c r="K1988" s="4" t="str">
        <f aca="false">IF(L1988="no","end at tank",IF(H1988&lt;0,"NEGATIVE",IF(H1988&lt;p_min-0.005,"low","OK")))</f>
        <v>OK</v>
      </c>
      <c r="L1988" s="4" t="s">
        <v>414</v>
      </c>
    </row>
    <row r="1989" customFormat="false" ht="15" hidden="false" customHeight="false" outlineLevel="0" collapsed="false">
      <c r="A1989" s="4" t="s">
        <v>44</v>
      </c>
      <c r="B1989" s="4" t="s">
        <v>373</v>
      </c>
      <c r="C1989" s="47" t="n">
        <v>16023.88</v>
      </c>
      <c r="D1989" s="48" t="n">
        <v>1684.75</v>
      </c>
      <c r="E1989" s="49" t="n">
        <f aca="false">D1989-cover</f>
        <v>1683.55</v>
      </c>
      <c r="F1989" s="50" t="n">
        <f aca="false">'Z6 Nkangamo-Uhuru'!S18-'Z6 Nkangamo-Uhuru'!P18*C1989/'Z6 Nkangamo-Uhuru'!G18</f>
        <v>1713.26854996084</v>
      </c>
      <c r="G1989" s="51" t="n">
        <f aca="false">'Z6 Nkangamo-Uhuru'!$B$8-E1989</f>
        <v>22.95</v>
      </c>
      <c r="H1989" s="52" t="n">
        <f aca="false">F1989-E1989</f>
        <v>29.7185499608365</v>
      </c>
      <c r="I1989" s="52" t="n">
        <f aca="false">MAX(H1989,G1989)</f>
        <v>29.7185499608365</v>
      </c>
      <c r="J1989" s="4" t="str">
        <f aca="false">IFERROR("PN"&amp;SMALL(PN_list,COUNTIF(PN_list,"&lt;"&amp;I1989*bar_per_m)+1),"&gt; max PN")</f>
        <v>PN10</v>
      </c>
      <c r="K1989" s="4" t="str">
        <f aca="false">IF(L1989="no","end at tank",IF(H1989&lt;0,"NEGATIVE",IF(H1989&lt;p_min-0.005,"low","OK")))</f>
        <v>OK</v>
      </c>
      <c r="L1989" s="4" t="s">
        <v>414</v>
      </c>
    </row>
    <row r="1990" customFormat="false" ht="15" hidden="false" customHeight="false" outlineLevel="0" collapsed="false">
      <c r="A1990" s="4" t="s">
        <v>44</v>
      </c>
      <c r="B1990" s="4" t="s">
        <v>373</v>
      </c>
      <c r="C1990" s="47" t="n">
        <v>16043.88</v>
      </c>
      <c r="D1990" s="48" t="n">
        <v>1684.58</v>
      </c>
      <c r="E1990" s="49" t="n">
        <f aca="false">D1990-cover</f>
        <v>1683.38</v>
      </c>
      <c r="F1990" s="50" t="n">
        <f aca="false">'Z6 Nkangamo-Uhuru'!S18-'Z6 Nkangamo-Uhuru'!P18*C1990/'Z6 Nkangamo-Uhuru'!G18</f>
        <v>1713.23739665789</v>
      </c>
      <c r="G1990" s="51" t="n">
        <f aca="false">'Z6 Nkangamo-Uhuru'!$B$8-E1990</f>
        <v>23.1200000000001</v>
      </c>
      <c r="H1990" s="52" t="n">
        <f aca="false">F1990-E1990</f>
        <v>29.8573966578899</v>
      </c>
      <c r="I1990" s="52" t="n">
        <f aca="false">MAX(H1990,G1990)</f>
        <v>29.8573966578899</v>
      </c>
      <c r="J1990" s="4" t="str">
        <f aca="false">IFERROR("PN"&amp;SMALL(PN_list,COUNTIF(PN_list,"&lt;"&amp;I1990*bar_per_m)+1),"&gt; max PN")</f>
        <v>PN10</v>
      </c>
      <c r="K1990" s="4" t="str">
        <f aca="false">IF(L1990="no","end at tank",IF(H1990&lt;0,"NEGATIVE",IF(H1990&lt;p_min-0.005,"low","OK")))</f>
        <v>OK</v>
      </c>
      <c r="L1990" s="4" t="s">
        <v>414</v>
      </c>
    </row>
    <row r="1991" customFormat="false" ht="15" hidden="false" customHeight="false" outlineLevel="0" collapsed="false">
      <c r="A1991" s="4" t="s">
        <v>44</v>
      </c>
      <c r="B1991" s="4" t="s">
        <v>373</v>
      </c>
      <c r="C1991" s="47" t="n">
        <v>16063.89</v>
      </c>
      <c r="D1991" s="48" t="n">
        <v>1684.36</v>
      </c>
      <c r="E1991" s="49" t="n">
        <f aca="false">D1991-cover</f>
        <v>1683.16</v>
      </c>
      <c r="F1991" s="50" t="n">
        <f aca="false">'Z6 Nkangamo-Uhuru'!S18-'Z6 Nkangamo-Uhuru'!P18*C1991/'Z6 Nkangamo-Uhuru'!G18</f>
        <v>1713.20622777829</v>
      </c>
      <c r="G1991" s="51" t="n">
        <f aca="false">'Z6 Nkangamo-Uhuru'!$B$8-E1991</f>
        <v>23.3400000000001</v>
      </c>
      <c r="H1991" s="52" t="n">
        <f aca="false">F1991-E1991</f>
        <v>30.0462277782915</v>
      </c>
      <c r="I1991" s="52" t="n">
        <f aca="false">MAX(H1991,G1991)</f>
        <v>30.0462277782915</v>
      </c>
      <c r="J1991" s="4" t="str">
        <f aca="false">IFERROR("PN"&amp;SMALL(PN_list,COUNTIF(PN_list,"&lt;"&amp;I1991*bar_per_m)+1),"&gt; max PN")</f>
        <v>PN10</v>
      </c>
      <c r="K1991" s="4" t="str">
        <f aca="false">IF(L1991="no","end at tank",IF(H1991&lt;0,"NEGATIVE",IF(H1991&lt;p_min-0.005,"low","OK")))</f>
        <v>OK</v>
      </c>
      <c r="L1991" s="4" t="s">
        <v>414</v>
      </c>
    </row>
    <row r="1992" customFormat="false" ht="15" hidden="false" customHeight="false" outlineLevel="0" collapsed="false">
      <c r="A1992" s="4" t="s">
        <v>44</v>
      </c>
      <c r="B1992" s="4" t="s">
        <v>373</v>
      </c>
      <c r="C1992" s="47" t="n">
        <v>16083.89</v>
      </c>
      <c r="D1992" s="48" t="n">
        <v>1684</v>
      </c>
      <c r="E1992" s="49" t="n">
        <f aca="false">D1992-cover</f>
        <v>1682.8</v>
      </c>
      <c r="F1992" s="50" t="n">
        <f aca="false">'Z6 Nkangamo-Uhuru'!S18-'Z6 Nkangamo-Uhuru'!P18*C1992/'Z6 Nkangamo-Uhuru'!G18</f>
        <v>1713.17507447534</v>
      </c>
      <c r="G1992" s="51" t="n">
        <f aca="false">'Z6 Nkangamo-Uhuru'!$B$8-E1992</f>
        <v>23.7</v>
      </c>
      <c r="H1992" s="52" t="n">
        <f aca="false">F1992-E1992</f>
        <v>30.3750744753447</v>
      </c>
      <c r="I1992" s="52" t="n">
        <f aca="false">MAX(H1992,G1992)</f>
        <v>30.3750744753447</v>
      </c>
      <c r="J1992" s="4" t="str">
        <f aca="false">IFERROR("PN"&amp;SMALL(PN_list,COUNTIF(PN_list,"&lt;"&amp;I1992*bar_per_m)+1),"&gt; max PN")</f>
        <v>PN10</v>
      </c>
      <c r="K1992" s="4" t="str">
        <f aca="false">IF(L1992="no","end at tank",IF(H1992&lt;0,"NEGATIVE",IF(H1992&lt;p_min-0.005,"low","OK")))</f>
        <v>OK</v>
      </c>
      <c r="L1992" s="4" t="s">
        <v>414</v>
      </c>
    </row>
    <row r="1993" customFormat="false" ht="15" hidden="false" customHeight="false" outlineLevel="0" collapsed="false">
      <c r="A1993" s="4" t="s">
        <v>44</v>
      </c>
      <c r="B1993" s="4" t="s">
        <v>373</v>
      </c>
      <c r="C1993" s="47" t="n">
        <v>16103.89</v>
      </c>
      <c r="D1993" s="48" t="n">
        <v>1683.96</v>
      </c>
      <c r="E1993" s="49" t="n">
        <f aca="false">D1993-cover</f>
        <v>1682.76</v>
      </c>
      <c r="F1993" s="50" t="n">
        <f aca="false">'Z6 Nkangamo-Uhuru'!S18-'Z6 Nkangamo-Uhuru'!P18*C1993/'Z6 Nkangamo-Uhuru'!G18</f>
        <v>1713.1439211724</v>
      </c>
      <c r="G1993" s="51" t="n">
        <f aca="false">'Z6 Nkangamo-Uhuru'!$B$8-E1993</f>
        <v>23.74</v>
      </c>
      <c r="H1993" s="52" t="n">
        <f aca="false">F1993-E1993</f>
        <v>30.3839211723978</v>
      </c>
      <c r="I1993" s="52" t="n">
        <f aca="false">MAX(H1993,G1993)</f>
        <v>30.3839211723978</v>
      </c>
      <c r="J1993" s="4" t="str">
        <f aca="false">IFERROR("PN"&amp;SMALL(PN_list,COUNTIF(PN_list,"&lt;"&amp;I1993*bar_per_m)+1),"&gt; max PN")</f>
        <v>PN10</v>
      </c>
      <c r="K1993" s="4" t="str">
        <f aca="false">IF(L1993="no","end at tank",IF(H1993&lt;0,"NEGATIVE",IF(H1993&lt;p_min-0.005,"low","OK")))</f>
        <v>OK</v>
      </c>
      <c r="L1993" s="4" t="s">
        <v>414</v>
      </c>
    </row>
    <row r="1994" customFormat="false" ht="15" hidden="false" customHeight="false" outlineLevel="0" collapsed="false">
      <c r="A1994" s="4" t="s">
        <v>44</v>
      </c>
      <c r="B1994" s="4" t="s">
        <v>373</v>
      </c>
      <c r="C1994" s="47" t="n">
        <v>16123.89</v>
      </c>
      <c r="D1994" s="48" t="n">
        <v>1683.63</v>
      </c>
      <c r="E1994" s="49" t="n">
        <f aca="false">D1994-cover</f>
        <v>1682.43</v>
      </c>
      <c r="F1994" s="50" t="n">
        <f aca="false">'Z6 Nkangamo-Uhuru'!S18-'Z6 Nkangamo-Uhuru'!P18*C1994/'Z6 Nkangamo-Uhuru'!G18</f>
        <v>1713.11276786945</v>
      </c>
      <c r="G1994" s="51" t="n">
        <f aca="false">'Z6 Nkangamo-Uhuru'!$B$8-E1994</f>
        <v>24.0699999999999</v>
      </c>
      <c r="H1994" s="52" t="n">
        <f aca="false">F1994-E1994</f>
        <v>30.6827678694508</v>
      </c>
      <c r="I1994" s="52" t="n">
        <f aca="false">MAX(H1994,G1994)</f>
        <v>30.6827678694508</v>
      </c>
      <c r="J1994" s="4" t="str">
        <f aca="false">IFERROR("PN"&amp;SMALL(PN_list,COUNTIF(PN_list,"&lt;"&amp;I1994*bar_per_m)+1),"&gt; max PN")</f>
        <v>PN10</v>
      </c>
      <c r="K1994" s="4" t="str">
        <f aca="false">IF(L1994="no","end at tank",IF(H1994&lt;0,"NEGATIVE",IF(H1994&lt;p_min-0.005,"low","OK")))</f>
        <v>OK</v>
      </c>
      <c r="L1994" s="4" t="s">
        <v>414</v>
      </c>
    </row>
    <row r="1995" customFormat="false" ht="15" hidden="false" customHeight="false" outlineLevel="0" collapsed="false">
      <c r="A1995" s="4" t="s">
        <v>44</v>
      </c>
      <c r="B1995" s="4" t="s">
        <v>373</v>
      </c>
      <c r="C1995" s="47" t="n">
        <v>16143.89</v>
      </c>
      <c r="D1995" s="48" t="n">
        <v>1683.54</v>
      </c>
      <c r="E1995" s="49" t="n">
        <f aca="false">D1995-cover</f>
        <v>1682.34</v>
      </c>
      <c r="F1995" s="50" t="n">
        <f aca="false">'Z6 Nkangamo-Uhuru'!S18-'Z6 Nkangamo-Uhuru'!P18*C1995/'Z6 Nkangamo-Uhuru'!G18</f>
        <v>1713.0816145665</v>
      </c>
      <c r="G1995" s="51" t="n">
        <f aca="false">'Z6 Nkangamo-Uhuru'!$B$8-E1995</f>
        <v>24.1600000000001</v>
      </c>
      <c r="H1995" s="52" t="n">
        <f aca="false">F1995-E1995</f>
        <v>30.7416145665043</v>
      </c>
      <c r="I1995" s="52" t="n">
        <f aca="false">MAX(H1995,G1995)</f>
        <v>30.7416145665043</v>
      </c>
      <c r="J1995" s="4" t="str">
        <f aca="false">IFERROR("PN"&amp;SMALL(PN_list,COUNTIF(PN_list,"&lt;"&amp;I1995*bar_per_m)+1),"&gt; max PN")</f>
        <v>PN10</v>
      </c>
      <c r="K1995" s="4" t="str">
        <f aca="false">IF(L1995="no","end at tank",IF(H1995&lt;0,"NEGATIVE",IF(H1995&lt;p_min-0.005,"low","OK")))</f>
        <v>OK</v>
      </c>
      <c r="L1995" s="4" t="s">
        <v>414</v>
      </c>
    </row>
    <row r="1996" customFormat="false" ht="15" hidden="false" customHeight="false" outlineLevel="0" collapsed="false">
      <c r="A1996" s="4" t="s">
        <v>44</v>
      </c>
      <c r="B1996" s="4" t="s">
        <v>373</v>
      </c>
      <c r="C1996" s="47" t="n">
        <v>16163.9</v>
      </c>
      <c r="D1996" s="48" t="n">
        <v>1683.97</v>
      </c>
      <c r="E1996" s="49" t="n">
        <f aca="false">D1996-cover</f>
        <v>1682.77</v>
      </c>
      <c r="F1996" s="50" t="n">
        <f aca="false">'Z6 Nkangamo-Uhuru'!S18-'Z6 Nkangamo-Uhuru'!P18*C1996/'Z6 Nkangamo-Uhuru'!G18</f>
        <v>1713.05044568691</v>
      </c>
      <c r="G1996" s="51" t="n">
        <f aca="false">'Z6 Nkangamo-Uhuru'!$B$8-E1996</f>
        <v>23.73</v>
      </c>
      <c r="H1996" s="52" t="n">
        <f aca="false">F1996-E1996</f>
        <v>30.2804456869058</v>
      </c>
      <c r="I1996" s="52" t="n">
        <f aca="false">MAX(H1996,G1996)</f>
        <v>30.2804456869058</v>
      </c>
      <c r="J1996" s="4" t="str">
        <f aca="false">IFERROR("PN"&amp;SMALL(PN_list,COUNTIF(PN_list,"&lt;"&amp;I1996*bar_per_m)+1),"&gt; max PN")</f>
        <v>PN10</v>
      </c>
      <c r="K1996" s="4" t="str">
        <f aca="false">IF(L1996="no","end at tank",IF(H1996&lt;0,"NEGATIVE",IF(H1996&lt;p_min-0.005,"low","OK")))</f>
        <v>OK</v>
      </c>
      <c r="L1996" s="4" t="s">
        <v>414</v>
      </c>
    </row>
    <row r="1997" customFormat="false" ht="15" hidden="false" customHeight="false" outlineLevel="0" collapsed="false">
      <c r="A1997" s="4" t="s">
        <v>44</v>
      </c>
      <c r="B1997" s="4" t="s">
        <v>373</v>
      </c>
      <c r="C1997" s="47" t="n">
        <v>16183.9</v>
      </c>
      <c r="D1997" s="48" t="n">
        <v>1683.53</v>
      </c>
      <c r="E1997" s="49" t="n">
        <f aca="false">D1997-cover</f>
        <v>1682.33</v>
      </c>
      <c r="F1997" s="50" t="n">
        <f aca="false">'Z6 Nkangamo-Uhuru'!S18-'Z6 Nkangamo-Uhuru'!P18*C1997/'Z6 Nkangamo-Uhuru'!G18</f>
        <v>1713.01929238396</v>
      </c>
      <c r="G1997" s="51" t="n">
        <f aca="false">'Z6 Nkangamo-Uhuru'!$B$8-E1997</f>
        <v>24.1700000000001</v>
      </c>
      <c r="H1997" s="52" t="n">
        <f aca="false">F1997-E1997</f>
        <v>30.6892923839591</v>
      </c>
      <c r="I1997" s="52" t="n">
        <f aca="false">MAX(H1997,G1997)</f>
        <v>30.6892923839591</v>
      </c>
      <c r="J1997" s="4" t="str">
        <f aca="false">IFERROR("PN"&amp;SMALL(PN_list,COUNTIF(PN_list,"&lt;"&amp;I1997*bar_per_m)+1),"&gt; max PN")</f>
        <v>PN10</v>
      </c>
      <c r="K1997" s="4" t="str">
        <f aca="false">IF(L1997="no","end at tank",IF(H1997&lt;0,"NEGATIVE",IF(H1997&lt;p_min-0.005,"low","OK")))</f>
        <v>OK</v>
      </c>
      <c r="L1997" s="4" t="s">
        <v>414</v>
      </c>
    </row>
    <row r="1998" customFormat="false" ht="15" hidden="false" customHeight="false" outlineLevel="0" collapsed="false">
      <c r="A1998" s="4" t="s">
        <v>44</v>
      </c>
      <c r="B1998" s="4" t="s">
        <v>373</v>
      </c>
      <c r="C1998" s="47" t="n">
        <v>16203.9</v>
      </c>
      <c r="D1998" s="48" t="n">
        <v>1683.34</v>
      </c>
      <c r="E1998" s="49" t="n">
        <f aca="false">D1998-cover</f>
        <v>1682.14</v>
      </c>
      <c r="F1998" s="50" t="n">
        <f aca="false">'Z6 Nkangamo-Uhuru'!S18-'Z6 Nkangamo-Uhuru'!P18*C1998/'Z6 Nkangamo-Uhuru'!G18</f>
        <v>1712.98813908101</v>
      </c>
      <c r="G1998" s="51" t="n">
        <f aca="false">'Z6 Nkangamo-Uhuru'!$B$8-E1998</f>
        <v>24.3600000000001</v>
      </c>
      <c r="H1998" s="52" t="n">
        <f aca="false">F1998-E1998</f>
        <v>30.8481390810123</v>
      </c>
      <c r="I1998" s="52" t="n">
        <f aca="false">MAX(H1998,G1998)</f>
        <v>30.8481390810123</v>
      </c>
      <c r="J1998" s="4" t="str">
        <f aca="false">IFERROR("PN"&amp;SMALL(PN_list,COUNTIF(PN_list,"&lt;"&amp;I1998*bar_per_m)+1),"&gt; max PN")</f>
        <v>PN10</v>
      </c>
      <c r="K1998" s="4" t="str">
        <f aca="false">IF(L1998="no","end at tank",IF(H1998&lt;0,"NEGATIVE",IF(H1998&lt;p_min-0.005,"low","OK")))</f>
        <v>OK</v>
      </c>
      <c r="L1998" s="4" t="s">
        <v>414</v>
      </c>
    </row>
    <row r="1999" customFormat="false" ht="15" hidden="false" customHeight="false" outlineLevel="0" collapsed="false">
      <c r="A1999" s="4" t="s">
        <v>44</v>
      </c>
      <c r="B1999" s="4" t="s">
        <v>373</v>
      </c>
      <c r="C1999" s="47" t="n">
        <v>16223.9</v>
      </c>
      <c r="D1999" s="48" t="n">
        <v>1683.16</v>
      </c>
      <c r="E1999" s="49" t="n">
        <f aca="false">D1999-cover</f>
        <v>1681.96</v>
      </c>
      <c r="F1999" s="50" t="n">
        <f aca="false">'Z6 Nkangamo-Uhuru'!S18-'Z6 Nkangamo-Uhuru'!P18*C1999/'Z6 Nkangamo-Uhuru'!G18</f>
        <v>1712.95698577807</v>
      </c>
      <c r="G1999" s="51" t="n">
        <f aca="false">'Z6 Nkangamo-Uhuru'!$B$8-E1999</f>
        <v>24.54</v>
      </c>
      <c r="H1999" s="52" t="n">
        <f aca="false">F1999-E1999</f>
        <v>30.9969857780652</v>
      </c>
      <c r="I1999" s="52" t="n">
        <f aca="false">MAX(H1999,G1999)</f>
        <v>30.9969857780652</v>
      </c>
      <c r="J1999" s="4" t="str">
        <f aca="false">IFERROR("PN"&amp;SMALL(PN_list,COUNTIF(PN_list,"&lt;"&amp;I1999*bar_per_m)+1),"&gt; max PN")</f>
        <v>PN10</v>
      </c>
      <c r="K1999" s="4" t="str">
        <f aca="false">IF(L1999="no","end at tank",IF(H1999&lt;0,"NEGATIVE",IF(H1999&lt;p_min-0.005,"low","OK")))</f>
        <v>OK</v>
      </c>
      <c r="L1999" s="4" t="s">
        <v>414</v>
      </c>
    </row>
    <row r="2000" customFormat="false" ht="15" hidden="false" customHeight="false" outlineLevel="0" collapsed="false">
      <c r="A2000" s="4" t="s">
        <v>44</v>
      </c>
      <c r="B2000" s="4" t="s">
        <v>373</v>
      </c>
      <c r="C2000" s="47" t="n">
        <v>16243.91</v>
      </c>
      <c r="D2000" s="48" t="n">
        <v>1682.58</v>
      </c>
      <c r="E2000" s="49" t="n">
        <f aca="false">D2000-cover</f>
        <v>1681.38</v>
      </c>
      <c r="F2000" s="50" t="n">
        <f aca="false">'Z6 Nkangamo-Uhuru'!S18-'Z6 Nkangamo-Uhuru'!P18*C2000/'Z6 Nkangamo-Uhuru'!G18</f>
        <v>1712.92581689847</v>
      </c>
      <c r="G2000" s="51" t="n">
        <f aca="false">'Z6 Nkangamo-Uhuru'!$B$8-E2000</f>
        <v>25.1200000000001</v>
      </c>
      <c r="H2000" s="52" t="n">
        <f aca="false">F2000-E2000</f>
        <v>31.5458168984671</v>
      </c>
      <c r="I2000" s="52" t="n">
        <f aca="false">MAX(H2000,G2000)</f>
        <v>31.5458168984671</v>
      </c>
      <c r="J2000" s="4" t="str">
        <f aca="false">IFERROR("PN"&amp;SMALL(PN_list,COUNTIF(PN_list,"&lt;"&amp;I2000*bar_per_m)+1),"&gt; max PN")</f>
        <v>PN10</v>
      </c>
      <c r="K2000" s="4" t="str">
        <f aca="false">IF(L2000="no","end at tank",IF(H2000&lt;0,"NEGATIVE",IF(H2000&lt;p_min-0.005,"low","OK")))</f>
        <v>OK</v>
      </c>
      <c r="L2000" s="4" t="s">
        <v>414</v>
      </c>
    </row>
    <row r="2001" customFormat="false" ht="15" hidden="false" customHeight="false" outlineLevel="0" collapsed="false">
      <c r="A2001" s="4" t="s">
        <v>44</v>
      </c>
      <c r="B2001" s="4" t="s">
        <v>373</v>
      </c>
      <c r="C2001" s="47" t="n">
        <v>16263.91</v>
      </c>
      <c r="D2001" s="48" t="n">
        <v>1682.58</v>
      </c>
      <c r="E2001" s="49" t="n">
        <f aca="false">D2001-cover</f>
        <v>1681.38</v>
      </c>
      <c r="F2001" s="50" t="n">
        <f aca="false">'Z6 Nkangamo-Uhuru'!S18-'Z6 Nkangamo-Uhuru'!P18*C2001/'Z6 Nkangamo-Uhuru'!G18</f>
        <v>1712.89466359552</v>
      </c>
      <c r="G2001" s="51" t="n">
        <f aca="false">'Z6 Nkangamo-Uhuru'!$B$8-E2001</f>
        <v>25.1200000000001</v>
      </c>
      <c r="H2001" s="52" t="n">
        <f aca="false">F2001-E2001</f>
        <v>31.5146635955202</v>
      </c>
      <c r="I2001" s="52" t="n">
        <f aca="false">MAX(H2001,G2001)</f>
        <v>31.5146635955202</v>
      </c>
      <c r="J2001" s="4" t="str">
        <f aca="false">IFERROR("PN"&amp;SMALL(PN_list,COUNTIF(PN_list,"&lt;"&amp;I2001*bar_per_m)+1),"&gt; max PN")</f>
        <v>PN10</v>
      </c>
      <c r="K2001" s="4" t="str">
        <f aca="false">IF(L2001="no","end at tank",IF(H2001&lt;0,"NEGATIVE",IF(H2001&lt;p_min-0.005,"low","OK")))</f>
        <v>OK</v>
      </c>
      <c r="L2001" s="4" t="s">
        <v>414</v>
      </c>
    </row>
    <row r="2002" customFormat="false" ht="15" hidden="false" customHeight="false" outlineLevel="0" collapsed="false">
      <c r="A2002" s="4" t="s">
        <v>44</v>
      </c>
      <c r="B2002" s="4" t="s">
        <v>373</v>
      </c>
      <c r="C2002" s="47" t="n">
        <v>16283.91</v>
      </c>
      <c r="D2002" s="48" t="n">
        <v>1682.47</v>
      </c>
      <c r="E2002" s="49" t="n">
        <f aca="false">D2002-cover</f>
        <v>1681.27</v>
      </c>
      <c r="F2002" s="50" t="n">
        <f aca="false">'Z6 Nkangamo-Uhuru'!S18-'Z6 Nkangamo-Uhuru'!P18*C2002/'Z6 Nkangamo-Uhuru'!G18</f>
        <v>1712.86351029257</v>
      </c>
      <c r="G2002" s="51" t="n">
        <f aca="false">'Z6 Nkangamo-Uhuru'!$B$8-E2002</f>
        <v>25.23</v>
      </c>
      <c r="H2002" s="52" t="n">
        <f aca="false">F2002-E2002</f>
        <v>31.5935102925735</v>
      </c>
      <c r="I2002" s="52" t="n">
        <f aca="false">MAX(H2002,G2002)</f>
        <v>31.5935102925735</v>
      </c>
      <c r="J2002" s="4" t="str">
        <f aca="false">IFERROR("PN"&amp;SMALL(PN_list,COUNTIF(PN_list,"&lt;"&amp;I2002*bar_per_m)+1),"&gt; max PN")</f>
        <v>PN10</v>
      </c>
      <c r="K2002" s="4" t="str">
        <f aca="false">IF(L2002="no","end at tank",IF(H2002&lt;0,"NEGATIVE",IF(H2002&lt;p_min-0.005,"low","OK")))</f>
        <v>OK</v>
      </c>
      <c r="L2002" s="4" t="s">
        <v>414</v>
      </c>
    </row>
    <row r="2003" customFormat="false" ht="15" hidden="false" customHeight="false" outlineLevel="0" collapsed="false">
      <c r="A2003" s="4" t="s">
        <v>44</v>
      </c>
      <c r="B2003" s="4" t="s">
        <v>373</v>
      </c>
      <c r="C2003" s="47" t="n">
        <v>16303.89</v>
      </c>
      <c r="D2003" s="48" t="n">
        <v>1682.4</v>
      </c>
      <c r="E2003" s="49" t="n">
        <f aca="false">D2003-cover</f>
        <v>1681.2</v>
      </c>
      <c r="F2003" s="50" t="n">
        <f aca="false">'Z6 Nkangamo-Uhuru'!S18-'Z6 Nkangamo-Uhuru'!P18*C2003/'Z6 Nkangamo-Uhuru'!G18</f>
        <v>1712.83238814293</v>
      </c>
      <c r="G2003" s="51" t="n">
        <f aca="false">'Z6 Nkangamo-Uhuru'!$B$8-E2003</f>
        <v>25.3</v>
      </c>
      <c r="H2003" s="52" t="n">
        <f aca="false">F2003-E2003</f>
        <v>31.6323881429294</v>
      </c>
      <c r="I2003" s="52" t="n">
        <f aca="false">MAX(H2003,G2003)</f>
        <v>31.6323881429294</v>
      </c>
      <c r="J2003" s="4" t="str">
        <f aca="false">IFERROR("PN"&amp;SMALL(PN_list,COUNTIF(PN_list,"&lt;"&amp;I2003*bar_per_m)+1),"&gt; max PN")</f>
        <v>PN10</v>
      </c>
      <c r="K2003" s="4" t="str">
        <f aca="false">IF(L2003="no","end at tank",IF(H2003&lt;0,"NEGATIVE",IF(H2003&lt;p_min-0.005,"low","OK")))</f>
        <v>OK</v>
      </c>
      <c r="L2003" s="4" t="s">
        <v>414</v>
      </c>
    </row>
    <row r="2004" customFormat="false" ht="15" hidden="false" customHeight="false" outlineLevel="0" collapsed="false">
      <c r="A2004" s="4" t="s">
        <v>44</v>
      </c>
      <c r="B2004" s="4" t="s">
        <v>373</v>
      </c>
      <c r="C2004" s="47" t="n">
        <v>16323.89</v>
      </c>
      <c r="D2004" s="48" t="n">
        <v>1682.17</v>
      </c>
      <c r="E2004" s="49" t="n">
        <f aca="false">D2004-cover</f>
        <v>1680.97</v>
      </c>
      <c r="F2004" s="50" t="n">
        <f aca="false">'Z6 Nkangamo-Uhuru'!S18-'Z6 Nkangamo-Uhuru'!P18*C2004/'Z6 Nkangamo-Uhuru'!G18</f>
        <v>1712.80123483998</v>
      </c>
      <c r="G2004" s="51" t="n">
        <f aca="false">'Z6 Nkangamo-Uhuru'!$B$8-E2004</f>
        <v>25.53</v>
      </c>
      <c r="H2004" s="52" t="n">
        <f aca="false">F2004-E2004</f>
        <v>31.8312348399827</v>
      </c>
      <c r="I2004" s="52" t="n">
        <f aca="false">MAX(H2004,G2004)</f>
        <v>31.8312348399827</v>
      </c>
      <c r="J2004" s="4" t="str">
        <f aca="false">IFERROR("PN"&amp;SMALL(PN_list,COUNTIF(PN_list,"&lt;"&amp;I2004*bar_per_m)+1),"&gt; max PN")</f>
        <v>PN10</v>
      </c>
      <c r="K2004" s="4" t="str">
        <f aca="false">IF(L2004="no","end at tank",IF(H2004&lt;0,"NEGATIVE",IF(H2004&lt;p_min-0.005,"low","OK")))</f>
        <v>OK</v>
      </c>
      <c r="L2004" s="4" t="s">
        <v>414</v>
      </c>
    </row>
    <row r="2005" customFormat="false" ht="15" hidden="false" customHeight="false" outlineLevel="0" collapsed="false">
      <c r="A2005" s="4" t="s">
        <v>44</v>
      </c>
      <c r="B2005" s="4" t="s">
        <v>373</v>
      </c>
      <c r="C2005" s="47" t="n">
        <v>16343.89</v>
      </c>
      <c r="D2005" s="48" t="n">
        <v>1682.09</v>
      </c>
      <c r="E2005" s="49" t="n">
        <f aca="false">D2005-cover</f>
        <v>1680.89</v>
      </c>
      <c r="F2005" s="50" t="n">
        <f aca="false">'Z6 Nkangamo-Uhuru'!S18-'Z6 Nkangamo-Uhuru'!P18*C2005/'Z6 Nkangamo-Uhuru'!G18</f>
        <v>1712.77008153704</v>
      </c>
      <c r="G2005" s="51" t="n">
        <f aca="false">'Z6 Nkangamo-Uhuru'!$B$8-E2005</f>
        <v>25.6100000000001</v>
      </c>
      <c r="H2005" s="52" t="n">
        <f aca="false">F2005-E2005</f>
        <v>31.880081537036</v>
      </c>
      <c r="I2005" s="52" t="n">
        <f aca="false">MAX(H2005,G2005)</f>
        <v>31.880081537036</v>
      </c>
      <c r="J2005" s="4" t="str">
        <f aca="false">IFERROR("PN"&amp;SMALL(PN_list,COUNTIF(PN_list,"&lt;"&amp;I2005*bar_per_m)+1),"&gt; max PN")</f>
        <v>PN10</v>
      </c>
      <c r="K2005" s="4" t="str">
        <f aca="false">IF(L2005="no","end at tank",IF(H2005&lt;0,"NEGATIVE",IF(H2005&lt;p_min-0.005,"low","OK")))</f>
        <v>OK</v>
      </c>
      <c r="L2005" s="4" t="s">
        <v>414</v>
      </c>
    </row>
    <row r="2006" customFormat="false" ht="15" hidden="false" customHeight="false" outlineLevel="0" collapsed="false">
      <c r="A2006" s="4" t="s">
        <v>44</v>
      </c>
      <c r="B2006" s="4" t="s">
        <v>373</v>
      </c>
      <c r="C2006" s="47" t="n">
        <v>16363.89</v>
      </c>
      <c r="D2006" s="48" t="n">
        <v>1682.11</v>
      </c>
      <c r="E2006" s="49" t="n">
        <f aca="false">D2006-cover</f>
        <v>1680.91</v>
      </c>
      <c r="F2006" s="50" t="n">
        <f aca="false">'Z6 Nkangamo-Uhuru'!S18-'Z6 Nkangamo-Uhuru'!P18*C2006/'Z6 Nkangamo-Uhuru'!G18</f>
        <v>1712.73892823409</v>
      </c>
      <c r="G2006" s="51" t="n">
        <f aca="false">'Z6 Nkangamo-Uhuru'!$B$8-E2006</f>
        <v>25.5900000000001</v>
      </c>
      <c r="H2006" s="52" t="n">
        <f aca="false">F2006-E2006</f>
        <v>31.8289282340891</v>
      </c>
      <c r="I2006" s="52" t="n">
        <f aca="false">MAX(H2006,G2006)</f>
        <v>31.8289282340891</v>
      </c>
      <c r="J2006" s="4" t="str">
        <f aca="false">IFERROR("PN"&amp;SMALL(PN_list,COUNTIF(PN_list,"&lt;"&amp;I2006*bar_per_m)+1),"&gt; max PN")</f>
        <v>PN10</v>
      </c>
      <c r="K2006" s="4" t="str">
        <f aca="false">IF(L2006="no","end at tank",IF(H2006&lt;0,"NEGATIVE",IF(H2006&lt;p_min-0.005,"low","OK")))</f>
        <v>OK</v>
      </c>
      <c r="L2006" s="4" t="s">
        <v>414</v>
      </c>
    </row>
    <row r="2007" customFormat="false" ht="15" hidden="false" customHeight="false" outlineLevel="0" collapsed="false">
      <c r="A2007" s="4" t="s">
        <v>44</v>
      </c>
      <c r="B2007" s="4" t="s">
        <v>373</v>
      </c>
      <c r="C2007" s="47" t="n">
        <v>16383.9</v>
      </c>
      <c r="D2007" s="48" t="n">
        <v>1681.65</v>
      </c>
      <c r="E2007" s="49" t="n">
        <f aca="false">D2007-cover</f>
        <v>1680.45</v>
      </c>
      <c r="F2007" s="50" t="n">
        <f aca="false">'Z6 Nkangamo-Uhuru'!S18-'Z6 Nkangamo-Uhuru'!P18*C2007/'Z6 Nkangamo-Uhuru'!G18</f>
        <v>1712.70775935449</v>
      </c>
      <c r="G2007" s="51" t="n">
        <f aca="false">'Z6 Nkangamo-Uhuru'!$B$8-E2007</f>
        <v>26.05</v>
      </c>
      <c r="H2007" s="52" t="n">
        <f aca="false">F2007-E2007</f>
        <v>32.2577593544906</v>
      </c>
      <c r="I2007" s="52" t="n">
        <f aca="false">MAX(H2007,G2007)</f>
        <v>32.2577593544906</v>
      </c>
      <c r="J2007" s="4" t="str">
        <f aca="false">IFERROR("PN"&amp;SMALL(PN_list,COUNTIF(PN_list,"&lt;"&amp;I2007*bar_per_m)+1),"&gt; max PN")</f>
        <v>PN10</v>
      </c>
      <c r="K2007" s="4" t="str">
        <f aca="false">IF(L2007="no","end at tank",IF(H2007&lt;0,"NEGATIVE",IF(H2007&lt;p_min-0.005,"low","OK")))</f>
        <v>OK</v>
      </c>
      <c r="L2007" s="4" t="s">
        <v>414</v>
      </c>
    </row>
    <row r="2008" customFormat="false" ht="15" hidden="false" customHeight="false" outlineLevel="0" collapsed="false">
      <c r="A2008" s="4" t="s">
        <v>44</v>
      </c>
      <c r="B2008" s="4" t="s">
        <v>373</v>
      </c>
      <c r="C2008" s="47" t="n">
        <v>16403.9</v>
      </c>
      <c r="D2008" s="48" t="n">
        <v>1681.65</v>
      </c>
      <c r="E2008" s="49" t="n">
        <f aca="false">D2008-cover</f>
        <v>1680.45</v>
      </c>
      <c r="F2008" s="50" t="n">
        <f aca="false">'Z6 Nkangamo-Uhuru'!S18-'Z6 Nkangamo-Uhuru'!P18*C2008/'Z6 Nkangamo-Uhuru'!G18</f>
        <v>1712.67660605154</v>
      </c>
      <c r="G2008" s="51" t="n">
        <f aca="false">'Z6 Nkangamo-Uhuru'!$B$8-E2008</f>
        <v>26.05</v>
      </c>
      <c r="H2008" s="52" t="n">
        <f aca="false">F2008-E2008</f>
        <v>32.2266060515437</v>
      </c>
      <c r="I2008" s="52" t="n">
        <f aca="false">MAX(H2008,G2008)</f>
        <v>32.2266060515437</v>
      </c>
      <c r="J2008" s="4" t="str">
        <f aca="false">IFERROR("PN"&amp;SMALL(PN_list,COUNTIF(PN_list,"&lt;"&amp;I2008*bar_per_m)+1),"&gt; max PN")</f>
        <v>PN10</v>
      </c>
      <c r="K2008" s="4" t="str">
        <f aca="false">IF(L2008="no","end at tank",IF(H2008&lt;0,"NEGATIVE",IF(H2008&lt;p_min-0.005,"low","OK")))</f>
        <v>OK</v>
      </c>
      <c r="L2008" s="4" t="s">
        <v>414</v>
      </c>
    </row>
    <row r="2009" customFormat="false" ht="15" hidden="false" customHeight="false" outlineLevel="0" collapsed="false">
      <c r="A2009" s="4" t="s">
        <v>44</v>
      </c>
      <c r="B2009" s="4" t="s">
        <v>373</v>
      </c>
      <c r="C2009" s="47" t="n">
        <v>16423.9</v>
      </c>
      <c r="D2009" s="48" t="n">
        <v>1681.79</v>
      </c>
      <c r="E2009" s="49" t="n">
        <f aca="false">D2009-cover</f>
        <v>1680.59</v>
      </c>
      <c r="F2009" s="50" t="n">
        <f aca="false">'Z6 Nkangamo-Uhuru'!S18-'Z6 Nkangamo-Uhuru'!P18*C2009/'Z6 Nkangamo-Uhuru'!G18</f>
        <v>1712.6454527486</v>
      </c>
      <c r="G2009" s="51" t="n">
        <f aca="false">'Z6 Nkangamo-Uhuru'!$B$8-E2009</f>
        <v>25.9100000000001</v>
      </c>
      <c r="H2009" s="52" t="n">
        <f aca="false">F2009-E2009</f>
        <v>32.0554527485972</v>
      </c>
      <c r="I2009" s="52" t="n">
        <f aca="false">MAX(H2009,G2009)</f>
        <v>32.0554527485972</v>
      </c>
      <c r="J2009" s="4" t="str">
        <f aca="false">IFERROR("PN"&amp;SMALL(PN_list,COUNTIF(PN_list,"&lt;"&amp;I2009*bar_per_m)+1),"&gt; max PN")</f>
        <v>PN10</v>
      </c>
      <c r="K2009" s="4" t="str">
        <f aca="false">IF(L2009="no","end at tank",IF(H2009&lt;0,"NEGATIVE",IF(H2009&lt;p_min-0.005,"low","OK")))</f>
        <v>OK</v>
      </c>
      <c r="L2009" s="4" t="s">
        <v>414</v>
      </c>
    </row>
    <row r="2010" customFormat="false" ht="15" hidden="false" customHeight="false" outlineLevel="0" collapsed="false">
      <c r="A2010" s="4" t="s">
        <v>44</v>
      </c>
      <c r="B2010" s="4" t="s">
        <v>373</v>
      </c>
      <c r="C2010" s="47" t="n">
        <v>16443.9</v>
      </c>
      <c r="D2010" s="48" t="n">
        <v>1681.69</v>
      </c>
      <c r="E2010" s="49" t="n">
        <f aca="false">D2010-cover</f>
        <v>1680.49</v>
      </c>
      <c r="F2010" s="50" t="n">
        <f aca="false">'Z6 Nkangamo-Uhuru'!S18-'Z6 Nkangamo-Uhuru'!P18*C2010/'Z6 Nkangamo-Uhuru'!G18</f>
        <v>1712.61429944565</v>
      </c>
      <c r="G2010" s="51" t="n">
        <f aca="false">'Z6 Nkangamo-Uhuru'!$B$8-E2010</f>
        <v>26.01</v>
      </c>
      <c r="H2010" s="52" t="n">
        <f aca="false">F2010-E2010</f>
        <v>32.1242994456502</v>
      </c>
      <c r="I2010" s="52" t="n">
        <f aca="false">MAX(H2010,G2010)</f>
        <v>32.1242994456502</v>
      </c>
      <c r="J2010" s="4" t="str">
        <f aca="false">IFERROR("PN"&amp;SMALL(PN_list,COUNTIF(PN_list,"&lt;"&amp;I2010*bar_per_m)+1),"&gt; max PN")</f>
        <v>PN10</v>
      </c>
      <c r="K2010" s="4" t="str">
        <f aca="false">IF(L2010="no","end at tank",IF(H2010&lt;0,"NEGATIVE",IF(H2010&lt;p_min-0.005,"low","OK")))</f>
        <v>OK</v>
      </c>
      <c r="L2010" s="4" t="s">
        <v>414</v>
      </c>
    </row>
    <row r="2011" customFormat="false" ht="15" hidden="false" customHeight="false" outlineLevel="0" collapsed="false">
      <c r="A2011" s="4" t="s">
        <v>44</v>
      </c>
      <c r="B2011" s="4" t="s">
        <v>373</v>
      </c>
      <c r="C2011" s="47" t="n">
        <v>16463.9</v>
      </c>
      <c r="D2011" s="48" t="n">
        <v>1681.69</v>
      </c>
      <c r="E2011" s="49" t="n">
        <f aca="false">D2011-cover</f>
        <v>1680.49</v>
      </c>
      <c r="F2011" s="50" t="n">
        <f aca="false">'Z6 Nkangamo-Uhuru'!S18-'Z6 Nkangamo-Uhuru'!P18*C2011/'Z6 Nkangamo-Uhuru'!G18</f>
        <v>1712.5831461427</v>
      </c>
      <c r="G2011" s="51" t="n">
        <f aca="false">'Z6 Nkangamo-Uhuru'!$B$8-E2011</f>
        <v>26.01</v>
      </c>
      <c r="H2011" s="52" t="n">
        <f aca="false">F2011-E2011</f>
        <v>32.0931461427035</v>
      </c>
      <c r="I2011" s="52" t="n">
        <f aca="false">MAX(H2011,G2011)</f>
        <v>32.0931461427035</v>
      </c>
      <c r="J2011" s="4" t="str">
        <f aca="false">IFERROR("PN"&amp;SMALL(PN_list,COUNTIF(PN_list,"&lt;"&amp;I2011*bar_per_m)+1),"&gt; max PN")</f>
        <v>PN10</v>
      </c>
      <c r="K2011" s="4" t="str">
        <f aca="false">IF(L2011="no","end at tank",IF(H2011&lt;0,"NEGATIVE",IF(H2011&lt;p_min-0.005,"low","OK")))</f>
        <v>OK</v>
      </c>
      <c r="L2011" s="4" t="s">
        <v>414</v>
      </c>
    </row>
    <row r="2012" customFormat="false" ht="15" hidden="false" customHeight="false" outlineLevel="0" collapsed="false">
      <c r="A2012" s="4" t="s">
        <v>44</v>
      </c>
      <c r="B2012" s="4" t="s">
        <v>373</v>
      </c>
      <c r="C2012" s="47" t="n">
        <v>16483.91</v>
      </c>
      <c r="D2012" s="48" t="n">
        <v>1682.26</v>
      </c>
      <c r="E2012" s="49" t="n">
        <f aca="false">D2012-cover</f>
        <v>1681.06</v>
      </c>
      <c r="F2012" s="50" t="n">
        <f aca="false">'Z6 Nkangamo-Uhuru'!S18-'Z6 Nkangamo-Uhuru'!P18*C2012/'Z6 Nkangamo-Uhuru'!G18</f>
        <v>1712.55197726311</v>
      </c>
      <c r="G2012" s="51" t="n">
        <f aca="false">'Z6 Nkangamo-Uhuru'!$B$8-E2012</f>
        <v>25.4400000000001</v>
      </c>
      <c r="H2012" s="52" t="n">
        <f aca="false">F2012-E2012</f>
        <v>31.4919772631051</v>
      </c>
      <c r="I2012" s="52" t="n">
        <f aca="false">MAX(H2012,G2012)</f>
        <v>31.4919772631051</v>
      </c>
      <c r="J2012" s="4" t="str">
        <f aca="false">IFERROR("PN"&amp;SMALL(PN_list,COUNTIF(PN_list,"&lt;"&amp;I2012*bar_per_m)+1),"&gt; max PN")</f>
        <v>PN10</v>
      </c>
      <c r="K2012" s="4" t="str">
        <f aca="false">IF(L2012="no","end at tank",IF(H2012&lt;0,"NEGATIVE",IF(H2012&lt;p_min-0.005,"low","OK")))</f>
        <v>OK</v>
      </c>
      <c r="L2012" s="4" t="s">
        <v>414</v>
      </c>
    </row>
    <row r="2013" customFormat="false" ht="15" hidden="false" customHeight="false" outlineLevel="0" collapsed="false">
      <c r="A2013" s="4" t="s">
        <v>44</v>
      </c>
      <c r="B2013" s="4" t="s">
        <v>373</v>
      </c>
      <c r="C2013" s="47" t="n">
        <v>16503.91</v>
      </c>
      <c r="D2013" s="48" t="n">
        <v>1682.51</v>
      </c>
      <c r="E2013" s="49" t="n">
        <f aca="false">D2013-cover</f>
        <v>1681.31</v>
      </c>
      <c r="F2013" s="50" t="n">
        <f aca="false">'Z6 Nkangamo-Uhuru'!S18-'Z6 Nkangamo-Uhuru'!P18*C2013/'Z6 Nkangamo-Uhuru'!G18</f>
        <v>1712.52082396016</v>
      </c>
      <c r="G2013" s="51" t="n">
        <f aca="false">'Z6 Nkangamo-Uhuru'!$B$8-E2013</f>
        <v>25.1900000000001</v>
      </c>
      <c r="H2013" s="52" t="n">
        <f aca="false">F2013-E2013</f>
        <v>31.2108239601585</v>
      </c>
      <c r="I2013" s="52" t="n">
        <f aca="false">MAX(H2013,G2013)</f>
        <v>31.2108239601585</v>
      </c>
      <c r="J2013" s="4" t="str">
        <f aca="false">IFERROR("PN"&amp;SMALL(PN_list,COUNTIF(PN_list,"&lt;"&amp;I2013*bar_per_m)+1),"&gt; max PN")</f>
        <v>PN10</v>
      </c>
      <c r="K2013" s="4" t="str">
        <f aca="false">IF(L2013="no","end at tank",IF(H2013&lt;0,"NEGATIVE",IF(H2013&lt;p_min-0.005,"low","OK")))</f>
        <v>OK</v>
      </c>
      <c r="L2013" s="4" t="s">
        <v>414</v>
      </c>
    </row>
    <row r="2014" customFormat="false" ht="15" hidden="false" customHeight="false" outlineLevel="0" collapsed="false">
      <c r="A2014" s="4" t="s">
        <v>44</v>
      </c>
      <c r="B2014" s="4" t="s">
        <v>373</v>
      </c>
      <c r="C2014" s="47" t="n">
        <v>16523.91</v>
      </c>
      <c r="D2014" s="48" t="n">
        <v>1682.71</v>
      </c>
      <c r="E2014" s="49" t="n">
        <f aca="false">D2014-cover</f>
        <v>1681.51</v>
      </c>
      <c r="F2014" s="50" t="n">
        <f aca="false">'Z6 Nkangamo-Uhuru'!S18-'Z6 Nkangamo-Uhuru'!P18*C2014/'Z6 Nkangamo-Uhuru'!G18</f>
        <v>1712.48967065721</v>
      </c>
      <c r="G2014" s="51" t="n">
        <f aca="false">'Z6 Nkangamo-Uhuru'!$B$8-E2014</f>
        <v>24.99</v>
      </c>
      <c r="H2014" s="52" t="n">
        <f aca="false">F2014-E2014</f>
        <v>30.9796706572115</v>
      </c>
      <c r="I2014" s="52" t="n">
        <f aca="false">MAX(H2014,G2014)</f>
        <v>30.9796706572115</v>
      </c>
      <c r="J2014" s="4" t="str">
        <f aca="false">IFERROR("PN"&amp;SMALL(PN_list,COUNTIF(PN_list,"&lt;"&amp;I2014*bar_per_m)+1),"&gt; max PN")</f>
        <v>PN10</v>
      </c>
      <c r="K2014" s="4" t="str">
        <f aca="false">IF(L2014="no","end at tank",IF(H2014&lt;0,"NEGATIVE",IF(H2014&lt;p_min-0.005,"low","OK")))</f>
        <v>OK</v>
      </c>
      <c r="L2014" s="4" t="s">
        <v>414</v>
      </c>
    </row>
    <row r="2015" customFormat="false" ht="15" hidden="false" customHeight="false" outlineLevel="0" collapsed="false">
      <c r="A2015" s="4" t="s">
        <v>44</v>
      </c>
      <c r="B2015" s="4" t="s">
        <v>373</v>
      </c>
      <c r="C2015" s="47" t="n">
        <v>16543.91</v>
      </c>
      <c r="D2015" s="48" t="n">
        <v>1682.99</v>
      </c>
      <c r="E2015" s="49" t="n">
        <f aca="false">D2015-cover</f>
        <v>1681.79</v>
      </c>
      <c r="F2015" s="50" t="n">
        <f aca="false">'Z6 Nkangamo-Uhuru'!S18-'Z6 Nkangamo-Uhuru'!P18*C2015/'Z6 Nkangamo-Uhuru'!G18</f>
        <v>1712.45851735426</v>
      </c>
      <c r="G2015" s="51" t="n">
        <f aca="false">'Z6 Nkangamo-Uhuru'!$B$8-E2015</f>
        <v>24.71</v>
      </c>
      <c r="H2015" s="52" t="n">
        <f aca="false">F2015-E2015</f>
        <v>30.6685173542646</v>
      </c>
      <c r="I2015" s="52" t="n">
        <f aca="false">MAX(H2015,G2015)</f>
        <v>30.6685173542646</v>
      </c>
      <c r="J2015" s="4" t="str">
        <f aca="false">IFERROR("PN"&amp;SMALL(PN_list,COUNTIF(PN_list,"&lt;"&amp;I2015*bar_per_m)+1),"&gt; max PN")</f>
        <v>PN10</v>
      </c>
      <c r="K2015" s="4" t="str">
        <f aca="false">IF(L2015="no","end at tank",IF(H2015&lt;0,"NEGATIVE",IF(H2015&lt;p_min-0.005,"low","OK")))</f>
        <v>OK</v>
      </c>
      <c r="L2015" s="4" t="s">
        <v>414</v>
      </c>
    </row>
    <row r="2016" customFormat="false" ht="15" hidden="false" customHeight="false" outlineLevel="0" collapsed="false">
      <c r="A2016" s="4" t="s">
        <v>44</v>
      </c>
      <c r="B2016" s="4" t="s">
        <v>373</v>
      </c>
      <c r="C2016" s="47" t="n">
        <v>16563.91</v>
      </c>
      <c r="D2016" s="48" t="n">
        <v>1682.99</v>
      </c>
      <c r="E2016" s="49" t="n">
        <f aca="false">D2016-cover</f>
        <v>1681.79</v>
      </c>
      <c r="F2016" s="50" t="n">
        <f aca="false">'Z6 Nkangamo-Uhuru'!S18-'Z6 Nkangamo-Uhuru'!P18*C2016/'Z6 Nkangamo-Uhuru'!G18</f>
        <v>1712.42736405132</v>
      </c>
      <c r="G2016" s="51" t="n">
        <f aca="false">'Z6 Nkangamo-Uhuru'!$B$8-E2016</f>
        <v>24.71</v>
      </c>
      <c r="H2016" s="52" t="n">
        <f aca="false">F2016-E2016</f>
        <v>30.6373640513179</v>
      </c>
      <c r="I2016" s="52" t="n">
        <f aca="false">MAX(H2016,G2016)</f>
        <v>30.6373640513179</v>
      </c>
      <c r="J2016" s="4" t="str">
        <f aca="false">IFERROR("PN"&amp;SMALL(PN_list,COUNTIF(PN_list,"&lt;"&amp;I2016*bar_per_m)+1),"&gt; max PN")</f>
        <v>PN10</v>
      </c>
      <c r="K2016" s="4" t="str">
        <f aca="false">IF(L2016="no","end at tank",IF(H2016&lt;0,"NEGATIVE",IF(H2016&lt;p_min-0.005,"low","OK")))</f>
        <v>OK</v>
      </c>
      <c r="L2016" s="4" t="s">
        <v>414</v>
      </c>
    </row>
    <row r="2017" customFormat="false" ht="15" hidden="false" customHeight="false" outlineLevel="0" collapsed="false">
      <c r="A2017" s="4" t="s">
        <v>44</v>
      </c>
      <c r="B2017" s="4" t="s">
        <v>373</v>
      </c>
      <c r="C2017" s="47" t="n">
        <v>16584.01</v>
      </c>
      <c r="D2017" s="48" t="n">
        <v>1685.01</v>
      </c>
      <c r="E2017" s="49" t="n">
        <f aca="false">D2017-cover</f>
        <v>1683.81</v>
      </c>
      <c r="F2017" s="50" t="n">
        <f aca="false">'Z6 Nkangamo-Uhuru'!S18-'Z6 Nkangamo-Uhuru'!P18*C2017/'Z6 Nkangamo-Uhuru'!G18</f>
        <v>1712.39605498186</v>
      </c>
      <c r="G2017" s="51" t="n">
        <f aca="false">'Z6 Nkangamo-Uhuru'!$B$8-E2017</f>
        <v>22.6900000000001</v>
      </c>
      <c r="H2017" s="52" t="n">
        <f aca="false">F2017-E2017</f>
        <v>28.5860549818563</v>
      </c>
      <c r="I2017" s="52" t="n">
        <f aca="false">MAX(H2017,G2017)</f>
        <v>28.5860549818563</v>
      </c>
      <c r="J2017" s="4" t="str">
        <f aca="false">IFERROR("PN"&amp;SMALL(PN_list,COUNTIF(PN_list,"&lt;"&amp;I2017*bar_per_m)+1),"&gt; max PN")</f>
        <v>PN10</v>
      </c>
      <c r="K2017" s="4" t="str">
        <f aca="false">IF(L2017="no","end at tank",IF(H2017&lt;0,"NEGATIVE",IF(H2017&lt;p_min-0.005,"low","OK")))</f>
        <v>OK</v>
      </c>
      <c r="L2017" s="4" t="s">
        <v>414</v>
      </c>
    </row>
    <row r="2018" customFormat="false" ht="15" hidden="false" customHeight="false" outlineLevel="0" collapsed="false">
      <c r="A2018" s="4" t="s">
        <v>44</v>
      </c>
      <c r="B2018" s="4" t="s">
        <v>373</v>
      </c>
      <c r="C2018" s="47" t="n">
        <v>16604.02</v>
      </c>
      <c r="D2018" s="48" t="n">
        <v>1685.41</v>
      </c>
      <c r="E2018" s="49" t="n">
        <f aca="false">D2018-cover</f>
        <v>1684.21</v>
      </c>
      <c r="F2018" s="50" t="n">
        <f aca="false">'Z6 Nkangamo-Uhuru'!S18-'Z6 Nkangamo-Uhuru'!P18*C2018/'Z6 Nkangamo-Uhuru'!G18</f>
        <v>1712.36488610226</v>
      </c>
      <c r="G2018" s="51" t="n">
        <f aca="false">'Z6 Nkangamo-Uhuru'!$B$8-E2018</f>
        <v>22.29</v>
      </c>
      <c r="H2018" s="52" t="n">
        <f aca="false">F2018-E2018</f>
        <v>28.1548861022579</v>
      </c>
      <c r="I2018" s="52" t="n">
        <f aca="false">MAX(H2018,G2018)</f>
        <v>28.1548861022579</v>
      </c>
      <c r="J2018" s="4" t="str">
        <f aca="false">IFERROR("PN"&amp;SMALL(PN_list,COUNTIF(PN_list,"&lt;"&amp;I2018*bar_per_m)+1),"&gt; max PN")</f>
        <v>PN10</v>
      </c>
      <c r="K2018" s="4" t="str">
        <f aca="false">IF(L2018="no","end at tank",IF(H2018&lt;0,"NEGATIVE",IF(H2018&lt;p_min-0.005,"low","OK")))</f>
        <v>OK</v>
      </c>
      <c r="L2018" s="4" t="s">
        <v>414</v>
      </c>
    </row>
    <row r="2019" customFormat="false" ht="15" hidden="false" customHeight="false" outlineLevel="0" collapsed="false">
      <c r="A2019" s="4" t="s">
        <v>44</v>
      </c>
      <c r="B2019" s="4" t="s">
        <v>373</v>
      </c>
      <c r="C2019" s="47" t="n">
        <v>16624.07</v>
      </c>
      <c r="D2019" s="48" t="n">
        <v>1686.79</v>
      </c>
      <c r="E2019" s="49" t="n">
        <f aca="false">D2019-cover</f>
        <v>1685.59</v>
      </c>
      <c r="F2019" s="50" t="n">
        <f aca="false">'Z6 Nkangamo-Uhuru'!S18-'Z6 Nkangamo-Uhuru'!P18*C2019/'Z6 Nkangamo-Uhuru'!G18</f>
        <v>1712.33365491605</v>
      </c>
      <c r="G2019" s="51" t="n">
        <f aca="false">'Z6 Nkangamo-Uhuru'!$B$8-E2019</f>
        <v>20.9100000000001</v>
      </c>
      <c r="H2019" s="52" t="n">
        <f aca="false">F2019-E2019</f>
        <v>26.7436549160539</v>
      </c>
      <c r="I2019" s="52" t="n">
        <f aca="false">MAX(H2019,G2019)</f>
        <v>26.7436549160539</v>
      </c>
      <c r="J2019" s="4" t="str">
        <f aca="false">IFERROR("PN"&amp;SMALL(PN_list,COUNTIF(PN_list,"&lt;"&amp;I2019*bar_per_m)+1),"&gt; max PN")</f>
        <v>PN10</v>
      </c>
      <c r="K2019" s="4" t="str">
        <f aca="false">IF(L2019="no","end at tank",IF(H2019&lt;0,"NEGATIVE",IF(H2019&lt;p_min-0.005,"low","OK")))</f>
        <v>OK</v>
      </c>
      <c r="L2019" s="4" t="s">
        <v>414</v>
      </c>
    </row>
    <row r="2020" customFormat="false" ht="15" hidden="false" customHeight="false" outlineLevel="0" collapsed="false">
      <c r="A2020" s="4" t="s">
        <v>44</v>
      </c>
      <c r="B2020" s="4" t="s">
        <v>373</v>
      </c>
      <c r="C2020" s="47" t="n">
        <v>16644.07</v>
      </c>
      <c r="D2020" s="48" t="n">
        <v>1686.31</v>
      </c>
      <c r="E2020" s="49" t="n">
        <f aca="false">D2020-cover</f>
        <v>1685.11</v>
      </c>
      <c r="F2020" s="50" t="n">
        <f aca="false">'Z6 Nkangamo-Uhuru'!S18-'Z6 Nkangamo-Uhuru'!P18*C2020/'Z6 Nkangamo-Uhuru'!G18</f>
        <v>1712.30250161311</v>
      </c>
      <c r="G2020" s="51" t="n">
        <f aca="false">'Z6 Nkangamo-Uhuru'!$B$8-E2020</f>
        <v>21.3900000000001</v>
      </c>
      <c r="H2020" s="52" t="n">
        <f aca="false">F2020-E2020</f>
        <v>27.192501613107</v>
      </c>
      <c r="I2020" s="52" t="n">
        <f aca="false">MAX(H2020,G2020)</f>
        <v>27.192501613107</v>
      </c>
      <c r="J2020" s="4" t="str">
        <f aca="false">IFERROR("PN"&amp;SMALL(PN_list,COUNTIF(PN_list,"&lt;"&amp;I2020*bar_per_m)+1),"&gt; max PN")</f>
        <v>PN10</v>
      </c>
      <c r="K2020" s="4" t="str">
        <f aca="false">IF(L2020="no","end at tank",IF(H2020&lt;0,"NEGATIVE",IF(H2020&lt;p_min-0.005,"low","OK")))</f>
        <v>OK</v>
      </c>
      <c r="L2020" s="4" t="s">
        <v>414</v>
      </c>
    </row>
    <row r="2021" customFormat="false" ht="15" hidden="false" customHeight="false" outlineLevel="0" collapsed="false">
      <c r="A2021" s="4" t="s">
        <v>44</v>
      </c>
      <c r="B2021" s="4" t="s">
        <v>373</v>
      </c>
      <c r="C2021" s="47" t="n">
        <v>16664.1</v>
      </c>
      <c r="D2021" s="48" t="n">
        <v>1687.39</v>
      </c>
      <c r="E2021" s="49" t="n">
        <f aca="false">D2021-cover</f>
        <v>1686.19</v>
      </c>
      <c r="F2021" s="50" t="n">
        <f aca="false">'Z6 Nkangamo-Uhuru'!S18-'Z6 Nkangamo-Uhuru'!P18*C2021/'Z6 Nkangamo-Uhuru'!G18</f>
        <v>1712.27130158021</v>
      </c>
      <c r="G2021" s="51" t="n">
        <f aca="false">'Z6 Nkangamo-Uhuru'!$B$8-E2021</f>
        <v>20.3099999999999</v>
      </c>
      <c r="H2021" s="52" t="n">
        <f aca="false">F2021-E2021</f>
        <v>26.0813015802057</v>
      </c>
      <c r="I2021" s="52" t="n">
        <f aca="false">MAX(H2021,G2021)</f>
        <v>26.0813015802057</v>
      </c>
      <c r="J2021" s="4" t="str">
        <f aca="false">IFERROR("PN"&amp;SMALL(PN_list,COUNTIF(PN_list,"&lt;"&amp;I2021*bar_per_m)+1),"&gt; max PN")</f>
        <v>PN10</v>
      </c>
      <c r="K2021" s="4" t="str">
        <f aca="false">IF(L2021="no","end at tank",IF(H2021&lt;0,"NEGATIVE",IF(H2021&lt;p_min-0.005,"low","OK")))</f>
        <v>OK</v>
      </c>
      <c r="L2021" s="4" t="s">
        <v>414</v>
      </c>
    </row>
    <row r="2022" customFormat="false" ht="15" hidden="false" customHeight="false" outlineLevel="0" collapsed="false">
      <c r="A2022" s="4" t="s">
        <v>44</v>
      </c>
      <c r="B2022" s="4" t="s">
        <v>373</v>
      </c>
      <c r="C2022" s="47" t="n">
        <v>16684.1</v>
      </c>
      <c r="D2022" s="48" t="n">
        <v>1687.76</v>
      </c>
      <c r="E2022" s="49" t="n">
        <f aca="false">D2022-cover</f>
        <v>1686.56</v>
      </c>
      <c r="F2022" s="50" t="n">
        <f aca="false">'Z6 Nkangamo-Uhuru'!S18-'Z6 Nkangamo-Uhuru'!P18*C2022/'Z6 Nkangamo-Uhuru'!G18</f>
        <v>1712.24014827726</v>
      </c>
      <c r="G2022" s="51" t="n">
        <f aca="false">'Z6 Nkangamo-Uhuru'!$B$8-E2022</f>
        <v>19.9400000000001</v>
      </c>
      <c r="H2022" s="52" t="n">
        <f aca="false">F2022-E2022</f>
        <v>25.6801482772589</v>
      </c>
      <c r="I2022" s="52" t="n">
        <f aca="false">MAX(H2022,G2022)</f>
        <v>25.6801482772589</v>
      </c>
      <c r="J2022" s="4" t="str">
        <f aca="false">IFERROR("PN"&amp;SMALL(PN_list,COUNTIF(PN_list,"&lt;"&amp;I2022*bar_per_m)+1),"&gt; max PN")</f>
        <v>PN10</v>
      </c>
      <c r="K2022" s="4" t="str">
        <f aca="false">IF(L2022="no","end at tank",IF(H2022&lt;0,"NEGATIVE",IF(H2022&lt;p_min-0.005,"low","OK")))</f>
        <v>OK</v>
      </c>
      <c r="L2022" s="4" t="s">
        <v>414</v>
      </c>
    </row>
    <row r="2023" customFormat="false" ht="15" hidden="false" customHeight="false" outlineLevel="0" collapsed="false">
      <c r="A2023" s="4" t="s">
        <v>44</v>
      </c>
      <c r="B2023" s="4" t="s">
        <v>373</v>
      </c>
      <c r="C2023" s="47" t="n">
        <v>16704.11</v>
      </c>
      <c r="D2023" s="48" t="n">
        <v>1688.36</v>
      </c>
      <c r="E2023" s="49" t="n">
        <f aca="false">D2023-cover</f>
        <v>1687.16</v>
      </c>
      <c r="F2023" s="50" t="n">
        <f aca="false">'Z6 Nkangamo-Uhuru'!S18-'Z6 Nkangamo-Uhuru'!P18*C2023/'Z6 Nkangamo-Uhuru'!G18</f>
        <v>1712.20897939766</v>
      </c>
      <c r="G2023" s="51" t="n">
        <f aca="false">'Z6 Nkangamo-Uhuru'!$B$8-E2023</f>
        <v>19.3400000000001</v>
      </c>
      <c r="H2023" s="52" t="n">
        <f aca="false">F2023-E2023</f>
        <v>25.0489793976608</v>
      </c>
      <c r="I2023" s="52" t="n">
        <f aca="false">MAX(H2023,G2023)</f>
        <v>25.0489793976608</v>
      </c>
      <c r="J2023" s="4" t="str">
        <f aca="false">IFERROR("PN"&amp;SMALL(PN_list,COUNTIF(PN_list,"&lt;"&amp;I2023*bar_per_m)+1),"&gt; max PN")</f>
        <v>PN10</v>
      </c>
      <c r="K2023" s="4" t="str">
        <f aca="false">IF(L2023="no","end at tank",IF(H2023&lt;0,"NEGATIVE",IF(H2023&lt;p_min-0.005,"low","OK")))</f>
        <v>OK</v>
      </c>
      <c r="L2023" s="4" t="s">
        <v>414</v>
      </c>
    </row>
    <row r="2024" customFormat="false" ht="15" hidden="false" customHeight="false" outlineLevel="0" collapsed="false">
      <c r="A2024" s="4" t="s">
        <v>44</v>
      </c>
      <c r="B2024" s="4" t="s">
        <v>373</v>
      </c>
      <c r="C2024" s="47" t="n">
        <v>16724.12</v>
      </c>
      <c r="D2024" s="48" t="n">
        <v>1689.02</v>
      </c>
      <c r="E2024" s="49" t="n">
        <f aca="false">D2024-cover</f>
        <v>1687.82</v>
      </c>
      <c r="F2024" s="50" t="n">
        <f aca="false">'Z6 Nkangamo-Uhuru'!S18-'Z6 Nkangamo-Uhuru'!P18*C2024/'Z6 Nkangamo-Uhuru'!G18</f>
        <v>1712.17781051806</v>
      </c>
      <c r="G2024" s="51" t="n">
        <f aca="false">'Z6 Nkangamo-Uhuru'!$B$8-E2024</f>
        <v>18.6800000000001</v>
      </c>
      <c r="H2024" s="52" t="n">
        <f aca="false">F2024-E2024</f>
        <v>24.3578105180623</v>
      </c>
      <c r="I2024" s="52" t="n">
        <f aca="false">MAX(H2024,G2024)</f>
        <v>24.3578105180623</v>
      </c>
      <c r="J2024" s="4" t="str">
        <f aca="false">IFERROR("PN"&amp;SMALL(PN_list,COUNTIF(PN_list,"&lt;"&amp;I2024*bar_per_m)+1),"&gt; max PN")</f>
        <v>PN10</v>
      </c>
      <c r="K2024" s="4" t="str">
        <f aca="false">IF(L2024="no","end at tank",IF(H2024&lt;0,"NEGATIVE",IF(H2024&lt;p_min-0.005,"low","OK")))</f>
        <v>OK</v>
      </c>
      <c r="L2024" s="4" t="s">
        <v>414</v>
      </c>
    </row>
    <row r="2025" customFormat="false" ht="15" hidden="false" customHeight="false" outlineLevel="0" collapsed="false">
      <c r="A2025" s="4" t="s">
        <v>44</v>
      </c>
      <c r="B2025" s="4" t="s">
        <v>373</v>
      </c>
      <c r="C2025" s="47" t="n">
        <v>16744.12</v>
      </c>
      <c r="D2025" s="48" t="n">
        <v>1689.07</v>
      </c>
      <c r="E2025" s="49" t="n">
        <f aca="false">D2025-cover</f>
        <v>1687.87</v>
      </c>
      <c r="F2025" s="50" t="n">
        <f aca="false">'Z6 Nkangamo-Uhuru'!S18-'Z6 Nkangamo-Uhuru'!P18*C2025/'Z6 Nkangamo-Uhuru'!G18</f>
        <v>1712.14665721512</v>
      </c>
      <c r="G2025" s="51" t="n">
        <f aca="false">'Z6 Nkangamo-Uhuru'!$B$8-E2025</f>
        <v>18.6300000000001</v>
      </c>
      <c r="H2025" s="52" t="n">
        <f aca="false">F2025-E2025</f>
        <v>24.2766572151156</v>
      </c>
      <c r="I2025" s="52" t="n">
        <f aca="false">MAX(H2025,G2025)</f>
        <v>24.2766572151156</v>
      </c>
      <c r="J2025" s="4" t="str">
        <f aca="false">IFERROR("PN"&amp;SMALL(PN_list,COUNTIF(PN_list,"&lt;"&amp;I2025*bar_per_m)+1),"&gt; max PN")</f>
        <v>PN10</v>
      </c>
      <c r="K2025" s="4" t="str">
        <f aca="false">IF(L2025="no","end at tank",IF(H2025&lt;0,"NEGATIVE",IF(H2025&lt;p_min-0.005,"low","OK")))</f>
        <v>OK</v>
      </c>
      <c r="L2025" s="4" t="s">
        <v>414</v>
      </c>
    </row>
    <row r="2026" customFormat="false" ht="15" hidden="false" customHeight="false" outlineLevel="0" collapsed="false">
      <c r="A2026" s="4" t="s">
        <v>44</v>
      </c>
      <c r="B2026" s="4" t="s">
        <v>373</v>
      </c>
      <c r="C2026" s="47" t="n">
        <v>16764.13</v>
      </c>
      <c r="D2026" s="48" t="n">
        <v>1689.55</v>
      </c>
      <c r="E2026" s="49" t="n">
        <f aca="false">D2026-cover</f>
        <v>1688.35</v>
      </c>
      <c r="F2026" s="50" t="n">
        <f aca="false">'Z6 Nkangamo-Uhuru'!S18-'Z6 Nkangamo-Uhuru'!P18*C2026/'Z6 Nkangamo-Uhuru'!G18</f>
        <v>1712.11548833552</v>
      </c>
      <c r="G2026" s="51" t="n">
        <f aca="false">'Z6 Nkangamo-Uhuru'!$B$8-E2026</f>
        <v>18.1500000000001</v>
      </c>
      <c r="H2026" s="52" t="n">
        <f aca="false">F2026-E2026</f>
        <v>23.7654883355171</v>
      </c>
      <c r="I2026" s="52" t="n">
        <f aca="false">MAX(H2026,G2026)</f>
        <v>23.7654883355171</v>
      </c>
      <c r="J2026" s="4" t="str">
        <f aca="false">IFERROR("PN"&amp;SMALL(PN_list,COUNTIF(PN_list,"&lt;"&amp;I2026*bar_per_m)+1),"&gt; max PN")</f>
        <v>PN10</v>
      </c>
      <c r="K2026" s="4" t="str">
        <f aca="false">IF(L2026="no","end at tank",IF(H2026&lt;0,"NEGATIVE",IF(H2026&lt;p_min-0.005,"low","OK")))</f>
        <v>OK</v>
      </c>
      <c r="L2026" s="4" t="s">
        <v>414</v>
      </c>
    </row>
    <row r="2027" customFormat="false" ht="15" hidden="false" customHeight="false" outlineLevel="0" collapsed="false">
      <c r="A2027" s="4" t="s">
        <v>44</v>
      </c>
      <c r="B2027" s="4" t="s">
        <v>373</v>
      </c>
      <c r="C2027" s="47" t="n">
        <v>16784.13</v>
      </c>
      <c r="D2027" s="48" t="n">
        <v>1689.55</v>
      </c>
      <c r="E2027" s="49" t="n">
        <f aca="false">D2027-cover</f>
        <v>1688.35</v>
      </c>
      <c r="F2027" s="50" t="n">
        <f aca="false">'Z6 Nkangamo-Uhuru'!S18-'Z6 Nkangamo-Uhuru'!P18*C2027/'Z6 Nkangamo-Uhuru'!G18</f>
        <v>1712.08433503257</v>
      </c>
      <c r="G2027" s="51" t="n">
        <f aca="false">'Z6 Nkangamo-Uhuru'!$B$8-E2027</f>
        <v>18.1500000000001</v>
      </c>
      <c r="H2027" s="52" t="n">
        <f aca="false">F2027-E2027</f>
        <v>23.7343350325705</v>
      </c>
      <c r="I2027" s="52" t="n">
        <f aca="false">MAX(H2027,G2027)</f>
        <v>23.7343350325705</v>
      </c>
      <c r="J2027" s="4" t="str">
        <f aca="false">IFERROR("PN"&amp;SMALL(PN_list,COUNTIF(PN_list,"&lt;"&amp;I2027*bar_per_m)+1),"&gt; max PN")</f>
        <v>PN10</v>
      </c>
      <c r="K2027" s="4" t="str">
        <f aca="false">IF(L2027="no","end at tank",IF(H2027&lt;0,"NEGATIVE",IF(H2027&lt;p_min-0.005,"low","OK")))</f>
        <v>OK</v>
      </c>
      <c r="L2027" s="4" t="s">
        <v>414</v>
      </c>
    </row>
    <row r="2028" customFormat="false" ht="15" hidden="false" customHeight="false" outlineLevel="0" collapsed="false">
      <c r="A2028" s="4" t="s">
        <v>44</v>
      </c>
      <c r="B2028" s="4" t="s">
        <v>373</v>
      </c>
      <c r="C2028" s="47" t="n">
        <v>16804.22</v>
      </c>
      <c r="D2028" s="48" t="n">
        <v>1691.43</v>
      </c>
      <c r="E2028" s="49" t="n">
        <f aca="false">D2028-cover</f>
        <v>1690.23</v>
      </c>
      <c r="F2028" s="50" t="n">
        <f aca="false">'Z6 Nkangamo-Uhuru'!S18-'Z6 Nkangamo-Uhuru'!P18*C2028/'Z6 Nkangamo-Uhuru'!G18</f>
        <v>1712.05304153976</v>
      </c>
      <c r="G2028" s="51" t="n">
        <f aca="false">'Z6 Nkangamo-Uhuru'!$B$8-E2028</f>
        <v>16.27</v>
      </c>
      <c r="H2028" s="52" t="n">
        <f aca="false">F2028-E2028</f>
        <v>21.8230415397602</v>
      </c>
      <c r="I2028" s="52" t="n">
        <f aca="false">MAX(H2028,G2028)</f>
        <v>21.8230415397602</v>
      </c>
      <c r="J2028" s="4" t="str">
        <f aca="false">IFERROR("PN"&amp;SMALL(PN_list,COUNTIF(PN_list,"&lt;"&amp;I2028*bar_per_m)+1),"&gt; max PN")</f>
        <v>PN10</v>
      </c>
      <c r="K2028" s="4" t="str">
        <f aca="false">IF(L2028="no","end at tank",IF(H2028&lt;0,"NEGATIVE",IF(H2028&lt;p_min-0.005,"low","OK")))</f>
        <v>OK</v>
      </c>
      <c r="L2028" s="4" t="s">
        <v>414</v>
      </c>
    </row>
    <row r="2029" customFormat="false" ht="15" hidden="false" customHeight="false" outlineLevel="0" collapsed="false">
      <c r="A2029" s="4" t="s">
        <v>44</v>
      </c>
      <c r="B2029" s="4" t="s">
        <v>373</v>
      </c>
      <c r="C2029" s="47" t="n">
        <v>16824.22</v>
      </c>
      <c r="D2029" s="48" t="n">
        <v>1691.87</v>
      </c>
      <c r="E2029" s="49" t="n">
        <f aca="false">D2029-cover</f>
        <v>1690.67</v>
      </c>
      <c r="F2029" s="50" t="n">
        <f aca="false">'Z6 Nkangamo-Uhuru'!S18-'Z6 Nkangamo-Uhuru'!P18*C2029/'Z6 Nkangamo-Uhuru'!G18</f>
        <v>1712.02188823681</v>
      </c>
      <c r="G2029" s="51" t="n">
        <f aca="false">'Z6 Nkangamo-Uhuru'!$B$8-E2029</f>
        <v>15.8300000000002</v>
      </c>
      <c r="H2029" s="52" t="n">
        <f aca="false">F2029-E2029</f>
        <v>21.3518882368135</v>
      </c>
      <c r="I2029" s="52" t="n">
        <f aca="false">MAX(H2029,G2029)</f>
        <v>21.3518882368135</v>
      </c>
      <c r="J2029" s="4" t="str">
        <f aca="false">IFERROR("PN"&amp;SMALL(PN_list,COUNTIF(PN_list,"&lt;"&amp;I2029*bar_per_m)+1),"&gt; max PN")</f>
        <v>PN10</v>
      </c>
      <c r="K2029" s="4" t="str">
        <f aca="false">IF(L2029="no","end at tank",IF(H2029&lt;0,"NEGATIVE",IF(H2029&lt;p_min-0.005,"low","OK")))</f>
        <v>OK</v>
      </c>
      <c r="L2029" s="4" t="s">
        <v>414</v>
      </c>
    </row>
    <row r="2030" customFormat="false" ht="15" hidden="false" customHeight="false" outlineLevel="0" collapsed="false">
      <c r="A2030" s="4" t="s">
        <v>44</v>
      </c>
      <c r="B2030" s="4" t="s">
        <v>373</v>
      </c>
      <c r="C2030" s="47" t="n">
        <v>16844.25</v>
      </c>
      <c r="D2030" s="48" t="n">
        <v>1693.27</v>
      </c>
      <c r="E2030" s="49" t="n">
        <f aca="false">D2030-cover</f>
        <v>1692.07</v>
      </c>
      <c r="F2030" s="50" t="n">
        <f aca="false">'Z6 Nkangamo-Uhuru'!S18-'Z6 Nkangamo-Uhuru'!P18*C2030/'Z6 Nkangamo-Uhuru'!G18</f>
        <v>1711.99068820391</v>
      </c>
      <c r="G2030" s="51" t="n">
        <f aca="false">'Z6 Nkangamo-Uhuru'!$B$8-E2030</f>
        <v>14.4300000000001</v>
      </c>
      <c r="H2030" s="52" t="n">
        <f aca="false">F2030-E2030</f>
        <v>19.9206882039123</v>
      </c>
      <c r="I2030" s="52" t="n">
        <f aca="false">MAX(H2030,G2030)</f>
        <v>19.9206882039123</v>
      </c>
      <c r="J2030" s="4" t="str">
        <f aca="false">IFERROR("PN"&amp;SMALL(PN_list,COUNTIF(PN_list,"&lt;"&amp;I2030*bar_per_m)+1),"&gt; max PN")</f>
        <v>PN10</v>
      </c>
      <c r="K2030" s="4" t="str">
        <f aca="false">IF(L2030="no","end at tank",IF(H2030&lt;0,"NEGATIVE",IF(H2030&lt;p_min-0.005,"low","OK")))</f>
        <v>OK</v>
      </c>
      <c r="L2030" s="4" t="s">
        <v>414</v>
      </c>
    </row>
    <row r="2031" customFormat="false" ht="15" hidden="false" customHeight="false" outlineLevel="0" collapsed="false">
      <c r="A2031" s="4" t="s">
        <v>44</v>
      </c>
      <c r="B2031" s="4" t="s">
        <v>373</v>
      </c>
      <c r="C2031" s="47" t="n">
        <v>16864.27</v>
      </c>
      <c r="D2031" s="48" t="n">
        <v>1694.07</v>
      </c>
      <c r="E2031" s="49" t="n">
        <f aca="false">D2031-cover</f>
        <v>1692.87</v>
      </c>
      <c r="F2031" s="50" t="n">
        <f aca="false">'Z6 Nkangamo-Uhuru'!S18-'Z6 Nkangamo-Uhuru'!P18*C2031/'Z6 Nkangamo-Uhuru'!G18</f>
        <v>1711.95950374766</v>
      </c>
      <c r="G2031" s="51" t="n">
        <f aca="false">'Z6 Nkangamo-Uhuru'!$B$8-E2031</f>
        <v>13.6300000000001</v>
      </c>
      <c r="H2031" s="52" t="n">
        <f aca="false">F2031-E2031</f>
        <v>19.0895037476625</v>
      </c>
      <c r="I2031" s="52" t="n">
        <f aca="false">MAX(H2031,G2031)</f>
        <v>19.0895037476625</v>
      </c>
      <c r="J2031" s="4" t="str">
        <f aca="false">IFERROR("PN"&amp;SMALL(PN_list,COUNTIF(PN_list,"&lt;"&amp;I2031*bar_per_m)+1),"&gt; max PN")</f>
        <v>PN10</v>
      </c>
      <c r="K2031" s="4" t="str">
        <f aca="false">IF(L2031="no","end at tank",IF(H2031&lt;0,"NEGATIVE",IF(H2031&lt;p_min-0.005,"low","OK")))</f>
        <v>OK</v>
      </c>
      <c r="L2031" s="4" t="s">
        <v>414</v>
      </c>
    </row>
    <row r="2032" customFormat="false" ht="15" hidden="false" customHeight="false" outlineLevel="0" collapsed="false">
      <c r="A2032" s="4" t="s">
        <v>44</v>
      </c>
      <c r="B2032" s="4" t="s">
        <v>373</v>
      </c>
      <c r="C2032" s="47" t="n">
        <v>16884.27</v>
      </c>
      <c r="D2032" s="48" t="n">
        <v>1694.48</v>
      </c>
      <c r="E2032" s="49" t="n">
        <f aca="false">D2032-cover</f>
        <v>1693.28</v>
      </c>
      <c r="F2032" s="50" t="n">
        <f aca="false">'Z6 Nkangamo-Uhuru'!S18-'Z6 Nkangamo-Uhuru'!P18*C2032/'Z6 Nkangamo-Uhuru'!G18</f>
        <v>1711.92835044472</v>
      </c>
      <c r="G2032" s="51" t="n">
        <f aca="false">'Z6 Nkangamo-Uhuru'!$B$8-E2032</f>
        <v>13.22</v>
      </c>
      <c r="H2032" s="52" t="n">
        <f aca="false">F2032-E2032</f>
        <v>18.6483504447156</v>
      </c>
      <c r="I2032" s="52" t="n">
        <f aca="false">MAX(H2032,G2032)</f>
        <v>18.6483504447156</v>
      </c>
      <c r="J2032" s="4" t="str">
        <f aca="false">IFERROR("PN"&amp;SMALL(PN_list,COUNTIF(PN_list,"&lt;"&amp;I2032*bar_per_m)+1),"&gt; max PN")</f>
        <v>PN10</v>
      </c>
      <c r="K2032" s="4" t="str">
        <f aca="false">IF(L2032="no","end at tank",IF(H2032&lt;0,"NEGATIVE",IF(H2032&lt;p_min-0.005,"low","OK")))</f>
        <v>OK</v>
      </c>
      <c r="L2032" s="4" t="s">
        <v>414</v>
      </c>
    </row>
    <row r="2033" customFormat="false" ht="15" hidden="false" customHeight="false" outlineLevel="0" collapsed="false">
      <c r="A2033" s="4" t="s">
        <v>44</v>
      </c>
      <c r="B2033" s="4" t="s">
        <v>373</v>
      </c>
      <c r="C2033" s="47" t="n">
        <v>16904.3</v>
      </c>
      <c r="D2033" s="48" t="n">
        <v>1695.48</v>
      </c>
      <c r="E2033" s="49" t="n">
        <f aca="false">D2033-cover</f>
        <v>1694.28</v>
      </c>
      <c r="F2033" s="50" t="n">
        <f aca="false">'Z6 Nkangamo-Uhuru'!S18-'Z6 Nkangamo-Uhuru'!P18*C2033/'Z6 Nkangamo-Uhuru'!G18</f>
        <v>1711.89715041181</v>
      </c>
      <c r="G2033" s="51" t="n">
        <f aca="false">'Z6 Nkangamo-Uhuru'!$B$8-E2033</f>
        <v>12.22</v>
      </c>
      <c r="H2033" s="52" t="n">
        <f aca="false">F2033-E2033</f>
        <v>17.6171504118142</v>
      </c>
      <c r="I2033" s="52" t="n">
        <f aca="false">MAX(H2033,G2033)</f>
        <v>17.6171504118142</v>
      </c>
      <c r="J2033" s="4" t="str">
        <f aca="false">IFERROR("PN"&amp;SMALL(PN_list,COUNTIF(PN_list,"&lt;"&amp;I2033*bar_per_m)+1),"&gt; max PN")</f>
        <v>PN10</v>
      </c>
      <c r="K2033" s="4" t="str">
        <f aca="false">IF(L2033="no","end at tank",IF(H2033&lt;0,"NEGATIVE",IF(H2033&lt;p_min-0.005,"low","OK")))</f>
        <v>OK</v>
      </c>
      <c r="L2033" s="4" t="s">
        <v>414</v>
      </c>
    </row>
    <row r="2034" customFormat="false" ht="15" hidden="false" customHeight="false" outlineLevel="0" collapsed="false">
      <c r="A2034" s="4" t="s">
        <v>44</v>
      </c>
      <c r="B2034" s="4" t="s">
        <v>373</v>
      </c>
      <c r="C2034" s="47" t="n">
        <v>16924.41</v>
      </c>
      <c r="D2034" s="48" t="n">
        <v>1695.9</v>
      </c>
      <c r="E2034" s="49" t="n">
        <f aca="false">D2034-cover</f>
        <v>1694.7</v>
      </c>
      <c r="F2034" s="50" t="n">
        <f aca="false">'Z6 Nkangamo-Uhuru'!S18-'Z6 Nkangamo-Uhuru'!P18*C2034/'Z6 Nkangamo-Uhuru'!G18</f>
        <v>1711.8658257657</v>
      </c>
      <c r="G2034" s="51" t="n">
        <f aca="false">'Z6 Nkangamo-Uhuru'!$B$8-E2034</f>
        <v>11.8</v>
      </c>
      <c r="H2034" s="52" t="n">
        <f aca="false">F2034-E2034</f>
        <v>17.1658257657011</v>
      </c>
      <c r="I2034" s="52" t="n">
        <f aca="false">MAX(H2034,G2034)</f>
        <v>17.1658257657011</v>
      </c>
      <c r="J2034" s="4" t="str">
        <f aca="false">IFERROR("PN"&amp;SMALL(PN_list,COUNTIF(PN_list,"&lt;"&amp;I2034*bar_per_m)+1),"&gt; max PN")</f>
        <v>PN10</v>
      </c>
      <c r="K2034" s="4" t="str">
        <f aca="false">IF(L2034="no","end at tank",IF(H2034&lt;0,"NEGATIVE",IF(H2034&lt;p_min-0.005,"low","OK")))</f>
        <v>OK</v>
      </c>
      <c r="L2034" s="4" t="s">
        <v>414</v>
      </c>
    </row>
    <row r="2035" customFormat="false" ht="15" hidden="false" customHeight="false" outlineLevel="0" collapsed="false">
      <c r="A2035" s="4" t="s">
        <v>44</v>
      </c>
      <c r="B2035" s="4" t="s">
        <v>373</v>
      </c>
      <c r="C2035" s="47" t="n">
        <v>16944.41</v>
      </c>
      <c r="D2035" s="48" t="n">
        <v>1696</v>
      </c>
      <c r="E2035" s="49" t="n">
        <f aca="false">D2035-cover</f>
        <v>1694.8</v>
      </c>
      <c r="F2035" s="50" t="n">
        <f aca="false">'Z6 Nkangamo-Uhuru'!S18-'Z6 Nkangamo-Uhuru'!P18*C2035/'Z6 Nkangamo-Uhuru'!G18</f>
        <v>1711.83467246275</v>
      </c>
      <c r="G2035" s="51" t="n">
        <f aca="false">'Z6 Nkangamo-Uhuru'!$B$8-E2035</f>
        <v>11.7</v>
      </c>
      <c r="H2035" s="52" t="n">
        <f aca="false">F2035-E2035</f>
        <v>17.0346724627545</v>
      </c>
      <c r="I2035" s="52" t="n">
        <f aca="false">MAX(H2035,G2035)</f>
        <v>17.0346724627545</v>
      </c>
      <c r="J2035" s="4" t="str">
        <f aca="false">IFERROR("PN"&amp;SMALL(PN_list,COUNTIF(PN_list,"&lt;"&amp;I2035*bar_per_m)+1),"&gt; max PN")</f>
        <v>PN10</v>
      </c>
      <c r="K2035" s="4" t="str">
        <f aca="false">IF(L2035="no","end at tank",IF(H2035&lt;0,"NEGATIVE",IF(H2035&lt;p_min-0.005,"low","OK")))</f>
        <v>OK</v>
      </c>
      <c r="L2035" s="4" t="s">
        <v>414</v>
      </c>
    </row>
    <row r="2036" customFormat="false" ht="15" hidden="false" customHeight="false" outlineLevel="0" collapsed="false">
      <c r="A2036" s="4" t="s">
        <v>44</v>
      </c>
      <c r="B2036" s="4" t="s">
        <v>373</v>
      </c>
      <c r="C2036" s="47" t="n">
        <v>16964.43</v>
      </c>
      <c r="D2036" s="48" t="n">
        <v>1696.93</v>
      </c>
      <c r="E2036" s="49" t="n">
        <f aca="false">D2036-cover</f>
        <v>1695.73</v>
      </c>
      <c r="F2036" s="50" t="n">
        <f aca="false">'Z6 Nkangamo-Uhuru'!S18-'Z6 Nkangamo-Uhuru'!P18*C2036/'Z6 Nkangamo-Uhuru'!G18</f>
        <v>1711.8034880065</v>
      </c>
      <c r="G2036" s="51" t="n">
        <f aca="false">'Z6 Nkangamo-Uhuru'!$B$8-E2036</f>
        <v>10.77</v>
      </c>
      <c r="H2036" s="52" t="n">
        <f aca="false">F2036-E2036</f>
        <v>16.0734880065047</v>
      </c>
      <c r="I2036" s="52" t="n">
        <f aca="false">MAX(H2036,G2036)</f>
        <v>16.0734880065047</v>
      </c>
      <c r="J2036" s="4" t="str">
        <f aca="false">IFERROR("PN"&amp;SMALL(PN_list,COUNTIF(PN_list,"&lt;"&amp;I2036*bar_per_m)+1),"&gt; max PN")</f>
        <v>PN10</v>
      </c>
      <c r="K2036" s="4" t="str">
        <f aca="false">IF(L2036="no","end at tank",IF(H2036&lt;0,"NEGATIVE",IF(H2036&lt;p_min-0.005,"low","OK")))</f>
        <v>OK</v>
      </c>
      <c r="L2036" s="4" t="s">
        <v>414</v>
      </c>
    </row>
    <row r="2037" customFormat="false" ht="15" hidden="false" customHeight="false" outlineLevel="0" collapsed="false">
      <c r="A2037" s="4" t="s">
        <v>44</v>
      </c>
      <c r="B2037" s="4" t="s">
        <v>373</v>
      </c>
      <c r="C2037" s="47" t="n">
        <v>16984.57</v>
      </c>
      <c r="D2037" s="48" t="n">
        <v>1696.58</v>
      </c>
      <c r="E2037" s="49" t="n">
        <f aca="false">D2037-cover</f>
        <v>1695.38</v>
      </c>
      <c r="F2037" s="50" t="n">
        <f aca="false">'Z6 Nkangamo-Uhuru'!S18-'Z6 Nkangamo-Uhuru'!P18*C2037/'Z6 Nkangamo-Uhuru'!G18</f>
        <v>1711.77211663044</v>
      </c>
      <c r="G2037" s="51" t="n">
        <f aca="false">'Z6 Nkangamo-Uhuru'!$B$8-E2037</f>
        <v>11.1200000000001</v>
      </c>
      <c r="H2037" s="52" t="n">
        <f aca="false">F2037-E2037</f>
        <v>16.3921166304374</v>
      </c>
      <c r="I2037" s="52" t="n">
        <f aca="false">MAX(H2037,G2037)</f>
        <v>16.3921166304374</v>
      </c>
      <c r="J2037" s="4" t="str">
        <f aca="false">IFERROR("PN"&amp;SMALL(PN_list,COUNTIF(PN_list,"&lt;"&amp;I2037*bar_per_m)+1),"&gt; max PN")</f>
        <v>PN10</v>
      </c>
      <c r="K2037" s="4" t="str">
        <f aca="false">IF(L2037="no","end at tank",IF(H2037&lt;0,"NEGATIVE",IF(H2037&lt;p_min-0.005,"low","OK")))</f>
        <v>OK</v>
      </c>
      <c r="L2037" s="4" t="s">
        <v>414</v>
      </c>
    </row>
    <row r="2038" customFormat="false" ht="15" hidden="false" customHeight="false" outlineLevel="0" collapsed="false">
      <c r="A2038" s="4" t="s">
        <v>44</v>
      </c>
      <c r="B2038" s="4" t="s">
        <v>373</v>
      </c>
      <c r="C2038" s="47" t="n">
        <v>17004.59</v>
      </c>
      <c r="D2038" s="48" t="n">
        <v>1697.53</v>
      </c>
      <c r="E2038" s="49" t="n">
        <f aca="false">D2038-cover</f>
        <v>1696.33</v>
      </c>
      <c r="F2038" s="50" t="n">
        <f aca="false">'Z6 Nkangamo-Uhuru'!S18-'Z6 Nkangamo-Uhuru'!P18*C2038/'Z6 Nkangamo-Uhuru'!G18</f>
        <v>1711.74093217419</v>
      </c>
      <c r="G2038" s="51" t="n">
        <f aca="false">'Z6 Nkangamo-Uhuru'!$B$8-E2038</f>
        <v>10.1700000000001</v>
      </c>
      <c r="H2038" s="52" t="n">
        <f aca="false">F2038-E2038</f>
        <v>15.4109321741876</v>
      </c>
      <c r="I2038" s="52" t="n">
        <f aca="false">MAX(H2038,G2038)</f>
        <v>15.4109321741876</v>
      </c>
      <c r="J2038" s="4" t="str">
        <f aca="false">IFERROR("PN"&amp;SMALL(PN_list,COUNTIF(PN_list,"&lt;"&amp;I2038*bar_per_m)+1),"&gt; max PN")</f>
        <v>PN10</v>
      </c>
      <c r="K2038" s="4" t="str">
        <f aca="false">IF(L2038="no","end at tank",IF(H2038&lt;0,"NEGATIVE",IF(H2038&lt;p_min-0.005,"low","OK")))</f>
        <v>OK</v>
      </c>
      <c r="L2038" s="4" t="s">
        <v>414</v>
      </c>
    </row>
    <row r="2039" customFormat="false" ht="15" hidden="false" customHeight="false" outlineLevel="0" collapsed="false">
      <c r="A2039" s="4" t="s">
        <v>44</v>
      </c>
      <c r="B2039" s="4" t="s">
        <v>373</v>
      </c>
      <c r="C2039" s="47" t="n">
        <v>17024.59</v>
      </c>
      <c r="D2039" s="48" t="n">
        <v>1698.01</v>
      </c>
      <c r="E2039" s="49" t="n">
        <f aca="false">D2039-cover</f>
        <v>1696.81</v>
      </c>
      <c r="F2039" s="50" t="n">
        <f aca="false">'Z6 Nkangamo-Uhuru'!S18-'Z6 Nkangamo-Uhuru'!P18*C2039/'Z6 Nkangamo-Uhuru'!G18</f>
        <v>1711.70977887124</v>
      </c>
      <c r="G2039" s="51" t="n">
        <f aca="false">'Z6 Nkangamo-Uhuru'!$B$8-E2039</f>
        <v>9.69000000000006</v>
      </c>
      <c r="H2039" s="52" t="n">
        <f aca="false">F2039-E2039</f>
        <v>14.8997788712406</v>
      </c>
      <c r="I2039" s="52" t="n">
        <f aca="false">MAX(H2039,G2039)</f>
        <v>14.8997788712406</v>
      </c>
      <c r="J2039" s="4" t="str">
        <f aca="false">IFERROR("PN"&amp;SMALL(PN_list,COUNTIF(PN_list,"&lt;"&amp;I2039*bar_per_m)+1),"&gt; max PN")</f>
        <v>PN10</v>
      </c>
      <c r="K2039" s="4" t="str">
        <f aca="false">IF(L2039="no","end at tank",IF(H2039&lt;0,"NEGATIVE",IF(H2039&lt;p_min-0.005,"low","OK")))</f>
        <v>OK</v>
      </c>
      <c r="L2039" s="4" t="s">
        <v>414</v>
      </c>
    </row>
    <row r="2040" customFormat="false" ht="15" hidden="false" customHeight="false" outlineLevel="0" collapsed="false">
      <c r="A2040" s="4" t="s">
        <v>44</v>
      </c>
      <c r="B2040" s="4" t="s">
        <v>373</v>
      </c>
      <c r="C2040" s="47" t="n">
        <v>17044.6</v>
      </c>
      <c r="D2040" s="48" t="n">
        <v>1697.72</v>
      </c>
      <c r="E2040" s="49" t="n">
        <f aca="false">D2040-cover</f>
        <v>1696.52</v>
      </c>
      <c r="F2040" s="50" t="n">
        <f aca="false">'Z6 Nkangamo-Uhuru'!S18-'Z6 Nkangamo-Uhuru'!P18*C2040/'Z6 Nkangamo-Uhuru'!G18</f>
        <v>1711.67860999164</v>
      </c>
      <c r="G2040" s="51" t="n">
        <f aca="false">'Z6 Nkangamo-Uhuru'!$B$8-E2040</f>
        <v>9.98000000000002</v>
      </c>
      <c r="H2040" s="52" t="n">
        <f aca="false">F2040-E2040</f>
        <v>15.1586099916424</v>
      </c>
      <c r="I2040" s="52" t="n">
        <f aca="false">MAX(H2040,G2040)</f>
        <v>15.1586099916424</v>
      </c>
      <c r="J2040" s="4" t="str">
        <f aca="false">IFERROR("PN"&amp;SMALL(PN_list,COUNTIF(PN_list,"&lt;"&amp;I2040*bar_per_m)+1),"&gt; max PN")</f>
        <v>PN10</v>
      </c>
      <c r="K2040" s="4" t="str">
        <f aca="false">IF(L2040="no","end at tank",IF(H2040&lt;0,"NEGATIVE",IF(H2040&lt;p_min-0.005,"low","OK")))</f>
        <v>OK</v>
      </c>
      <c r="L2040" s="4" t="s">
        <v>414</v>
      </c>
    </row>
    <row r="2041" customFormat="false" ht="15" hidden="false" customHeight="false" outlineLevel="0" collapsed="false">
      <c r="A2041" s="4" t="s">
        <v>44</v>
      </c>
      <c r="B2041" s="4" t="s">
        <v>373</v>
      </c>
      <c r="C2041" s="47" t="n">
        <v>17064.6</v>
      </c>
      <c r="D2041" s="48" t="n">
        <v>1698.25</v>
      </c>
      <c r="E2041" s="49" t="n">
        <f aca="false">D2041-cover</f>
        <v>1697.05</v>
      </c>
      <c r="F2041" s="50" t="n">
        <f aca="false">'Z6 Nkangamo-Uhuru'!S18-'Z6 Nkangamo-Uhuru'!P18*C2041/'Z6 Nkangamo-Uhuru'!G18</f>
        <v>1711.6474566887</v>
      </c>
      <c r="G2041" s="51" t="n">
        <f aca="false">'Z6 Nkangamo-Uhuru'!$B$8-E2041</f>
        <v>9.45000000000005</v>
      </c>
      <c r="H2041" s="52" t="n">
        <f aca="false">F2041-E2041</f>
        <v>14.5974566886955</v>
      </c>
      <c r="I2041" s="52" t="n">
        <f aca="false">MAX(H2041,G2041)</f>
        <v>14.5974566886955</v>
      </c>
      <c r="J2041" s="4" t="str">
        <f aca="false">IFERROR("PN"&amp;SMALL(PN_list,COUNTIF(PN_list,"&lt;"&amp;I2041*bar_per_m)+1),"&gt; max PN")</f>
        <v>PN10</v>
      </c>
      <c r="K2041" s="4" t="str">
        <f aca="false">IF(L2041="no","end at tank",IF(H2041&lt;0,"NEGATIVE",IF(H2041&lt;p_min-0.005,"low","OK")))</f>
        <v>OK</v>
      </c>
      <c r="L2041" s="4" t="s">
        <v>414</v>
      </c>
    </row>
    <row r="2042" customFormat="false" ht="15" hidden="false" customHeight="false" outlineLevel="0" collapsed="false">
      <c r="A2042" s="4" t="s">
        <v>44</v>
      </c>
      <c r="B2042" s="4" t="s">
        <v>373</v>
      </c>
      <c r="C2042" s="47" t="n">
        <v>17084.6</v>
      </c>
      <c r="D2042" s="48" t="n">
        <v>1698.23</v>
      </c>
      <c r="E2042" s="49" t="n">
        <f aca="false">D2042-cover</f>
        <v>1697.03</v>
      </c>
      <c r="F2042" s="50" t="n">
        <f aca="false">'Z6 Nkangamo-Uhuru'!S18-'Z6 Nkangamo-Uhuru'!P18*C2042/'Z6 Nkangamo-Uhuru'!G18</f>
        <v>1711.61630338575</v>
      </c>
      <c r="G2042" s="51" t="n">
        <f aca="false">'Z6 Nkangamo-Uhuru'!$B$8-E2042</f>
        <v>9.47000000000003</v>
      </c>
      <c r="H2042" s="52" t="n">
        <f aca="false">F2042-E2042</f>
        <v>14.5863033857486</v>
      </c>
      <c r="I2042" s="52" t="n">
        <f aca="false">MAX(H2042,G2042)</f>
        <v>14.5863033857486</v>
      </c>
      <c r="J2042" s="4" t="str">
        <f aca="false">IFERROR("PN"&amp;SMALL(PN_list,COUNTIF(PN_list,"&lt;"&amp;I2042*bar_per_m)+1),"&gt; max PN")</f>
        <v>PN10</v>
      </c>
      <c r="K2042" s="4" t="str">
        <f aca="false">IF(L2042="no","end at tank",IF(H2042&lt;0,"NEGATIVE",IF(H2042&lt;p_min-0.005,"low","OK")))</f>
        <v>OK</v>
      </c>
      <c r="L2042" s="4" t="s">
        <v>414</v>
      </c>
    </row>
    <row r="2043" customFormat="false" ht="15" hidden="false" customHeight="false" outlineLevel="0" collapsed="false">
      <c r="A2043" s="4" t="s">
        <v>44</v>
      </c>
      <c r="B2043" s="4" t="s">
        <v>373</v>
      </c>
      <c r="C2043" s="47" t="n">
        <v>17104.6</v>
      </c>
      <c r="D2043" s="48" t="n">
        <v>1698.1</v>
      </c>
      <c r="E2043" s="49" t="n">
        <f aca="false">D2043-cover</f>
        <v>1696.9</v>
      </c>
      <c r="F2043" s="50" t="n">
        <f aca="false">'Z6 Nkangamo-Uhuru'!S18-'Z6 Nkangamo-Uhuru'!P18*C2043/'Z6 Nkangamo-Uhuru'!G18</f>
        <v>1711.5851500828</v>
      </c>
      <c r="G2043" s="51" t="n">
        <f aca="false">'Z6 Nkangamo-Uhuru'!$B$8-E2043</f>
        <v>9.60000000000014</v>
      </c>
      <c r="H2043" s="52" t="n">
        <f aca="false">F2043-E2043</f>
        <v>14.685150082802</v>
      </c>
      <c r="I2043" s="52" t="n">
        <f aca="false">MAX(H2043,G2043)</f>
        <v>14.685150082802</v>
      </c>
      <c r="J2043" s="4" t="str">
        <f aca="false">IFERROR("PN"&amp;SMALL(PN_list,COUNTIF(PN_list,"&lt;"&amp;I2043*bar_per_m)+1),"&gt; max PN")</f>
        <v>PN10</v>
      </c>
      <c r="K2043" s="4" t="str">
        <f aca="false">IF(L2043="no","end at tank",IF(H2043&lt;0,"NEGATIVE",IF(H2043&lt;p_min-0.005,"low","OK")))</f>
        <v>OK</v>
      </c>
      <c r="L2043" s="4" t="s">
        <v>414</v>
      </c>
    </row>
    <row r="2044" customFormat="false" ht="15" hidden="false" customHeight="false" outlineLevel="0" collapsed="false">
      <c r="A2044" s="4" t="s">
        <v>44</v>
      </c>
      <c r="B2044" s="4" t="s">
        <v>373</v>
      </c>
      <c r="C2044" s="47" t="n">
        <v>17124.6</v>
      </c>
      <c r="D2044" s="48" t="n">
        <v>1698.18</v>
      </c>
      <c r="E2044" s="49" t="n">
        <f aca="false">D2044-cover</f>
        <v>1696.98</v>
      </c>
      <c r="F2044" s="50" t="n">
        <f aca="false">'Z6 Nkangamo-Uhuru'!S18-'Z6 Nkangamo-Uhuru'!P18*C2044/'Z6 Nkangamo-Uhuru'!G18</f>
        <v>1711.55399677986</v>
      </c>
      <c r="G2044" s="51" t="n">
        <f aca="false">'Z6 Nkangamo-Uhuru'!$B$8-E2044</f>
        <v>9.51999999999998</v>
      </c>
      <c r="H2044" s="52" t="n">
        <f aca="false">F2044-E2044</f>
        <v>14.573996779855</v>
      </c>
      <c r="I2044" s="52" t="n">
        <f aca="false">MAX(H2044,G2044)</f>
        <v>14.573996779855</v>
      </c>
      <c r="J2044" s="4" t="str">
        <f aca="false">IFERROR("PN"&amp;SMALL(PN_list,COUNTIF(PN_list,"&lt;"&amp;I2044*bar_per_m)+1),"&gt; max PN")</f>
        <v>PN10</v>
      </c>
      <c r="K2044" s="4" t="str">
        <f aca="false">IF(L2044="no","end at tank",IF(H2044&lt;0,"NEGATIVE",IF(H2044&lt;p_min-0.005,"low","OK")))</f>
        <v>OK</v>
      </c>
      <c r="L2044" s="4" t="s">
        <v>414</v>
      </c>
    </row>
    <row r="2045" customFormat="false" ht="15" hidden="false" customHeight="false" outlineLevel="0" collapsed="false">
      <c r="A2045" s="4" t="s">
        <v>44</v>
      </c>
      <c r="B2045" s="4" t="s">
        <v>373</v>
      </c>
      <c r="C2045" s="47" t="n">
        <v>17144.6</v>
      </c>
      <c r="D2045" s="48" t="n">
        <v>1698.18</v>
      </c>
      <c r="E2045" s="49" t="n">
        <f aca="false">D2045-cover</f>
        <v>1696.98</v>
      </c>
      <c r="F2045" s="50" t="n">
        <f aca="false">'Z6 Nkangamo-Uhuru'!S18-'Z6 Nkangamo-Uhuru'!P18*C2045/'Z6 Nkangamo-Uhuru'!G18</f>
        <v>1711.52284347691</v>
      </c>
      <c r="G2045" s="51" t="n">
        <f aca="false">'Z6 Nkangamo-Uhuru'!$B$8-E2045</f>
        <v>9.51999999999998</v>
      </c>
      <c r="H2045" s="52" t="n">
        <f aca="false">F2045-E2045</f>
        <v>14.542843476908</v>
      </c>
      <c r="I2045" s="52" t="n">
        <f aca="false">MAX(H2045,G2045)</f>
        <v>14.542843476908</v>
      </c>
      <c r="J2045" s="4" t="str">
        <f aca="false">IFERROR("PN"&amp;SMALL(PN_list,COUNTIF(PN_list,"&lt;"&amp;I2045*bar_per_m)+1),"&gt; max PN")</f>
        <v>PN10</v>
      </c>
      <c r="K2045" s="4" t="str">
        <f aca="false">IF(L2045="no","end at tank",IF(H2045&lt;0,"NEGATIVE",IF(H2045&lt;p_min-0.005,"low","OK")))</f>
        <v>OK</v>
      </c>
      <c r="L2045" s="4" t="s">
        <v>414</v>
      </c>
    </row>
    <row r="2046" customFormat="false" ht="15" hidden="false" customHeight="false" outlineLevel="0" collapsed="false">
      <c r="A2046" s="4" t="s">
        <v>44</v>
      </c>
      <c r="B2046" s="4" t="s">
        <v>373</v>
      </c>
      <c r="C2046" s="47" t="n">
        <v>17164.61</v>
      </c>
      <c r="D2046" s="48" t="n">
        <v>1697.55</v>
      </c>
      <c r="E2046" s="49" t="n">
        <f aca="false">D2046-cover</f>
        <v>1696.35</v>
      </c>
      <c r="F2046" s="50" t="n">
        <f aca="false">'Z6 Nkangamo-Uhuru'!S18-'Z6 Nkangamo-Uhuru'!P18*C2046/'Z6 Nkangamo-Uhuru'!G18</f>
        <v>1711.49167459731</v>
      </c>
      <c r="G2046" s="51" t="n">
        <f aca="false">'Z6 Nkangamo-Uhuru'!$B$8-E2046</f>
        <v>10.1500000000001</v>
      </c>
      <c r="H2046" s="52" t="n">
        <f aca="false">F2046-E2046</f>
        <v>15.1416745973099</v>
      </c>
      <c r="I2046" s="52" t="n">
        <f aca="false">MAX(H2046,G2046)</f>
        <v>15.1416745973099</v>
      </c>
      <c r="J2046" s="4" t="str">
        <f aca="false">IFERROR("PN"&amp;SMALL(PN_list,COUNTIF(PN_list,"&lt;"&amp;I2046*bar_per_m)+1),"&gt; max PN")</f>
        <v>PN10</v>
      </c>
      <c r="K2046" s="4" t="str">
        <f aca="false">IF(L2046="no","end at tank",IF(H2046&lt;0,"NEGATIVE",IF(H2046&lt;p_min-0.005,"low","OK")))</f>
        <v>OK</v>
      </c>
      <c r="L2046" s="4" t="s">
        <v>414</v>
      </c>
    </row>
    <row r="2047" customFormat="false" ht="15" hidden="false" customHeight="false" outlineLevel="0" collapsed="false">
      <c r="A2047" s="4" t="s">
        <v>44</v>
      </c>
      <c r="B2047" s="4" t="s">
        <v>373</v>
      </c>
      <c r="C2047" s="47" t="n">
        <v>17184.63</v>
      </c>
      <c r="D2047" s="48" t="n">
        <v>1698.27</v>
      </c>
      <c r="E2047" s="49" t="n">
        <f aca="false">D2047-cover</f>
        <v>1697.07</v>
      </c>
      <c r="F2047" s="50" t="n">
        <f aca="false">'Z6 Nkangamo-Uhuru'!S18-'Z6 Nkangamo-Uhuru'!P18*C2047/'Z6 Nkangamo-Uhuru'!G18</f>
        <v>1711.46049014106</v>
      </c>
      <c r="G2047" s="51" t="n">
        <f aca="false">'Z6 Nkangamo-Uhuru'!$B$8-E2047</f>
        <v>9.43000000000006</v>
      </c>
      <c r="H2047" s="52" t="n">
        <f aca="false">F2047-E2047</f>
        <v>14.3904901410601</v>
      </c>
      <c r="I2047" s="52" t="n">
        <f aca="false">MAX(H2047,G2047)</f>
        <v>14.3904901410601</v>
      </c>
      <c r="J2047" s="4" t="str">
        <f aca="false">IFERROR("PN"&amp;SMALL(PN_list,COUNTIF(PN_list,"&lt;"&amp;I2047*bar_per_m)+1),"&gt; max PN")</f>
        <v>PN10</v>
      </c>
      <c r="K2047" s="4" t="str">
        <f aca="false">IF(L2047="no","end at tank",IF(H2047&lt;0,"NEGATIVE",IF(H2047&lt;p_min-0.005,"low","OK")))</f>
        <v>OK</v>
      </c>
      <c r="L2047" s="4" t="s">
        <v>414</v>
      </c>
    </row>
    <row r="2048" customFormat="false" ht="15" hidden="false" customHeight="false" outlineLevel="0" collapsed="false">
      <c r="A2048" s="4" t="s">
        <v>44</v>
      </c>
      <c r="B2048" s="4" t="s">
        <v>373</v>
      </c>
      <c r="C2048" s="47" t="n">
        <v>17204.68</v>
      </c>
      <c r="D2048" s="48" t="n">
        <v>1696.77</v>
      </c>
      <c r="E2048" s="49" t="n">
        <f aca="false">D2048-cover</f>
        <v>1695.57</v>
      </c>
      <c r="F2048" s="50" t="n">
        <f aca="false">'Z6 Nkangamo-Uhuru'!S18-'Z6 Nkangamo-Uhuru'!P18*C2048/'Z6 Nkangamo-Uhuru'!G18</f>
        <v>1711.42925895486</v>
      </c>
      <c r="G2048" s="51" t="n">
        <f aca="false">'Z6 Nkangamo-Uhuru'!$B$8-E2048</f>
        <v>10.9300000000001</v>
      </c>
      <c r="H2048" s="52" t="n">
        <f aca="false">F2048-E2048</f>
        <v>15.8592589548559</v>
      </c>
      <c r="I2048" s="52" t="n">
        <f aca="false">MAX(H2048,G2048)</f>
        <v>15.8592589548559</v>
      </c>
      <c r="J2048" s="4" t="str">
        <f aca="false">IFERROR("PN"&amp;SMALL(PN_list,COUNTIF(PN_list,"&lt;"&amp;I2048*bar_per_m)+1),"&gt; max PN")</f>
        <v>PN10</v>
      </c>
      <c r="K2048" s="4" t="str">
        <f aca="false">IF(L2048="no","end at tank",IF(H2048&lt;0,"NEGATIVE",IF(H2048&lt;p_min-0.005,"low","OK")))</f>
        <v>OK</v>
      </c>
      <c r="L2048" s="4" t="s">
        <v>414</v>
      </c>
    </row>
    <row r="2049" customFormat="false" ht="15" hidden="false" customHeight="false" outlineLevel="0" collapsed="false">
      <c r="A2049" s="4" t="s">
        <v>44</v>
      </c>
      <c r="B2049" s="4" t="s">
        <v>373</v>
      </c>
      <c r="C2049" s="47" t="n">
        <v>17224.68</v>
      </c>
      <c r="D2049" s="48" t="n">
        <v>1696.71</v>
      </c>
      <c r="E2049" s="49" t="n">
        <f aca="false">D2049-cover</f>
        <v>1695.51</v>
      </c>
      <c r="F2049" s="50" t="n">
        <f aca="false">'Z6 Nkangamo-Uhuru'!S18-'Z6 Nkangamo-Uhuru'!P18*C2049/'Z6 Nkangamo-Uhuru'!G18</f>
        <v>1711.39810565191</v>
      </c>
      <c r="G2049" s="51" t="n">
        <f aca="false">'Z6 Nkangamo-Uhuru'!$B$8-E2049</f>
        <v>10.99</v>
      </c>
      <c r="H2049" s="52" t="n">
        <f aca="false">F2049-E2049</f>
        <v>15.888105651909</v>
      </c>
      <c r="I2049" s="52" t="n">
        <f aca="false">MAX(H2049,G2049)</f>
        <v>15.888105651909</v>
      </c>
      <c r="J2049" s="4" t="str">
        <f aca="false">IFERROR("PN"&amp;SMALL(PN_list,COUNTIF(PN_list,"&lt;"&amp;I2049*bar_per_m)+1),"&gt; max PN")</f>
        <v>PN10</v>
      </c>
      <c r="K2049" s="4" t="str">
        <f aca="false">IF(L2049="no","end at tank",IF(H2049&lt;0,"NEGATIVE",IF(H2049&lt;p_min-0.005,"low","OK")))</f>
        <v>OK</v>
      </c>
      <c r="L2049" s="4" t="s">
        <v>414</v>
      </c>
    </row>
    <row r="2050" customFormat="false" ht="15" hidden="false" customHeight="false" outlineLevel="0" collapsed="false">
      <c r="A2050" s="4" t="s">
        <v>44</v>
      </c>
      <c r="B2050" s="4" t="s">
        <v>373</v>
      </c>
      <c r="C2050" s="47" t="n">
        <v>17244.71</v>
      </c>
      <c r="D2050" s="48" t="n">
        <v>1695.62</v>
      </c>
      <c r="E2050" s="49" t="n">
        <f aca="false">D2050-cover</f>
        <v>1694.42</v>
      </c>
      <c r="F2050" s="50" t="n">
        <f aca="false">'Z6 Nkangamo-Uhuru'!S18-'Z6 Nkangamo-Uhuru'!P18*C2050/'Z6 Nkangamo-Uhuru'!G18</f>
        <v>1711.36690561901</v>
      </c>
      <c r="G2050" s="51" t="n">
        <f aca="false">'Z6 Nkangamo-Uhuru'!$B$8-E2050</f>
        <v>12.0800000000002</v>
      </c>
      <c r="H2050" s="52" t="n">
        <f aca="false">F2050-E2050</f>
        <v>16.946905619008</v>
      </c>
      <c r="I2050" s="52" t="n">
        <f aca="false">MAX(H2050,G2050)</f>
        <v>16.946905619008</v>
      </c>
      <c r="J2050" s="4" t="str">
        <f aca="false">IFERROR("PN"&amp;SMALL(PN_list,COUNTIF(PN_list,"&lt;"&amp;I2050*bar_per_m)+1),"&gt; max PN")</f>
        <v>PN10</v>
      </c>
      <c r="K2050" s="4" t="str">
        <f aca="false">IF(L2050="no","end at tank",IF(H2050&lt;0,"NEGATIVE",IF(H2050&lt;p_min-0.005,"low","OK")))</f>
        <v>OK</v>
      </c>
      <c r="L2050" s="4" t="s">
        <v>414</v>
      </c>
    </row>
    <row r="2051" customFormat="false" ht="15" hidden="false" customHeight="false" outlineLevel="0" collapsed="false">
      <c r="A2051" s="4" t="s">
        <v>44</v>
      </c>
      <c r="B2051" s="4" t="s">
        <v>373</v>
      </c>
      <c r="C2051" s="47" t="n">
        <v>17264.71</v>
      </c>
      <c r="D2051" s="48" t="n">
        <v>1695.62</v>
      </c>
      <c r="E2051" s="49" t="n">
        <f aca="false">D2051-cover</f>
        <v>1694.42</v>
      </c>
      <c r="F2051" s="50" t="n">
        <f aca="false">'Z6 Nkangamo-Uhuru'!S18-'Z6 Nkangamo-Uhuru'!P18*C2051/'Z6 Nkangamo-Uhuru'!G18</f>
        <v>1711.33575231606</v>
      </c>
      <c r="G2051" s="51" t="n">
        <f aca="false">'Z6 Nkangamo-Uhuru'!$B$8-E2051</f>
        <v>12.0800000000002</v>
      </c>
      <c r="H2051" s="52" t="n">
        <f aca="false">F2051-E2051</f>
        <v>16.9157523160611</v>
      </c>
      <c r="I2051" s="52" t="n">
        <f aca="false">MAX(H2051,G2051)</f>
        <v>16.9157523160611</v>
      </c>
      <c r="J2051" s="4" t="str">
        <f aca="false">IFERROR("PN"&amp;SMALL(PN_list,COUNTIF(PN_list,"&lt;"&amp;I2051*bar_per_m)+1),"&gt; max PN")</f>
        <v>PN10</v>
      </c>
      <c r="K2051" s="4" t="str">
        <f aca="false">IF(L2051="no","end at tank",IF(H2051&lt;0,"NEGATIVE",IF(H2051&lt;p_min-0.005,"low","OK")))</f>
        <v>OK</v>
      </c>
      <c r="L2051" s="4" t="s">
        <v>414</v>
      </c>
    </row>
    <row r="2052" customFormat="false" ht="15" hidden="false" customHeight="false" outlineLevel="0" collapsed="false">
      <c r="A2052" s="4" t="s">
        <v>44</v>
      </c>
      <c r="B2052" s="4" t="s">
        <v>373</v>
      </c>
      <c r="C2052" s="47" t="n">
        <v>17284.71</v>
      </c>
      <c r="D2052" s="48" t="n">
        <v>1695.37</v>
      </c>
      <c r="E2052" s="49" t="n">
        <f aca="false">D2052-cover</f>
        <v>1694.17</v>
      </c>
      <c r="F2052" s="50" t="n">
        <f aca="false">'Z6 Nkangamo-Uhuru'!S18-'Z6 Nkangamo-Uhuru'!P18*C2052/'Z6 Nkangamo-Uhuru'!G18</f>
        <v>1711.30459901311</v>
      </c>
      <c r="G2052" s="51" t="n">
        <f aca="false">'Z6 Nkangamo-Uhuru'!$B$8-E2052</f>
        <v>12.3300000000002</v>
      </c>
      <c r="H2052" s="52" t="n">
        <f aca="false">F2052-E2052</f>
        <v>17.1345990131144</v>
      </c>
      <c r="I2052" s="52" t="n">
        <f aca="false">MAX(H2052,G2052)</f>
        <v>17.1345990131144</v>
      </c>
      <c r="J2052" s="4" t="str">
        <f aca="false">IFERROR("PN"&amp;SMALL(PN_list,COUNTIF(PN_list,"&lt;"&amp;I2052*bar_per_m)+1),"&gt; max PN")</f>
        <v>PN10</v>
      </c>
      <c r="K2052" s="4" t="str">
        <f aca="false">IF(L2052="no","end at tank",IF(H2052&lt;0,"NEGATIVE",IF(H2052&lt;p_min-0.005,"low","OK")))</f>
        <v>OK</v>
      </c>
      <c r="L2052" s="4" t="s">
        <v>414</v>
      </c>
    </row>
    <row r="2053" customFormat="false" ht="15" hidden="false" customHeight="false" outlineLevel="0" collapsed="false">
      <c r="A2053" s="4" t="s">
        <v>44</v>
      </c>
      <c r="B2053" s="4" t="s">
        <v>373</v>
      </c>
      <c r="C2053" s="47" t="n">
        <v>17304.73</v>
      </c>
      <c r="D2053" s="48" t="n">
        <v>1694.62</v>
      </c>
      <c r="E2053" s="49" t="n">
        <f aca="false">D2053-cover</f>
        <v>1693.42</v>
      </c>
      <c r="F2053" s="50" t="n">
        <f aca="false">'Z6 Nkangamo-Uhuru'!S18-'Z6 Nkangamo-Uhuru'!P18*C2053/'Z6 Nkangamo-Uhuru'!G18</f>
        <v>1711.27341455686</v>
      </c>
      <c r="G2053" s="51" t="n">
        <f aca="false">'Z6 Nkangamo-Uhuru'!$B$8-E2053</f>
        <v>13.0800000000002</v>
      </c>
      <c r="H2053" s="52" t="n">
        <f aca="false">F2053-E2053</f>
        <v>17.8534145568647</v>
      </c>
      <c r="I2053" s="52" t="n">
        <f aca="false">MAX(H2053,G2053)</f>
        <v>17.8534145568647</v>
      </c>
      <c r="J2053" s="4" t="str">
        <f aca="false">IFERROR("PN"&amp;SMALL(PN_list,COUNTIF(PN_list,"&lt;"&amp;I2053*bar_per_m)+1),"&gt; max PN")</f>
        <v>PN10</v>
      </c>
      <c r="K2053" s="4" t="str">
        <f aca="false">IF(L2053="no","end at tank",IF(H2053&lt;0,"NEGATIVE",IF(H2053&lt;p_min-0.005,"low","OK")))</f>
        <v>OK</v>
      </c>
      <c r="L2053" s="4" t="s">
        <v>414</v>
      </c>
    </row>
    <row r="2054" customFormat="false" ht="15" hidden="false" customHeight="false" outlineLevel="0" collapsed="false">
      <c r="A2054" s="4" t="s">
        <v>44</v>
      </c>
      <c r="B2054" s="4" t="s">
        <v>373</v>
      </c>
      <c r="C2054" s="47" t="n">
        <v>17324.73</v>
      </c>
      <c r="D2054" s="48" t="n">
        <v>1694.89</v>
      </c>
      <c r="E2054" s="49" t="n">
        <f aca="false">D2054-cover</f>
        <v>1693.69</v>
      </c>
      <c r="F2054" s="50" t="n">
        <f aca="false">'Z6 Nkangamo-Uhuru'!S18-'Z6 Nkangamo-Uhuru'!P18*C2054/'Z6 Nkangamo-Uhuru'!G18</f>
        <v>1711.24226125392</v>
      </c>
      <c r="G2054" s="51" t="n">
        <f aca="false">'Z6 Nkangamo-Uhuru'!$B$8-E2054</f>
        <v>12.8099999999999</v>
      </c>
      <c r="H2054" s="52" t="n">
        <f aca="false">F2054-E2054</f>
        <v>17.5522612539176</v>
      </c>
      <c r="I2054" s="52" t="n">
        <f aca="false">MAX(H2054,G2054)</f>
        <v>17.5522612539176</v>
      </c>
      <c r="J2054" s="4" t="str">
        <f aca="false">IFERROR("PN"&amp;SMALL(PN_list,COUNTIF(PN_list,"&lt;"&amp;I2054*bar_per_m)+1),"&gt; max PN")</f>
        <v>PN10</v>
      </c>
      <c r="K2054" s="4" t="str">
        <f aca="false">IF(L2054="no","end at tank",IF(H2054&lt;0,"NEGATIVE",IF(H2054&lt;p_min-0.005,"low","OK")))</f>
        <v>OK</v>
      </c>
      <c r="L2054" s="4" t="s">
        <v>414</v>
      </c>
    </row>
    <row r="2055" customFormat="false" ht="15" hidden="false" customHeight="false" outlineLevel="0" collapsed="false">
      <c r="A2055" s="4" t="s">
        <v>44</v>
      </c>
      <c r="B2055" s="4" t="s">
        <v>373</v>
      </c>
      <c r="C2055" s="47" t="n">
        <v>17344.73</v>
      </c>
      <c r="D2055" s="48" t="n">
        <v>1694.74</v>
      </c>
      <c r="E2055" s="49" t="n">
        <f aca="false">D2055-cover</f>
        <v>1693.54</v>
      </c>
      <c r="F2055" s="50" t="n">
        <f aca="false">'Z6 Nkangamo-Uhuru'!S18-'Z6 Nkangamo-Uhuru'!P18*C2055/'Z6 Nkangamo-Uhuru'!G18</f>
        <v>1711.21110795097</v>
      </c>
      <c r="G2055" s="51" t="n">
        <f aca="false">'Z6 Nkangamo-Uhuru'!$B$8-E2055</f>
        <v>12.96</v>
      </c>
      <c r="H2055" s="52" t="n">
        <f aca="false">F2055-E2055</f>
        <v>17.6711079509707</v>
      </c>
      <c r="I2055" s="52" t="n">
        <f aca="false">MAX(H2055,G2055)</f>
        <v>17.6711079509707</v>
      </c>
      <c r="J2055" s="4" t="str">
        <f aca="false">IFERROR("PN"&amp;SMALL(PN_list,COUNTIF(PN_list,"&lt;"&amp;I2055*bar_per_m)+1),"&gt; max PN")</f>
        <v>PN10</v>
      </c>
      <c r="K2055" s="4" t="str">
        <f aca="false">IF(L2055="no","end at tank",IF(H2055&lt;0,"NEGATIVE",IF(H2055&lt;p_min-0.005,"low","OK")))</f>
        <v>OK</v>
      </c>
      <c r="L2055" s="4" t="s">
        <v>414</v>
      </c>
    </row>
    <row r="2056" customFormat="false" ht="15" hidden="false" customHeight="false" outlineLevel="0" collapsed="false">
      <c r="A2056" s="4" t="s">
        <v>44</v>
      </c>
      <c r="B2056" s="4" t="s">
        <v>373</v>
      </c>
      <c r="C2056" s="47" t="n">
        <v>17364.82</v>
      </c>
      <c r="D2056" s="48" t="n">
        <v>1695.09</v>
      </c>
      <c r="E2056" s="49" t="n">
        <f aca="false">D2056-cover</f>
        <v>1693.89</v>
      </c>
      <c r="F2056" s="50" t="n">
        <f aca="false">'Z6 Nkangamo-Uhuru'!S18-'Z6 Nkangamo-Uhuru'!P18*C2056/'Z6 Nkangamo-Uhuru'!G18</f>
        <v>1711.17981445816</v>
      </c>
      <c r="G2056" s="51" t="n">
        <f aca="false">'Z6 Nkangamo-Uhuru'!$B$8-E2056</f>
        <v>12.6100000000001</v>
      </c>
      <c r="H2056" s="52" t="n">
        <f aca="false">F2056-E2056</f>
        <v>17.2898144581609</v>
      </c>
      <c r="I2056" s="52" t="n">
        <f aca="false">MAX(H2056,G2056)</f>
        <v>17.2898144581609</v>
      </c>
      <c r="J2056" s="4" t="str">
        <f aca="false">IFERROR("PN"&amp;SMALL(PN_list,COUNTIF(PN_list,"&lt;"&amp;I2056*bar_per_m)+1),"&gt; max PN")</f>
        <v>PN10</v>
      </c>
      <c r="K2056" s="4" t="str">
        <f aca="false">IF(L2056="no","end at tank",IF(H2056&lt;0,"NEGATIVE",IF(H2056&lt;p_min-0.005,"low","OK")))</f>
        <v>OK</v>
      </c>
      <c r="L2056" s="4" t="s">
        <v>414</v>
      </c>
    </row>
    <row r="2057" customFormat="false" ht="15" hidden="false" customHeight="false" outlineLevel="0" collapsed="false">
      <c r="A2057" s="4" t="s">
        <v>44</v>
      </c>
      <c r="B2057" s="4" t="s">
        <v>373</v>
      </c>
      <c r="C2057" s="47" t="n">
        <v>17384.82</v>
      </c>
      <c r="D2057" s="48" t="n">
        <v>1695.09</v>
      </c>
      <c r="E2057" s="49" t="n">
        <f aca="false">D2057-cover</f>
        <v>1693.89</v>
      </c>
      <c r="F2057" s="50" t="n">
        <f aca="false">'Z6 Nkangamo-Uhuru'!S18-'Z6 Nkangamo-Uhuru'!P18*C2057/'Z6 Nkangamo-Uhuru'!G18</f>
        <v>1711.14866115521</v>
      </c>
      <c r="G2057" s="51" t="n">
        <f aca="false">'Z6 Nkangamo-Uhuru'!$B$8-E2057</f>
        <v>12.6100000000001</v>
      </c>
      <c r="H2057" s="52" t="n">
        <f aca="false">F2057-E2057</f>
        <v>17.258661155214</v>
      </c>
      <c r="I2057" s="52" t="n">
        <f aca="false">MAX(H2057,G2057)</f>
        <v>17.258661155214</v>
      </c>
      <c r="J2057" s="4" t="str">
        <f aca="false">IFERROR("PN"&amp;SMALL(PN_list,COUNTIF(PN_list,"&lt;"&amp;I2057*bar_per_m)+1),"&gt; max PN")</f>
        <v>PN10</v>
      </c>
      <c r="K2057" s="4" t="str">
        <f aca="false">IF(L2057="no","end at tank",IF(H2057&lt;0,"NEGATIVE",IF(H2057&lt;p_min-0.005,"low","OK")))</f>
        <v>OK</v>
      </c>
      <c r="L2057" s="4" t="s">
        <v>414</v>
      </c>
    </row>
    <row r="2058" customFormat="false" ht="15" hidden="false" customHeight="false" outlineLevel="0" collapsed="false">
      <c r="A2058" s="4" t="s">
        <v>44</v>
      </c>
      <c r="B2058" s="4" t="s">
        <v>373</v>
      </c>
      <c r="C2058" s="47" t="n">
        <v>17404.82</v>
      </c>
      <c r="D2058" s="48" t="n">
        <v>1694.99</v>
      </c>
      <c r="E2058" s="49" t="n">
        <f aca="false">D2058-cover</f>
        <v>1693.79</v>
      </c>
      <c r="F2058" s="50" t="n">
        <f aca="false">'Z6 Nkangamo-Uhuru'!S18-'Z6 Nkangamo-Uhuru'!P18*C2058/'Z6 Nkangamo-Uhuru'!G18</f>
        <v>1711.11750785227</v>
      </c>
      <c r="G2058" s="51" t="n">
        <f aca="false">'Z6 Nkangamo-Uhuru'!$B$8-E2058</f>
        <v>12.71</v>
      </c>
      <c r="H2058" s="52" t="n">
        <f aca="false">F2058-E2058</f>
        <v>17.327507852267</v>
      </c>
      <c r="I2058" s="52" t="n">
        <f aca="false">MAX(H2058,G2058)</f>
        <v>17.327507852267</v>
      </c>
      <c r="J2058" s="4" t="str">
        <f aca="false">IFERROR("PN"&amp;SMALL(PN_list,COUNTIF(PN_list,"&lt;"&amp;I2058*bar_per_m)+1),"&gt; max PN")</f>
        <v>PN10</v>
      </c>
      <c r="K2058" s="4" t="str">
        <f aca="false">IF(L2058="no","end at tank",IF(H2058&lt;0,"NEGATIVE",IF(H2058&lt;p_min-0.005,"low","OK")))</f>
        <v>OK</v>
      </c>
      <c r="L2058" s="4" t="s">
        <v>414</v>
      </c>
    </row>
    <row r="2059" customFormat="false" ht="15" hidden="false" customHeight="false" outlineLevel="0" collapsed="false">
      <c r="A2059" s="4" t="s">
        <v>44</v>
      </c>
      <c r="B2059" s="4" t="s">
        <v>373</v>
      </c>
      <c r="C2059" s="47" t="n">
        <v>17424.83</v>
      </c>
      <c r="D2059" s="48" t="n">
        <v>1695.2</v>
      </c>
      <c r="E2059" s="49" t="n">
        <f aca="false">D2059-cover</f>
        <v>1694</v>
      </c>
      <c r="F2059" s="50" t="n">
        <f aca="false">'Z6 Nkangamo-Uhuru'!S18-'Z6 Nkangamo-Uhuru'!P18*C2059/'Z6 Nkangamo-Uhuru'!G18</f>
        <v>1711.08633897267</v>
      </c>
      <c r="G2059" s="51" t="n">
        <f aca="false">'Z6 Nkangamo-Uhuru'!$B$8-E2059</f>
        <v>12.5</v>
      </c>
      <c r="H2059" s="52" t="n">
        <f aca="false">F2059-E2059</f>
        <v>17.0863389726687</v>
      </c>
      <c r="I2059" s="52" t="n">
        <f aca="false">MAX(H2059,G2059)</f>
        <v>17.0863389726687</v>
      </c>
      <c r="J2059" s="4" t="str">
        <f aca="false">IFERROR("PN"&amp;SMALL(PN_list,COUNTIF(PN_list,"&lt;"&amp;I2059*bar_per_m)+1),"&gt; max PN")</f>
        <v>PN10</v>
      </c>
      <c r="K2059" s="4" t="str">
        <f aca="false">IF(L2059="no","end at tank",IF(H2059&lt;0,"NEGATIVE",IF(H2059&lt;p_min-0.005,"low","OK")))</f>
        <v>OK</v>
      </c>
      <c r="L2059" s="4" t="s">
        <v>414</v>
      </c>
    </row>
    <row r="2060" customFormat="false" ht="15" hidden="false" customHeight="false" outlineLevel="0" collapsed="false">
      <c r="A2060" s="4" t="s">
        <v>44</v>
      </c>
      <c r="B2060" s="4" t="s">
        <v>373</v>
      </c>
      <c r="C2060" s="47" t="n">
        <v>17444.83</v>
      </c>
      <c r="D2060" s="48" t="n">
        <v>1695.68</v>
      </c>
      <c r="E2060" s="49" t="n">
        <f aca="false">D2060-cover</f>
        <v>1694.48</v>
      </c>
      <c r="F2060" s="50" t="n">
        <f aca="false">'Z6 Nkangamo-Uhuru'!S18-'Z6 Nkangamo-Uhuru'!P18*C2060/'Z6 Nkangamo-Uhuru'!G18</f>
        <v>1711.05518566972</v>
      </c>
      <c r="G2060" s="51" t="n">
        <f aca="false">'Z6 Nkangamo-Uhuru'!$B$8-E2060</f>
        <v>12.02</v>
      </c>
      <c r="H2060" s="52" t="n">
        <f aca="false">F2060-E2060</f>
        <v>16.5751856697218</v>
      </c>
      <c r="I2060" s="52" t="n">
        <f aca="false">MAX(H2060,G2060)</f>
        <v>16.5751856697218</v>
      </c>
      <c r="J2060" s="4" t="str">
        <f aca="false">IFERROR("PN"&amp;SMALL(PN_list,COUNTIF(PN_list,"&lt;"&amp;I2060*bar_per_m)+1),"&gt; max PN")</f>
        <v>PN10</v>
      </c>
      <c r="K2060" s="4" t="str">
        <f aca="false">IF(L2060="no","end at tank",IF(H2060&lt;0,"NEGATIVE",IF(H2060&lt;p_min-0.005,"low","OK")))</f>
        <v>OK</v>
      </c>
      <c r="L2060" s="4" t="s">
        <v>414</v>
      </c>
    </row>
    <row r="2061" customFormat="false" ht="15" hidden="false" customHeight="false" outlineLevel="0" collapsed="false">
      <c r="A2061" s="4" t="s">
        <v>44</v>
      </c>
      <c r="B2061" s="4" t="s">
        <v>373</v>
      </c>
      <c r="C2061" s="47" t="n">
        <v>17464.83</v>
      </c>
      <c r="D2061" s="48" t="n">
        <v>1695.6</v>
      </c>
      <c r="E2061" s="49" t="n">
        <f aca="false">D2061-cover</f>
        <v>1694.4</v>
      </c>
      <c r="F2061" s="50" t="n">
        <f aca="false">'Z6 Nkangamo-Uhuru'!S18-'Z6 Nkangamo-Uhuru'!P18*C2061/'Z6 Nkangamo-Uhuru'!G18</f>
        <v>1711.02403236678</v>
      </c>
      <c r="G2061" s="51" t="n">
        <f aca="false">'Z6 Nkangamo-Uhuru'!$B$8-E2061</f>
        <v>12.1000000000001</v>
      </c>
      <c r="H2061" s="52" t="n">
        <f aca="false">F2061-E2061</f>
        <v>16.6240323667753</v>
      </c>
      <c r="I2061" s="52" t="n">
        <f aca="false">MAX(H2061,G2061)</f>
        <v>16.6240323667753</v>
      </c>
      <c r="J2061" s="4" t="str">
        <f aca="false">IFERROR("PN"&amp;SMALL(PN_list,COUNTIF(PN_list,"&lt;"&amp;I2061*bar_per_m)+1),"&gt; max PN")</f>
        <v>PN10</v>
      </c>
      <c r="K2061" s="4" t="str">
        <f aca="false">IF(L2061="no","end at tank",IF(H2061&lt;0,"NEGATIVE",IF(H2061&lt;p_min-0.005,"low","OK")))</f>
        <v>OK</v>
      </c>
      <c r="L2061" s="4" t="s">
        <v>414</v>
      </c>
    </row>
    <row r="2062" customFormat="false" ht="15" hidden="false" customHeight="false" outlineLevel="0" collapsed="false">
      <c r="A2062" s="4" t="s">
        <v>44</v>
      </c>
      <c r="B2062" s="4" t="s">
        <v>373</v>
      </c>
      <c r="C2062" s="47" t="n">
        <v>17484.83</v>
      </c>
      <c r="D2062" s="48" t="n">
        <v>1695.51</v>
      </c>
      <c r="E2062" s="49" t="n">
        <f aca="false">D2062-cover</f>
        <v>1694.31</v>
      </c>
      <c r="F2062" s="50" t="n">
        <f aca="false">'Z6 Nkangamo-Uhuru'!S18-'Z6 Nkangamo-Uhuru'!P18*C2062/'Z6 Nkangamo-Uhuru'!G18</f>
        <v>1710.99287906383</v>
      </c>
      <c r="G2062" s="51" t="n">
        <f aca="false">'Z6 Nkangamo-Uhuru'!$B$8-E2062</f>
        <v>12.1900000000001</v>
      </c>
      <c r="H2062" s="52" t="n">
        <f aca="false">F2062-E2062</f>
        <v>16.6828790638283</v>
      </c>
      <c r="I2062" s="52" t="n">
        <f aca="false">MAX(H2062,G2062)</f>
        <v>16.6828790638283</v>
      </c>
      <c r="J2062" s="4" t="str">
        <f aca="false">IFERROR("PN"&amp;SMALL(PN_list,COUNTIF(PN_list,"&lt;"&amp;I2062*bar_per_m)+1),"&gt; max PN")</f>
        <v>PN10</v>
      </c>
      <c r="K2062" s="4" t="str">
        <f aca="false">IF(L2062="no","end at tank",IF(H2062&lt;0,"NEGATIVE",IF(H2062&lt;p_min-0.005,"low","OK")))</f>
        <v>OK</v>
      </c>
      <c r="L2062" s="4" t="s">
        <v>414</v>
      </c>
    </row>
    <row r="2063" customFormat="false" ht="15" hidden="false" customHeight="false" outlineLevel="0" collapsed="false">
      <c r="A2063" s="4" t="s">
        <v>44</v>
      </c>
      <c r="B2063" s="4" t="s">
        <v>373</v>
      </c>
      <c r="C2063" s="47" t="n">
        <v>17504.83</v>
      </c>
      <c r="D2063" s="48" t="n">
        <v>1695.89</v>
      </c>
      <c r="E2063" s="49" t="n">
        <f aca="false">D2063-cover</f>
        <v>1694.69</v>
      </c>
      <c r="F2063" s="50" t="n">
        <f aca="false">'Z6 Nkangamo-Uhuru'!S18-'Z6 Nkangamo-Uhuru'!P18*C2063/'Z6 Nkangamo-Uhuru'!G18</f>
        <v>1710.96172576088</v>
      </c>
      <c r="G2063" s="51" t="n">
        <f aca="false">'Z6 Nkangamo-Uhuru'!$B$8-E2063</f>
        <v>11.8099999999999</v>
      </c>
      <c r="H2063" s="52" t="n">
        <f aca="false">F2063-E2063</f>
        <v>16.2717257608813</v>
      </c>
      <c r="I2063" s="52" t="n">
        <f aca="false">MAX(H2063,G2063)</f>
        <v>16.2717257608813</v>
      </c>
      <c r="J2063" s="4" t="str">
        <f aca="false">IFERROR("PN"&amp;SMALL(PN_list,COUNTIF(PN_list,"&lt;"&amp;I2063*bar_per_m)+1),"&gt; max PN")</f>
        <v>PN10</v>
      </c>
      <c r="K2063" s="4" t="str">
        <f aca="false">IF(L2063="no","end at tank",IF(H2063&lt;0,"NEGATIVE",IF(H2063&lt;p_min-0.005,"low","OK")))</f>
        <v>OK</v>
      </c>
      <c r="L2063" s="4" t="s">
        <v>414</v>
      </c>
    </row>
    <row r="2064" customFormat="false" ht="15" hidden="false" customHeight="false" outlineLevel="0" collapsed="false">
      <c r="A2064" s="4" t="s">
        <v>44</v>
      </c>
      <c r="B2064" s="4" t="s">
        <v>373</v>
      </c>
      <c r="C2064" s="47" t="n">
        <v>17524.84</v>
      </c>
      <c r="D2064" s="48" t="n">
        <v>1695.7</v>
      </c>
      <c r="E2064" s="49" t="n">
        <f aca="false">D2064-cover</f>
        <v>1694.5</v>
      </c>
      <c r="F2064" s="50" t="n">
        <f aca="false">'Z6 Nkangamo-Uhuru'!S18-'Z6 Nkangamo-Uhuru'!P18*C2064/'Z6 Nkangamo-Uhuru'!G18</f>
        <v>1710.93055688128</v>
      </c>
      <c r="G2064" s="51" t="n">
        <f aca="false">'Z6 Nkangamo-Uhuru'!$B$8-E2064</f>
        <v>12</v>
      </c>
      <c r="H2064" s="52" t="n">
        <f aca="false">F2064-E2064</f>
        <v>16.4305568812831</v>
      </c>
      <c r="I2064" s="52" t="n">
        <f aca="false">MAX(H2064,G2064)</f>
        <v>16.4305568812831</v>
      </c>
      <c r="J2064" s="4" t="str">
        <f aca="false">IFERROR("PN"&amp;SMALL(PN_list,COUNTIF(PN_list,"&lt;"&amp;I2064*bar_per_m)+1),"&gt; max PN")</f>
        <v>PN10</v>
      </c>
      <c r="K2064" s="4" t="str">
        <f aca="false">IF(L2064="no","end at tank",IF(H2064&lt;0,"NEGATIVE",IF(H2064&lt;p_min-0.005,"low","OK")))</f>
        <v>OK</v>
      </c>
      <c r="L2064" s="4" t="s">
        <v>414</v>
      </c>
    </row>
    <row r="2065" customFormat="false" ht="15" hidden="false" customHeight="false" outlineLevel="0" collapsed="false">
      <c r="A2065" s="4" t="s">
        <v>44</v>
      </c>
      <c r="B2065" s="4" t="s">
        <v>373</v>
      </c>
      <c r="C2065" s="47" t="n">
        <v>17544.84</v>
      </c>
      <c r="D2065" s="48" t="n">
        <v>1695.59</v>
      </c>
      <c r="E2065" s="49" t="n">
        <f aca="false">D2065-cover</f>
        <v>1694.39</v>
      </c>
      <c r="F2065" s="50" t="n">
        <f aca="false">'Z6 Nkangamo-Uhuru'!S18-'Z6 Nkangamo-Uhuru'!P18*C2065/'Z6 Nkangamo-Uhuru'!G18</f>
        <v>1710.89940357834</v>
      </c>
      <c r="G2065" s="51" t="n">
        <f aca="false">'Z6 Nkangamo-Uhuru'!$B$8-E2065</f>
        <v>12.1100000000001</v>
      </c>
      <c r="H2065" s="52" t="n">
        <f aca="false">F2065-E2065</f>
        <v>16.5094035783363</v>
      </c>
      <c r="I2065" s="52" t="n">
        <f aca="false">MAX(H2065,G2065)</f>
        <v>16.5094035783363</v>
      </c>
      <c r="J2065" s="4" t="str">
        <f aca="false">IFERROR("PN"&amp;SMALL(PN_list,COUNTIF(PN_list,"&lt;"&amp;I2065*bar_per_m)+1),"&gt; max PN")</f>
        <v>PN10</v>
      </c>
      <c r="K2065" s="4" t="str">
        <f aca="false">IF(L2065="no","end at tank",IF(H2065&lt;0,"NEGATIVE",IF(H2065&lt;p_min-0.005,"low","OK")))</f>
        <v>OK</v>
      </c>
      <c r="L2065" s="4" t="s">
        <v>414</v>
      </c>
    </row>
    <row r="2066" customFormat="false" ht="15" hidden="false" customHeight="false" outlineLevel="0" collapsed="false">
      <c r="A2066" s="4" t="s">
        <v>44</v>
      </c>
      <c r="B2066" s="4" t="s">
        <v>373</v>
      </c>
      <c r="C2066" s="47" t="n">
        <v>17564.84</v>
      </c>
      <c r="D2066" s="48" t="n">
        <v>1695.77</v>
      </c>
      <c r="E2066" s="49" t="n">
        <f aca="false">D2066-cover</f>
        <v>1694.57</v>
      </c>
      <c r="F2066" s="50" t="n">
        <f aca="false">'Z6 Nkangamo-Uhuru'!S18-'Z6 Nkangamo-Uhuru'!P18*C2066/'Z6 Nkangamo-Uhuru'!G18</f>
        <v>1710.86825027539</v>
      </c>
      <c r="G2066" s="51" t="n">
        <f aca="false">'Z6 Nkangamo-Uhuru'!$B$8-E2066</f>
        <v>11.9300000000001</v>
      </c>
      <c r="H2066" s="52" t="n">
        <f aca="false">F2066-E2066</f>
        <v>16.2982502753896</v>
      </c>
      <c r="I2066" s="52" t="n">
        <f aca="false">MAX(H2066,G2066)</f>
        <v>16.2982502753896</v>
      </c>
      <c r="J2066" s="4" t="str">
        <f aca="false">IFERROR("PN"&amp;SMALL(PN_list,COUNTIF(PN_list,"&lt;"&amp;I2066*bar_per_m)+1),"&gt; max PN")</f>
        <v>PN10</v>
      </c>
      <c r="K2066" s="4" t="str">
        <f aca="false">IF(L2066="no","end at tank",IF(H2066&lt;0,"NEGATIVE",IF(H2066&lt;p_min-0.005,"low","OK")))</f>
        <v>OK</v>
      </c>
      <c r="L2066" s="4" t="s">
        <v>414</v>
      </c>
    </row>
    <row r="2067" customFormat="false" ht="15" hidden="false" customHeight="false" outlineLevel="0" collapsed="false">
      <c r="A2067" s="4" t="s">
        <v>44</v>
      </c>
      <c r="B2067" s="4" t="s">
        <v>373</v>
      </c>
      <c r="C2067" s="47" t="n">
        <v>17584.84</v>
      </c>
      <c r="D2067" s="48" t="n">
        <v>1695.67</v>
      </c>
      <c r="E2067" s="49" t="n">
        <f aca="false">D2067-cover</f>
        <v>1694.47</v>
      </c>
      <c r="F2067" s="50" t="n">
        <f aca="false">'Z6 Nkangamo-Uhuru'!S18-'Z6 Nkangamo-Uhuru'!P18*C2067/'Z6 Nkangamo-Uhuru'!G18</f>
        <v>1710.83709697244</v>
      </c>
      <c r="G2067" s="51" t="n">
        <f aca="false">'Z6 Nkangamo-Uhuru'!$B$8-E2067</f>
        <v>12.03</v>
      </c>
      <c r="H2067" s="52" t="n">
        <f aca="false">F2067-E2067</f>
        <v>16.3670969724426</v>
      </c>
      <c r="I2067" s="52" t="n">
        <f aca="false">MAX(H2067,G2067)</f>
        <v>16.3670969724426</v>
      </c>
      <c r="J2067" s="4" t="str">
        <f aca="false">IFERROR("PN"&amp;SMALL(PN_list,COUNTIF(PN_list,"&lt;"&amp;I2067*bar_per_m)+1),"&gt; max PN")</f>
        <v>PN10</v>
      </c>
      <c r="K2067" s="4" t="str">
        <f aca="false">IF(L2067="no","end at tank",IF(H2067&lt;0,"NEGATIVE",IF(H2067&lt;p_min-0.005,"low","OK")))</f>
        <v>OK</v>
      </c>
      <c r="L2067" s="4" t="s">
        <v>414</v>
      </c>
    </row>
    <row r="2068" customFormat="false" ht="15" hidden="false" customHeight="false" outlineLevel="0" collapsed="false">
      <c r="A2068" s="4" t="s">
        <v>44</v>
      </c>
      <c r="B2068" s="4" t="s">
        <v>373</v>
      </c>
      <c r="C2068" s="47" t="n">
        <v>17604.84</v>
      </c>
      <c r="D2068" s="48" t="n">
        <v>1695.97</v>
      </c>
      <c r="E2068" s="49" t="n">
        <f aca="false">D2068-cover</f>
        <v>1694.77</v>
      </c>
      <c r="F2068" s="50" t="n">
        <f aca="false">'Z6 Nkangamo-Uhuru'!S18-'Z6 Nkangamo-Uhuru'!P18*C2068/'Z6 Nkangamo-Uhuru'!G18</f>
        <v>1710.8059436695</v>
      </c>
      <c r="G2068" s="51" t="n">
        <f aca="false">'Z6 Nkangamo-Uhuru'!$B$8-E2068</f>
        <v>11.73</v>
      </c>
      <c r="H2068" s="52" t="n">
        <f aca="false">F2068-E2068</f>
        <v>16.0359436694957</v>
      </c>
      <c r="I2068" s="52" t="n">
        <f aca="false">MAX(H2068,G2068)</f>
        <v>16.0359436694957</v>
      </c>
      <c r="J2068" s="4" t="str">
        <f aca="false">IFERROR("PN"&amp;SMALL(PN_list,COUNTIF(PN_list,"&lt;"&amp;I2068*bar_per_m)+1),"&gt; max PN")</f>
        <v>PN10</v>
      </c>
      <c r="K2068" s="4" t="str">
        <f aca="false">IF(L2068="no","end at tank",IF(H2068&lt;0,"NEGATIVE",IF(H2068&lt;p_min-0.005,"low","OK")))</f>
        <v>OK</v>
      </c>
      <c r="L2068" s="4" t="s">
        <v>414</v>
      </c>
    </row>
    <row r="2069" customFormat="false" ht="15" hidden="false" customHeight="false" outlineLevel="0" collapsed="false">
      <c r="A2069" s="4" t="s">
        <v>44</v>
      </c>
      <c r="B2069" s="4" t="s">
        <v>373</v>
      </c>
      <c r="C2069" s="47" t="n">
        <v>17624.84</v>
      </c>
      <c r="D2069" s="48" t="n">
        <v>1696.3</v>
      </c>
      <c r="E2069" s="49" t="n">
        <f aca="false">D2069-cover</f>
        <v>1695.1</v>
      </c>
      <c r="F2069" s="50" t="n">
        <f aca="false">'Z6 Nkangamo-Uhuru'!S18-'Z6 Nkangamo-Uhuru'!P18*C2069/'Z6 Nkangamo-Uhuru'!G18</f>
        <v>1710.77479036655</v>
      </c>
      <c r="G2069" s="51" t="n">
        <f aca="false">'Z6 Nkangamo-Uhuru'!$B$8-E2069</f>
        <v>11.4000000000001</v>
      </c>
      <c r="H2069" s="52" t="n">
        <f aca="false">F2069-E2069</f>
        <v>15.6747903665491</v>
      </c>
      <c r="I2069" s="52" t="n">
        <f aca="false">MAX(H2069,G2069)</f>
        <v>15.6747903665491</v>
      </c>
      <c r="J2069" s="4" t="str">
        <f aca="false">IFERROR("PN"&amp;SMALL(PN_list,COUNTIF(PN_list,"&lt;"&amp;I2069*bar_per_m)+1),"&gt; max PN")</f>
        <v>PN10</v>
      </c>
      <c r="K2069" s="4" t="str">
        <f aca="false">IF(L2069="no","end at tank",IF(H2069&lt;0,"NEGATIVE",IF(H2069&lt;p_min-0.005,"low","OK")))</f>
        <v>OK</v>
      </c>
      <c r="L2069" s="4" t="s">
        <v>414</v>
      </c>
    </row>
    <row r="2070" customFormat="false" ht="15" hidden="false" customHeight="false" outlineLevel="0" collapsed="false">
      <c r="A2070" s="4" t="s">
        <v>44</v>
      </c>
      <c r="B2070" s="4" t="s">
        <v>373</v>
      </c>
      <c r="C2070" s="47" t="n">
        <v>17644.84</v>
      </c>
      <c r="D2070" s="48" t="n">
        <v>1696.01</v>
      </c>
      <c r="E2070" s="49" t="n">
        <f aca="false">D2070-cover</f>
        <v>1694.81</v>
      </c>
      <c r="F2070" s="50" t="n">
        <f aca="false">'Z6 Nkangamo-Uhuru'!S18-'Z6 Nkangamo-Uhuru'!P18*C2070/'Z6 Nkangamo-Uhuru'!G18</f>
        <v>1710.7436370636</v>
      </c>
      <c r="G2070" s="51" t="n">
        <f aca="false">'Z6 Nkangamo-Uhuru'!$B$8-E2070</f>
        <v>11.6900000000001</v>
      </c>
      <c r="H2070" s="52" t="n">
        <f aca="false">F2070-E2070</f>
        <v>15.9336370636022</v>
      </c>
      <c r="I2070" s="52" t="n">
        <f aca="false">MAX(H2070,G2070)</f>
        <v>15.9336370636022</v>
      </c>
      <c r="J2070" s="4" t="str">
        <f aca="false">IFERROR("PN"&amp;SMALL(PN_list,COUNTIF(PN_list,"&lt;"&amp;I2070*bar_per_m)+1),"&gt; max PN")</f>
        <v>PN10</v>
      </c>
      <c r="K2070" s="4" t="str">
        <f aca="false">IF(L2070="no","end at tank",IF(H2070&lt;0,"NEGATIVE",IF(H2070&lt;p_min-0.005,"low","OK")))</f>
        <v>OK</v>
      </c>
      <c r="L2070" s="4" t="s">
        <v>414</v>
      </c>
    </row>
    <row r="2071" customFormat="false" ht="15" hidden="false" customHeight="false" outlineLevel="0" collapsed="false">
      <c r="A2071" s="4" t="s">
        <v>44</v>
      </c>
      <c r="B2071" s="4" t="s">
        <v>373</v>
      </c>
      <c r="C2071" s="47" t="n">
        <v>17664.85</v>
      </c>
      <c r="D2071" s="48" t="n">
        <v>1696.3</v>
      </c>
      <c r="E2071" s="49" t="n">
        <f aca="false">D2071-cover</f>
        <v>1695.1</v>
      </c>
      <c r="F2071" s="50" t="n">
        <f aca="false">'Z6 Nkangamo-Uhuru'!S18-'Z6 Nkangamo-Uhuru'!P18*C2071/'Z6 Nkangamo-Uhuru'!G18</f>
        <v>1710.712468184</v>
      </c>
      <c r="G2071" s="51" t="n">
        <f aca="false">'Z6 Nkangamo-Uhuru'!$B$8-E2071</f>
        <v>11.4000000000001</v>
      </c>
      <c r="H2071" s="52" t="n">
        <f aca="false">F2071-E2071</f>
        <v>15.612468184004</v>
      </c>
      <c r="I2071" s="52" t="n">
        <f aca="false">MAX(H2071,G2071)</f>
        <v>15.612468184004</v>
      </c>
      <c r="J2071" s="4" t="str">
        <f aca="false">IFERROR("PN"&amp;SMALL(PN_list,COUNTIF(PN_list,"&lt;"&amp;I2071*bar_per_m)+1),"&gt; max PN")</f>
        <v>PN10</v>
      </c>
      <c r="K2071" s="4" t="str">
        <f aca="false">IF(L2071="no","end at tank",IF(H2071&lt;0,"NEGATIVE",IF(H2071&lt;p_min-0.005,"low","OK")))</f>
        <v>OK</v>
      </c>
      <c r="L2071" s="4" t="s">
        <v>414</v>
      </c>
    </row>
    <row r="2072" customFormat="false" ht="15" hidden="false" customHeight="false" outlineLevel="0" collapsed="false">
      <c r="A2072" s="4" t="s">
        <v>44</v>
      </c>
      <c r="B2072" s="4" t="s">
        <v>373</v>
      </c>
      <c r="C2072" s="47" t="n">
        <v>17684.85</v>
      </c>
      <c r="D2072" s="48" t="n">
        <v>1696.06</v>
      </c>
      <c r="E2072" s="49" t="n">
        <f aca="false">D2072-cover</f>
        <v>1694.86</v>
      </c>
      <c r="F2072" s="50" t="n">
        <f aca="false">'Z6 Nkangamo-Uhuru'!S18-'Z6 Nkangamo-Uhuru'!P18*C2072/'Z6 Nkangamo-Uhuru'!G18</f>
        <v>1710.68131488106</v>
      </c>
      <c r="G2072" s="51" t="n">
        <f aca="false">'Z6 Nkangamo-Uhuru'!$B$8-E2072</f>
        <v>11.6400000000001</v>
      </c>
      <c r="H2072" s="52" t="n">
        <f aca="false">F2072-E2072</f>
        <v>15.8213148810571</v>
      </c>
      <c r="I2072" s="52" t="n">
        <f aca="false">MAX(H2072,G2072)</f>
        <v>15.8213148810571</v>
      </c>
      <c r="J2072" s="4" t="str">
        <f aca="false">IFERROR("PN"&amp;SMALL(PN_list,COUNTIF(PN_list,"&lt;"&amp;I2072*bar_per_m)+1),"&gt; max PN")</f>
        <v>PN10</v>
      </c>
      <c r="K2072" s="4" t="str">
        <f aca="false">IF(L2072="no","end at tank",IF(H2072&lt;0,"NEGATIVE",IF(H2072&lt;p_min-0.005,"low","OK")))</f>
        <v>OK</v>
      </c>
      <c r="L2072" s="4" t="s">
        <v>414</v>
      </c>
    </row>
    <row r="2073" customFormat="false" ht="15" hidden="false" customHeight="false" outlineLevel="0" collapsed="false">
      <c r="A2073" s="4" t="s">
        <v>44</v>
      </c>
      <c r="B2073" s="4" t="s">
        <v>373</v>
      </c>
      <c r="C2073" s="47" t="n">
        <v>17704.85</v>
      </c>
      <c r="D2073" s="48" t="n">
        <v>1695.92</v>
      </c>
      <c r="E2073" s="49" t="n">
        <f aca="false">D2073-cover</f>
        <v>1694.72</v>
      </c>
      <c r="F2073" s="50" t="n">
        <f aca="false">'Z6 Nkangamo-Uhuru'!S18-'Z6 Nkangamo-Uhuru'!P18*C2073/'Z6 Nkangamo-Uhuru'!G18</f>
        <v>1710.65016157811</v>
      </c>
      <c r="G2073" s="51" t="n">
        <f aca="false">'Z6 Nkangamo-Uhuru'!$B$8-E2073</f>
        <v>11.78</v>
      </c>
      <c r="H2073" s="52" t="n">
        <f aca="false">F2073-E2073</f>
        <v>15.9301615781101</v>
      </c>
      <c r="I2073" s="52" t="n">
        <f aca="false">MAX(H2073,G2073)</f>
        <v>15.9301615781101</v>
      </c>
      <c r="J2073" s="4" t="str">
        <f aca="false">IFERROR("PN"&amp;SMALL(PN_list,COUNTIF(PN_list,"&lt;"&amp;I2073*bar_per_m)+1),"&gt; max PN")</f>
        <v>PN10</v>
      </c>
      <c r="K2073" s="4" t="str">
        <f aca="false">IF(L2073="no","end at tank",IF(H2073&lt;0,"NEGATIVE",IF(H2073&lt;p_min-0.005,"low","OK")))</f>
        <v>OK</v>
      </c>
      <c r="L2073" s="4" t="s">
        <v>414</v>
      </c>
    </row>
    <row r="2074" customFormat="false" ht="15" hidden="false" customHeight="false" outlineLevel="0" collapsed="false">
      <c r="A2074" s="4" t="s">
        <v>44</v>
      </c>
      <c r="B2074" s="4" t="s">
        <v>373</v>
      </c>
      <c r="C2074" s="47" t="n">
        <v>17724.85</v>
      </c>
      <c r="D2074" s="48" t="n">
        <v>1695.95</v>
      </c>
      <c r="E2074" s="49" t="n">
        <f aca="false">D2074-cover</f>
        <v>1694.75</v>
      </c>
      <c r="F2074" s="50" t="n">
        <f aca="false">'Z6 Nkangamo-Uhuru'!S18-'Z6 Nkangamo-Uhuru'!P18*C2074/'Z6 Nkangamo-Uhuru'!G18</f>
        <v>1710.61900827516</v>
      </c>
      <c r="G2074" s="51" t="n">
        <f aca="false">'Z6 Nkangamo-Uhuru'!$B$8-E2074</f>
        <v>11.75</v>
      </c>
      <c r="H2074" s="52" t="n">
        <f aca="false">F2074-E2074</f>
        <v>15.8690082751634</v>
      </c>
      <c r="I2074" s="52" t="n">
        <f aca="false">MAX(H2074,G2074)</f>
        <v>15.8690082751634</v>
      </c>
      <c r="J2074" s="4" t="str">
        <f aca="false">IFERROR("PN"&amp;SMALL(PN_list,COUNTIF(PN_list,"&lt;"&amp;I2074*bar_per_m)+1),"&gt; max PN")</f>
        <v>PN10</v>
      </c>
      <c r="K2074" s="4" t="str">
        <f aca="false">IF(L2074="no","end at tank",IF(H2074&lt;0,"NEGATIVE",IF(H2074&lt;p_min-0.005,"low","OK")))</f>
        <v>OK</v>
      </c>
      <c r="L2074" s="4" t="s">
        <v>414</v>
      </c>
    </row>
    <row r="2075" customFormat="false" ht="15" hidden="false" customHeight="false" outlineLevel="0" collapsed="false">
      <c r="A2075" s="4" t="s">
        <v>44</v>
      </c>
      <c r="B2075" s="4" t="s">
        <v>373</v>
      </c>
      <c r="C2075" s="47" t="n">
        <v>17744.85</v>
      </c>
      <c r="D2075" s="48" t="n">
        <v>1695.95</v>
      </c>
      <c r="E2075" s="49" t="n">
        <f aca="false">D2075-cover</f>
        <v>1694.75</v>
      </c>
      <c r="F2075" s="50" t="n">
        <f aca="false">'Z6 Nkangamo-Uhuru'!S18-'Z6 Nkangamo-Uhuru'!P18*C2075/'Z6 Nkangamo-Uhuru'!G18</f>
        <v>1710.58785497222</v>
      </c>
      <c r="G2075" s="51" t="n">
        <f aca="false">'Z6 Nkangamo-Uhuru'!$B$8-E2075</f>
        <v>11.75</v>
      </c>
      <c r="H2075" s="52" t="n">
        <f aca="false">F2075-E2075</f>
        <v>15.8378549722165</v>
      </c>
      <c r="I2075" s="52" t="n">
        <f aca="false">MAX(H2075,G2075)</f>
        <v>15.8378549722165</v>
      </c>
      <c r="J2075" s="4" t="str">
        <f aca="false">IFERROR("PN"&amp;SMALL(PN_list,COUNTIF(PN_list,"&lt;"&amp;I2075*bar_per_m)+1),"&gt; max PN")</f>
        <v>PN10</v>
      </c>
      <c r="K2075" s="4" t="str">
        <f aca="false">IF(L2075="no","end at tank",IF(H2075&lt;0,"NEGATIVE",IF(H2075&lt;p_min-0.005,"low","OK")))</f>
        <v>OK</v>
      </c>
      <c r="L2075" s="4" t="s">
        <v>414</v>
      </c>
    </row>
    <row r="2076" customFormat="false" ht="15" hidden="false" customHeight="false" outlineLevel="0" collapsed="false">
      <c r="A2076" s="4" t="s">
        <v>44</v>
      </c>
      <c r="B2076" s="4" t="s">
        <v>373</v>
      </c>
      <c r="C2076" s="47" t="n">
        <v>17764.86</v>
      </c>
      <c r="D2076" s="48" t="n">
        <v>1695.8</v>
      </c>
      <c r="E2076" s="49" t="n">
        <f aca="false">D2076-cover</f>
        <v>1694.6</v>
      </c>
      <c r="F2076" s="50" t="n">
        <f aca="false">'Z6 Nkangamo-Uhuru'!S18-'Z6 Nkangamo-Uhuru'!P18*C2076/'Z6 Nkangamo-Uhuru'!G18</f>
        <v>1710.55668609262</v>
      </c>
      <c r="G2076" s="51" t="n">
        <f aca="false">'Z6 Nkangamo-Uhuru'!$B$8-E2076</f>
        <v>11.9000000000001</v>
      </c>
      <c r="H2076" s="52" t="n">
        <f aca="false">F2076-E2076</f>
        <v>15.9566860926184</v>
      </c>
      <c r="I2076" s="52" t="n">
        <f aca="false">MAX(H2076,G2076)</f>
        <v>15.9566860926184</v>
      </c>
      <c r="J2076" s="4" t="str">
        <f aca="false">IFERROR("PN"&amp;SMALL(PN_list,COUNTIF(PN_list,"&lt;"&amp;I2076*bar_per_m)+1),"&gt; max PN")</f>
        <v>PN10</v>
      </c>
      <c r="K2076" s="4" t="str">
        <f aca="false">IF(L2076="no","end at tank",IF(H2076&lt;0,"NEGATIVE",IF(H2076&lt;p_min-0.005,"low","OK")))</f>
        <v>OK</v>
      </c>
      <c r="L2076" s="4" t="s">
        <v>414</v>
      </c>
    </row>
    <row r="2077" customFormat="false" ht="15" hidden="false" customHeight="false" outlineLevel="0" collapsed="false">
      <c r="A2077" s="4" t="s">
        <v>44</v>
      </c>
      <c r="B2077" s="4" t="s">
        <v>373</v>
      </c>
      <c r="C2077" s="47" t="n">
        <v>17784.87</v>
      </c>
      <c r="D2077" s="48" t="n">
        <v>1696.37</v>
      </c>
      <c r="E2077" s="49" t="n">
        <f aca="false">D2077-cover</f>
        <v>1695.17</v>
      </c>
      <c r="F2077" s="50" t="n">
        <f aca="false">'Z6 Nkangamo-Uhuru'!S18-'Z6 Nkangamo-Uhuru'!P18*C2077/'Z6 Nkangamo-Uhuru'!G18</f>
        <v>1710.52551721302</v>
      </c>
      <c r="G2077" s="51" t="n">
        <f aca="false">'Z6 Nkangamo-Uhuru'!$B$8-E2077</f>
        <v>11.3300000000002</v>
      </c>
      <c r="H2077" s="52" t="n">
        <f aca="false">F2077-E2077</f>
        <v>15.35551721302</v>
      </c>
      <c r="I2077" s="52" t="n">
        <f aca="false">MAX(H2077,G2077)</f>
        <v>15.35551721302</v>
      </c>
      <c r="J2077" s="4" t="str">
        <f aca="false">IFERROR("PN"&amp;SMALL(PN_list,COUNTIF(PN_list,"&lt;"&amp;I2077*bar_per_m)+1),"&gt; max PN")</f>
        <v>PN10</v>
      </c>
      <c r="K2077" s="4" t="str">
        <f aca="false">IF(L2077="no","end at tank",IF(H2077&lt;0,"NEGATIVE",IF(H2077&lt;p_min-0.005,"low","OK")))</f>
        <v>OK</v>
      </c>
      <c r="L2077" s="4" t="s">
        <v>414</v>
      </c>
    </row>
    <row r="2078" customFormat="false" ht="15" hidden="false" customHeight="false" outlineLevel="0" collapsed="false">
      <c r="A2078" s="4" t="s">
        <v>44</v>
      </c>
      <c r="B2078" s="4" t="s">
        <v>373</v>
      </c>
      <c r="C2078" s="47" t="n">
        <v>17804.88</v>
      </c>
      <c r="D2078" s="48" t="n">
        <v>1695.56</v>
      </c>
      <c r="E2078" s="49" t="n">
        <f aca="false">D2078-cover</f>
        <v>1694.36</v>
      </c>
      <c r="F2078" s="50" t="n">
        <f aca="false">'Z6 Nkangamo-Uhuru'!S18-'Z6 Nkangamo-Uhuru'!P18*C2078/'Z6 Nkangamo-Uhuru'!G18</f>
        <v>1710.49434833342</v>
      </c>
      <c r="G2078" s="51" t="n">
        <f aca="false">'Z6 Nkangamo-Uhuru'!$B$8-E2078</f>
        <v>12.1400000000001</v>
      </c>
      <c r="H2078" s="52" t="n">
        <f aca="false">F2078-E2078</f>
        <v>16.1343483334217</v>
      </c>
      <c r="I2078" s="52" t="n">
        <f aca="false">MAX(H2078,G2078)</f>
        <v>16.1343483334217</v>
      </c>
      <c r="J2078" s="4" t="str">
        <f aca="false">IFERROR("PN"&amp;SMALL(PN_list,COUNTIF(PN_list,"&lt;"&amp;I2078*bar_per_m)+1),"&gt; max PN")</f>
        <v>PN10</v>
      </c>
      <c r="K2078" s="4" t="str">
        <f aca="false">IF(L2078="no","end at tank",IF(H2078&lt;0,"NEGATIVE",IF(H2078&lt;p_min-0.005,"low","OK")))</f>
        <v>OK</v>
      </c>
      <c r="L2078" s="4" t="s">
        <v>414</v>
      </c>
    </row>
    <row r="2079" customFormat="false" ht="15" hidden="false" customHeight="false" outlineLevel="0" collapsed="false">
      <c r="A2079" s="4" t="s">
        <v>44</v>
      </c>
      <c r="B2079" s="4" t="s">
        <v>373</v>
      </c>
      <c r="C2079" s="47" t="n">
        <v>17824.88</v>
      </c>
      <c r="D2079" s="48" t="n">
        <v>1695.53</v>
      </c>
      <c r="E2079" s="49" t="n">
        <f aca="false">D2079-cover</f>
        <v>1694.33</v>
      </c>
      <c r="F2079" s="50" t="n">
        <f aca="false">'Z6 Nkangamo-Uhuru'!S18-'Z6 Nkangamo-Uhuru'!P18*C2079/'Z6 Nkangamo-Uhuru'!G18</f>
        <v>1710.46319503047</v>
      </c>
      <c r="G2079" s="51" t="n">
        <f aca="false">'Z6 Nkangamo-Uhuru'!$B$8-E2079</f>
        <v>12.1700000000001</v>
      </c>
      <c r="H2079" s="52" t="n">
        <f aca="false">F2079-E2079</f>
        <v>16.1331950304748</v>
      </c>
      <c r="I2079" s="52" t="n">
        <f aca="false">MAX(H2079,G2079)</f>
        <v>16.1331950304748</v>
      </c>
      <c r="J2079" s="4" t="str">
        <f aca="false">IFERROR("PN"&amp;SMALL(PN_list,COUNTIF(PN_list,"&lt;"&amp;I2079*bar_per_m)+1),"&gt; max PN")</f>
        <v>PN10</v>
      </c>
      <c r="K2079" s="4" t="str">
        <f aca="false">IF(L2079="no","end at tank",IF(H2079&lt;0,"NEGATIVE",IF(H2079&lt;p_min-0.005,"low","OK")))</f>
        <v>OK</v>
      </c>
      <c r="L2079" s="4" t="s">
        <v>414</v>
      </c>
    </row>
    <row r="2080" customFormat="false" ht="15" hidden="false" customHeight="false" outlineLevel="0" collapsed="false">
      <c r="A2080" s="4" t="s">
        <v>44</v>
      </c>
      <c r="B2080" s="4" t="s">
        <v>373</v>
      </c>
      <c r="C2080" s="47" t="n">
        <v>17844.88</v>
      </c>
      <c r="D2080" s="48" t="n">
        <v>1695.53</v>
      </c>
      <c r="E2080" s="49" t="n">
        <f aca="false">D2080-cover</f>
        <v>1694.33</v>
      </c>
      <c r="F2080" s="50" t="n">
        <f aca="false">'Z6 Nkangamo-Uhuru'!S18-'Z6 Nkangamo-Uhuru'!P18*C2080/'Z6 Nkangamo-Uhuru'!G18</f>
        <v>1710.43204172753</v>
      </c>
      <c r="G2080" s="51" t="n">
        <f aca="false">'Z6 Nkangamo-Uhuru'!$B$8-E2080</f>
        <v>12.1700000000001</v>
      </c>
      <c r="H2080" s="52" t="n">
        <f aca="false">F2080-E2080</f>
        <v>16.1020417275281</v>
      </c>
      <c r="I2080" s="52" t="n">
        <f aca="false">MAX(H2080,G2080)</f>
        <v>16.1020417275281</v>
      </c>
      <c r="J2080" s="4" t="str">
        <f aca="false">IFERROR("PN"&amp;SMALL(PN_list,COUNTIF(PN_list,"&lt;"&amp;I2080*bar_per_m)+1),"&gt; max PN")</f>
        <v>PN10</v>
      </c>
      <c r="K2080" s="4" t="str">
        <f aca="false">IF(L2080="no","end at tank",IF(H2080&lt;0,"NEGATIVE",IF(H2080&lt;p_min-0.005,"low","OK")))</f>
        <v>OK</v>
      </c>
      <c r="L2080" s="4" t="s">
        <v>414</v>
      </c>
    </row>
    <row r="2081" customFormat="false" ht="15" hidden="false" customHeight="false" outlineLevel="0" collapsed="false">
      <c r="A2081" s="4" t="s">
        <v>44</v>
      </c>
      <c r="B2081" s="4" t="s">
        <v>373</v>
      </c>
      <c r="C2081" s="47" t="n">
        <v>17864.89</v>
      </c>
      <c r="D2081" s="48" t="n">
        <v>1696.2</v>
      </c>
      <c r="E2081" s="49" t="n">
        <f aca="false">D2081-cover</f>
        <v>1695</v>
      </c>
      <c r="F2081" s="50" t="n">
        <f aca="false">'Z6 Nkangamo-Uhuru'!S18-'Z6 Nkangamo-Uhuru'!P18*C2081/'Z6 Nkangamo-Uhuru'!G18</f>
        <v>1710.40087284793</v>
      </c>
      <c r="G2081" s="51" t="n">
        <f aca="false">'Z6 Nkangamo-Uhuru'!$B$8-E2081</f>
        <v>11.5</v>
      </c>
      <c r="H2081" s="52" t="n">
        <f aca="false">F2081-E2081</f>
        <v>15.4008728479296</v>
      </c>
      <c r="I2081" s="52" t="n">
        <f aca="false">MAX(H2081,G2081)</f>
        <v>15.4008728479296</v>
      </c>
      <c r="J2081" s="4" t="str">
        <f aca="false">IFERROR("PN"&amp;SMALL(PN_list,COUNTIF(PN_list,"&lt;"&amp;I2081*bar_per_m)+1),"&gt; max PN")</f>
        <v>PN10</v>
      </c>
      <c r="K2081" s="4" t="str">
        <f aca="false">IF(L2081="no","end at tank",IF(H2081&lt;0,"NEGATIVE",IF(H2081&lt;p_min-0.005,"low","OK")))</f>
        <v>OK</v>
      </c>
      <c r="L2081" s="4" t="s">
        <v>414</v>
      </c>
    </row>
    <row r="2082" customFormat="false" ht="15" hidden="false" customHeight="false" outlineLevel="0" collapsed="false">
      <c r="A2082" s="4" t="s">
        <v>44</v>
      </c>
      <c r="B2082" s="4" t="s">
        <v>373</v>
      </c>
      <c r="C2082" s="47" t="n">
        <v>17884.89</v>
      </c>
      <c r="D2082" s="48" t="n">
        <v>1696.15</v>
      </c>
      <c r="E2082" s="49" t="n">
        <f aca="false">D2082-cover</f>
        <v>1694.95</v>
      </c>
      <c r="F2082" s="50" t="n">
        <f aca="false">'Z6 Nkangamo-Uhuru'!S18-'Z6 Nkangamo-Uhuru'!P18*C2082/'Z6 Nkangamo-Uhuru'!G18</f>
        <v>1710.36971954498</v>
      </c>
      <c r="G2082" s="51" t="n">
        <f aca="false">'Z6 Nkangamo-Uhuru'!$B$8-E2082</f>
        <v>11.55</v>
      </c>
      <c r="H2082" s="52" t="n">
        <f aca="false">F2082-E2082</f>
        <v>15.4197195449829</v>
      </c>
      <c r="I2082" s="52" t="n">
        <f aca="false">MAX(H2082,G2082)</f>
        <v>15.4197195449829</v>
      </c>
      <c r="J2082" s="4" t="str">
        <f aca="false">IFERROR("PN"&amp;SMALL(PN_list,COUNTIF(PN_list,"&lt;"&amp;I2082*bar_per_m)+1),"&gt; max PN")</f>
        <v>PN10</v>
      </c>
      <c r="K2082" s="4" t="str">
        <f aca="false">IF(L2082="no","end at tank",IF(H2082&lt;0,"NEGATIVE",IF(H2082&lt;p_min-0.005,"low","OK")))</f>
        <v>OK</v>
      </c>
      <c r="L2082" s="4" t="s">
        <v>414</v>
      </c>
    </row>
    <row r="2083" customFormat="false" ht="15" hidden="false" customHeight="false" outlineLevel="0" collapsed="false">
      <c r="A2083" s="4" t="s">
        <v>44</v>
      </c>
      <c r="B2083" s="4" t="s">
        <v>373</v>
      </c>
      <c r="C2083" s="47" t="n">
        <v>17904.94</v>
      </c>
      <c r="D2083" s="48" t="n">
        <v>1694.85</v>
      </c>
      <c r="E2083" s="49" t="n">
        <f aca="false">D2083-cover</f>
        <v>1693.65</v>
      </c>
      <c r="F2083" s="50" t="n">
        <f aca="false">'Z6 Nkangamo-Uhuru'!S18-'Z6 Nkangamo-Uhuru'!P18*C2083/'Z6 Nkangamo-Uhuru'!G18</f>
        <v>1710.33848835878</v>
      </c>
      <c r="G2083" s="51" t="n">
        <f aca="false">'Z6 Nkangamo-Uhuru'!$B$8-E2083</f>
        <v>12.8500000000001</v>
      </c>
      <c r="H2083" s="52" t="n">
        <f aca="false">F2083-E2083</f>
        <v>16.6884883587788</v>
      </c>
      <c r="I2083" s="52" t="n">
        <f aca="false">MAX(H2083,G2083)</f>
        <v>16.6884883587788</v>
      </c>
      <c r="J2083" s="4" t="str">
        <f aca="false">IFERROR("PN"&amp;SMALL(PN_list,COUNTIF(PN_list,"&lt;"&amp;I2083*bar_per_m)+1),"&gt; max PN")</f>
        <v>PN10</v>
      </c>
      <c r="K2083" s="4" t="str">
        <f aca="false">IF(L2083="no","end at tank",IF(H2083&lt;0,"NEGATIVE",IF(H2083&lt;p_min-0.005,"low","OK")))</f>
        <v>OK</v>
      </c>
      <c r="L2083" s="4" t="s">
        <v>414</v>
      </c>
    </row>
    <row r="2084" customFormat="false" ht="15" hidden="false" customHeight="false" outlineLevel="0" collapsed="false">
      <c r="A2084" s="4" t="s">
        <v>44</v>
      </c>
      <c r="B2084" s="4" t="s">
        <v>373</v>
      </c>
      <c r="C2084" s="47" t="n">
        <v>17925.13</v>
      </c>
      <c r="D2084" s="48" t="n">
        <v>1695.33</v>
      </c>
      <c r="E2084" s="49" t="n">
        <f aca="false">D2084-cover</f>
        <v>1694.13</v>
      </c>
      <c r="F2084" s="50" t="n">
        <f aca="false">'Z6 Nkangamo-Uhuru'!S18-'Z6 Nkangamo-Uhuru'!P18*C2084/'Z6 Nkangamo-Uhuru'!G18</f>
        <v>1710.30703909945</v>
      </c>
      <c r="G2084" s="51" t="n">
        <f aca="false">'Z6 Nkangamo-Uhuru'!$B$8-E2084</f>
        <v>12.3700000000001</v>
      </c>
      <c r="H2084" s="52" t="n">
        <f aca="false">F2084-E2084</f>
        <v>16.1770390994539</v>
      </c>
      <c r="I2084" s="52" t="n">
        <f aca="false">MAX(H2084,G2084)</f>
        <v>16.1770390994539</v>
      </c>
      <c r="J2084" s="4" t="str">
        <f aca="false">IFERROR("PN"&amp;SMALL(PN_list,COUNTIF(PN_list,"&lt;"&amp;I2084*bar_per_m)+1),"&gt; max PN")</f>
        <v>PN10</v>
      </c>
      <c r="K2084" s="4" t="str">
        <f aca="false">IF(L2084="no","end at tank",IF(H2084&lt;0,"NEGATIVE",IF(H2084&lt;p_min-0.005,"low","OK")))</f>
        <v>OK</v>
      </c>
      <c r="L2084" s="4" t="s">
        <v>414</v>
      </c>
    </row>
    <row r="2085" customFormat="false" ht="15" hidden="false" customHeight="false" outlineLevel="0" collapsed="false">
      <c r="A2085" s="4" t="s">
        <v>44</v>
      </c>
      <c r="B2085" s="4" t="s">
        <v>373</v>
      </c>
      <c r="C2085" s="47" t="n">
        <v>17945.14</v>
      </c>
      <c r="D2085" s="48" t="n">
        <v>1695.95</v>
      </c>
      <c r="E2085" s="49" t="n">
        <f aca="false">D2085-cover</f>
        <v>1694.75</v>
      </c>
      <c r="F2085" s="50" t="n">
        <f aca="false">'Z6 Nkangamo-Uhuru'!S18-'Z6 Nkangamo-Uhuru'!P18*C2085/'Z6 Nkangamo-Uhuru'!G18</f>
        <v>1710.27587021986</v>
      </c>
      <c r="G2085" s="51" t="n">
        <f aca="false">'Z6 Nkangamo-Uhuru'!$B$8-E2085</f>
        <v>11.75</v>
      </c>
      <c r="H2085" s="52" t="n">
        <f aca="false">F2085-E2085</f>
        <v>15.5258702198555</v>
      </c>
      <c r="I2085" s="52" t="n">
        <f aca="false">MAX(H2085,G2085)</f>
        <v>15.5258702198555</v>
      </c>
      <c r="J2085" s="4" t="str">
        <f aca="false">IFERROR("PN"&amp;SMALL(PN_list,COUNTIF(PN_list,"&lt;"&amp;I2085*bar_per_m)+1),"&gt; max PN")</f>
        <v>PN10</v>
      </c>
      <c r="K2085" s="4" t="str">
        <f aca="false">IF(L2085="no","end at tank",IF(H2085&lt;0,"NEGATIVE",IF(H2085&lt;p_min-0.005,"low","OK")))</f>
        <v>OK</v>
      </c>
      <c r="L2085" s="4" t="s">
        <v>414</v>
      </c>
    </row>
    <row r="2086" customFormat="false" ht="15" hidden="false" customHeight="false" outlineLevel="0" collapsed="false">
      <c r="A2086" s="4" t="s">
        <v>44</v>
      </c>
      <c r="B2086" s="4" t="s">
        <v>373</v>
      </c>
      <c r="C2086" s="47" t="n">
        <v>17965.15</v>
      </c>
      <c r="D2086" s="48" t="n">
        <v>1696.58</v>
      </c>
      <c r="E2086" s="49" t="n">
        <f aca="false">D2086-cover</f>
        <v>1695.38</v>
      </c>
      <c r="F2086" s="50" t="n">
        <f aca="false">'Z6 Nkangamo-Uhuru'!S18-'Z6 Nkangamo-Uhuru'!P18*C2086/'Z6 Nkangamo-Uhuru'!G18</f>
        <v>1710.24470134026</v>
      </c>
      <c r="G2086" s="51" t="n">
        <f aca="false">'Z6 Nkangamo-Uhuru'!$B$8-E2086</f>
        <v>11.1200000000001</v>
      </c>
      <c r="H2086" s="52" t="n">
        <f aca="false">F2086-E2086</f>
        <v>14.8647013402574</v>
      </c>
      <c r="I2086" s="52" t="n">
        <f aca="false">MAX(H2086,G2086)</f>
        <v>14.8647013402574</v>
      </c>
      <c r="J2086" s="4" t="str">
        <f aca="false">IFERROR("PN"&amp;SMALL(PN_list,COUNTIF(PN_list,"&lt;"&amp;I2086*bar_per_m)+1),"&gt; max PN")</f>
        <v>PN10</v>
      </c>
      <c r="K2086" s="4" t="str">
        <f aca="false">IF(L2086="no","end at tank",IF(H2086&lt;0,"NEGATIVE",IF(H2086&lt;p_min-0.005,"low","OK")))</f>
        <v>OK</v>
      </c>
      <c r="L2086" s="4" t="s">
        <v>414</v>
      </c>
    </row>
    <row r="2087" customFormat="false" ht="15" hidden="false" customHeight="false" outlineLevel="0" collapsed="false">
      <c r="A2087" s="4" t="s">
        <v>44</v>
      </c>
      <c r="B2087" s="4" t="s">
        <v>373</v>
      </c>
      <c r="C2087" s="47" t="n">
        <v>17985.15</v>
      </c>
      <c r="D2087" s="48" t="n">
        <v>1696.64</v>
      </c>
      <c r="E2087" s="49" t="n">
        <f aca="false">D2087-cover</f>
        <v>1695.44</v>
      </c>
      <c r="F2087" s="50" t="n">
        <f aca="false">'Z6 Nkangamo-Uhuru'!S18-'Z6 Nkangamo-Uhuru'!P18*C2087/'Z6 Nkangamo-Uhuru'!G18</f>
        <v>1710.21354803731</v>
      </c>
      <c r="G2087" s="51" t="n">
        <f aca="false">'Z6 Nkangamo-Uhuru'!$B$8-E2087</f>
        <v>11.0599999999999</v>
      </c>
      <c r="H2087" s="52" t="n">
        <f aca="false">F2087-E2087</f>
        <v>14.7735480373103</v>
      </c>
      <c r="I2087" s="52" t="n">
        <f aca="false">MAX(H2087,G2087)</f>
        <v>14.7735480373103</v>
      </c>
      <c r="J2087" s="4" t="str">
        <f aca="false">IFERROR("PN"&amp;SMALL(PN_list,COUNTIF(PN_list,"&lt;"&amp;I2087*bar_per_m)+1),"&gt; max PN")</f>
        <v>PN10</v>
      </c>
      <c r="K2087" s="4" t="str">
        <f aca="false">IF(L2087="no","end at tank",IF(H2087&lt;0,"NEGATIVE",IF(H2087&lt;p_min-0.005,"low","OK")))</f>
        <v>OK</v>
      </c>
      <c r="L2087" s="4" t="s">
        <v>414</v>
      </c>
    </row>
    <row r="2088" customFormat="false" ht="15" hidden="false" customHeight="false" outlineLevel="0" collapsed="false">
      <c r="A2088" s="4" t="s">
        <v>44</v>
      </c>
      <c r="B2088" s="4" t="s">
        <v>373</v>
      </c>
      <c r="C2088" s="47" t="n">
        <v>18005.16</v>
      </c>
      <c r="D2088" s="48" t="n">
        <v>1696.02</v>
      </c>
      <c r="E2088" s="49" t="n">
        <f aca="false">D2088-cover</f>
        <v>1694.82</v>
      </c>
      <c r="F2088" s="50" t="n">
        <f aca="false">'Z6 Nkangamo-Uhuru'!S18-'Z6 Nkangamo-Uhuru'!P18*C2088/'Z6 Nkangamo-Uhuru'!G18</f>
        <v>1710.18237915771</v>
      </c>
      <c r="G2088" s="51" t="n">
        <f aca="false">'Z6 Nkangamo-Uhuru'!$B$8-E2088</f>
        <v>11.6800000000001</v>
      </c>
      <c r="H2088" s="52" t="n">
        <f aca="false">F2088-E2088</f>
        <v>15.3623791577122</v>
      </c>
      <c r="I2088" s="52" t="n">
        <f aca="false">MAX(H2088,G2088)</f>
        <v>15.3623791577122</v>
      </c>
      <c r="J2088" s="4" t="str">
        <f aca="false">IFERROR("PN"&amp;SMALL(PN_list,COUNTIF(PN_list,"&lt;"&amp;I2088*bar_per_m)+1),"&gt; max PN")</f>
        <v>PN10</v>
      </c>
      <c r="K2088" s="4" t="str">
        <f aca="false">IF(L2088="no","end at tank",IF(H2088&lt;0,"NEGATIVE",IF(H2088&lt;p_min-0.005,"low","OK")))</f>
        <v>OK</v>
      </c>
      <c r="L2088" s="4" t="s">
        <v>414</v>
      </c>
    </row>
    <row r="2089" customFormat="false" ht="15" hidden="false" customHeight="false" outlineLevel="0" collapsed="false">
      <c r="A2089" s="4" t="s">
        <v>44</v>
      </c>
      <c r="B2089" s="4" t="s">
        <v>373</v>
      </c>
      <c r="C2089" s="47" t="n">
        <v>18025.16</v>
      </c>
      <c r="D2089" s="48" t="n">
        <v>1696.02</v>
      </c>
      <c r="E2089" s="49" t="n">
        <f aca="false">D2089-cover</f>
        <v>1694.82</v>
      </c>
      <c r="F2089" s="50" t="n">
        <f aca="false">'Z6 Nkangamo-Uhuru'!S18-'Z6 Nkangamo-Uhuru'!P18*C2089/'Z6 Nkangamo-Uhuru'!G18</f>
        <v>1710.15122585477</v>
      </c>
      <c r="G2089" s="51" t="n">
        <f aca="false">'Z6 Nkangamo-Uhuru'!$B$8-E2089</f>
        <v>11.6800000000001</v>
      </c>
      <c r="H2089" s="52" t="n">
        <f aca="false">F2089-E2089</f>
        <v>15.3312258547653</v>
      </c>
      <c r="I2089" s="52" t="n">
        <f aca="false">MAX(H2089,G2089)</f>
        <v>15.3312258547653</v>
      </c>
      <c r="J2089" s="4" t="str">
        <f aca="false">IFERROR("PN"&amp;SMALL(PN_list,COUNTIF(PN_list,"&lt;"&amp;I2089*bar_per_m)+1),"&gt; max PN")</f>
        <v>PN10</v>
      </c>
      <c r="K2089" s="4" t="str">
        <f aca="false">IF(L2089="no","end at tank",IF(H2089&lt;0,"NEGATIVE",IF(H2089&lt;p_min-0.005,"low","OK")))</f>
        <v>OK</v>
      </c>
      <c r="L2089" s="4" t="s">
        <v>414</v>
      </c>
    </row>
    <row r="2090" customFormat="false" ht="15" hidden="false" customHeight="false" outlineLevel="0" collapsed="false">
      <c r="A2090" s="4" t="s">
        <v>44</v>
      </c>
      <c r="B2090" s="4" t="s">
        <v>373</v>
      </c>
      <c r="C2090" s="47" t="n">
        <v>18045.57</v>
      </c>
      <c r="D2090" s="48" t="n">
        <v>1696.09</v>
      </c>
      <c r="E2090" s="49" t="n">
        <f aca="false">D2090-cover</f>
        <v>1694.89</v>
      </c>
      <c r="F2090" s="50" t="n">
        <f aca="false">'Z6 Nkangamo-Uhuru'!S18-'Z6 Nkangamo-Uhuru'!P18*C2090/'Z6 Nkangamo-Uhuru'!G18</f>
        <v>1710.11943390911</v>
      </c>
      <c r="G2090" s="51" t="n">
        <f aca="false">'Z6 Nkangamo-Uhuru'!$B$8-E2090</f>
        <v>11.6100000000001</v>
      </c>
      <c r="H2090" s="52" t="n">
        <f aca="false">F2090-E2090</f>
        <v>15.2294339091081</v>
      </c>
      <c r="I2090" s="52" t="n">
        <f aca="false">MAX(H2090,G2090)</f>
        <v>15.2294339091081</v>
      </c>
      <c r="J2090" s="4" t="str">
        <f aca="false">IFERROR("PN"&amp;SMALL(PN_list,COUNTIF(PN_list,"&lt;"&amp;I2090*bar_per_m)+1),"&gt; max PN")</f>
        <v>PN10</v>
      </c>
      <c r="K2090" s="4" t="str">
        <f aca="false">IF(L2090="no","end at tank",IF(H2090&lt;0,"NEGATIVE",IF(H2090&lt;p_min-0.005,"low","OK")))</f>
        <v>OK</v>
      </c>
      <c r="L2090" s="4" t="s">
        <v>414</v>
      </c>
    </row>
    <row r="2091" customFormat="false" ht="15" hidden="false" customHeight="false" outlineLevel="0" collapsed="false">
      <c r="A2091" s="4" t="s">
        <v>44</v>
      </c>
      <c r="B2091" s="4" t="s">
        <v>373</v>
      </c>
      <c r="C2091" s="47" t="n">
        <v>18065.58</v>
      </c>
      <c r="D2091" s="48" t="n">
        <v>1696.72</v>
      </c>
      <c r="E2091" s="49" t="n">
        <f aca="false">D2091-cover</f>
        <v>1695.52</v>
      </c>
      <c r="F2091" s="50" t="n">
        <f aca="false">'Z6 Nkangamo-Uhuru'!S18-'Z6 Nkangamo-Uhuru'!P18*C2091/'Z6 Nkangamo-Uhuru'!G18</f>
        <v>1710.08826502951</v>
      </c>
      <c r="G2091" s="51" t="n">
        <f aca="false">'Z6 Nkangamo-Uhuru'!$B$8-E2091</f>
        <v>10.98</v>
      </c>
      <c r="H2091" s="52" t="n">
        <f aca="false">F2091-E2091</f>
        <v>14.5682650295098</v>
      </c>
      <c r="I2091" s="52" t="n">
        <f aca="false">MAX(H2091,G2091)</f>
        <v>14.5682650295098</v>
      </c>
      <c r="J2091" s="4" t="str">
        <f aca="false">IFERROR("PN"&amp;SMALL(PN_list,COUNTIF(PN_list,"&lt;"&amp;I2091*bar_per_m)+1),"&gt; max PN")</f>
        <v>PN10</v>
      </c>
      <c r="K2091" s="4" t="str">
        <f aca="false">IF(L2091="no","end at tank",IF(H2091&lt;0,"NEGATIVE",IF(H2091&lt;p_min-0.005,"low","OK")))</f>
        <v>OK</v>
      </c>
      <c r="L2091" s="4" t="s">
        <v>414</v>
      </c>
    </row>
    <row r="2092" customFormat="false" ht="15" hidden="false" customHeight="false" outlineLevel="0" collapsed="false">
      <c r="A2092" s="4" t="s">
        <v>44</v>
      </c>
      <c r="B2092" s="4" t="s">
        <v>373</v>
      </c>
      <c r="C2092" s="47" t="n">
        <v>18085.59</v>
      </c>
      <c r="D2092" s="48" t="n">
        <v>1696.01</v>
      </c>
      <c r="E2092" s="49" t="n">
        <f aca="false">D2092-cover</f>
        <v>1694.81</v>
      </c>
      <c r="F2092" s="50" t="n">
        <f aca="false">'Z6 Nkangamo-Uhuru'!S18-'Z6 Nkangamo-Uhuru'!P18*C2092/'Z6 Nkangamo-Uhuru'!G18</f>
        <v>1710.05709614991</v>
      </c>
      <c r="G2092" s="51" t="n">
        <f aca="false">'Z6 Nkangamo-Uhuru'!$B$8-E2092</f>
        <v>11.6900000000001</v>
      </c>
      <c r="H2092" s="52" t="n">
        <f aca="false">F2092-E2092</f>
        <v>15.2470961499114</v>
      </c>
      <c r="I2092" s="52" t="n">
        <f aca="false">MAX(H2092,G2092)</f>
        <v>15.2470961499114</v>
      </c>
      <c r="J2092" s="4" t="str">
        <f aca="false">IFERROR("PN"&amp;SMALL(PN_list,COUNTIF(PN_list,"&lt;"&amp;I2092*bar_per_m)+1),"&gt; max PN")</f>
        <v>PN10</v>
      </c>
      <c r="K2092" s="4" t="str">
        <f aca="false">IF(L2092="no","end at tank",IF(H2092&lt;0,"NEGATIVE",IF(H2092&lt;p_min-0.005,"low","OK")))</f>
        <v>OK</v>
      </c>
      <c r="L2092" s="4" t="s">
        <v>414</v>
      </c>
    </row>
    <row r="2093" customFormat="false" ht="15" hidden="false" customHeight="false" outlineLevel="0" collapsed="false">
      <c r="A2093" s="4" t="s">
        <v>44</v>
      </c>
      <c r="B2093" s="4" t="s">
        <v>373</v>
      </c>
      <c r="C2093" s="47" t="n">
        <v>18105.61</v>
      </c>
      <c r="D2093" s="48" t="n">
        <v>1696.82</v>
      </c>
      <c r="E2093" s="49" t="n">
        <f aca="false">D2093-cover</f>
        <v>1695.62</v>
      </c>
      <c r="F2093" s="50" t="n">
        <f aca="false">'Z6 Nkangamo-Uhuru'!S18-'Z6 Nkangamo-Uhuru'!P18*C2093/'Z6 Nkangamo-Uhuru'!G18</f>
        <v>1710.02591169366</v>
      </c>
      <c r="G2093" s="51" t="n">
        <f aca="false">'Z6 Nkangamo-Uhuru'!$B$8-E2093</f>
        <v>10.8800000000001</v>
      </c>
      <c r="H2093" s="52" t="n">
        <f aca="false">F2093-E2093</f>
        <v>14.4059116936617</v>
      </c>
      <c r="I2093" s="52" t="n">
        <f aca="false">MAX(H2093,G2093)</f>
        <v>14.4059116936617</v>
      </c>
      <c r="J2093" s="4" t="str">
        <f aca="false">IFERROR("PN"&amp;SMALL(PN_list,COUNTIF(PN_list,"&lt;"&amp;I2093*bar_per_m)+1),"&gt; max PN")</f>
        <v>PN10</v>
      </c>
      <c r="K2093" s="4" t="str">
        <f aca="false">IF(L2093="no","end at tank",IF(H2093&lt;0,"NEGATIVE",IF(H2093&lt;p_min-0.005,"low","OK")))</f>
        <v>OK</v>
      </c>
      <c r="L2093" s="4" t="s">
        <v>414</v>
      </c>
    </row>
    <row r="2094" customFormat="false" ht="15" hidden="false" customHeight="false" outlineLevel="0" collapsed="false">
      <c r="A2094" s="4" t="s">
        <v>44</v>
      </c>
      <c r="B2094" s="4" t="s">
        <v>373</v>
      </c>
      <c r="C2094" s="47" t="n">
        <v>18125.61</v>
      </c>
      <c r="D2094" s="48" t="n">
        <v>1697.08</v>
      </c>
      <c r="E2094" s="49" t="n">
        <f aca="false">D2094-cover</f>
        <v>1695.88</v>
      </c>
      <c r="F2094" s="50" t="n">
        <f aca="false">'Z6 Nkangamo-Uhuru'!S18-'Z6 Nkangamo-Uhuru'!P18*C2094/'Z6 Nkangamo-Uhuru'!G18</f>
        <v>1709.99475839071</v>
      </c>
      <c r="G2094" s="51" t="n">
        <f aca="false">'Z6 Nkangamo-Uhuru'!$B$8-E2094</f>
        <v>10.6200000000001</v>
      </c>
      <c r="H2094" s="52" t="n">
        <f aca="false">F2094-E2094</f>
        <v>14.114758390715</v>
      </c>
      <c r="I2094" s="52" t="n">
        <f aca="false">MAX(H2094,G2094)</f>
        <v>14.114758390715</v>
      </c>
      <c r="J2094" s="4" t="str">
        <f aca="false">IFERROR("PN"&amp;SMALL(PN_list,COUNTIF(PN_list,"&lt;"&amp;I2094*bar_per_m)+1),"&gt; max PN")</f>
        <v>PN10</v>
      </c>
      <c r="K2094" s="4" t="str">
        <f aca="false">IF(L2094="no","end at tank",IF(H2094&lt;0,"NEGATIVE",IF(H2094&lt;p_min-0.005,"low","OK")))</f>
        <v>OK</v>
      </c>
      <c r="L2094" s="4" t="s">
        <v>414</v>
      </c>
    </row>
    <row r="2095" customFormat="false" ht="15" hidden="false" customHeight="false" outlineLevel="0" collapsed="false">
      <c r="A2095" s="4" t="s">
        <v>44</v>
      </c>
      <c r="B2095" s="4" t="s">
        <v>373</v>
      </c>
      <c r="C2095" s="47" t="n">
        <v>18145.61</v>
      </c>
      <c r="D2095" s="48" t="n">
        <v>1697.02</v>
      </c>
      <c r="E2095" s="49" t="n">
        <f aca="false">D2095-cover</f>
        <v>1695.82</v>
      </c>
      <c r="F2095" s="50" t="n">
        <f aca="false">'Z6 Nkangamo-Uhuru'!S18-'Z6 Nkangamo-Uhuru'!P18*C2095/'Z6 Nkangamo-Uhuru'!G18</f>
        <v>1709.96360508777</v>
      </c>
      <c r="G2095" s="51" t="n">
        <f aca="false">'Z6 Nkangamo-Uhuru'!$B$8-E2095</f>
        <v>10.6800000000001</v>
      </c>
      <c r="H2095" s="52" t="n">
        <f aca="false">F2095-E2095</f>
        <v>14.143605087768</v>
      </c>
      <c r="I2095" s="52" t="n">
        <f aca="false">MAX(H2095,G2095)</f>
        <v>14.143605087768</v>
      </c>
      <c r="J2095" s="4" t="str">
        <f aca="false">IFERROR("PN"&amp;SMALL(PN_list,COUNTIF(PN_list,"&lt;"&amp;I2095*bar_per_m)+1),"&gt; max PN")</f>
        <v>PN10</v>
      </c>
      <c r="K2095" s="4" t="str">
        <f aca="false">IF(L2095="no","end at tank",IF(H2095&lt;0,"NEGATIVE",IF(H2095&lt;p_min-0.005,"low","OK")))</f>
        <v>OK</v>
      </c>
      <c r="L2095" s="4" t="s">
        <v>414</v>
      </c>
    </row>
    <row r="2096" customFormat="false" ht="15" hidden="false" customHeight="false" outlineLevel="0" collapsed="false">
      <c r="A2096" s="4" t="s">
        <v>44</v>
      </c>
      <c r="B2096" s="4" t="s">
        <v>373</v>
      </c>
      <c r="C2096" s="47" t="n">
        <v>18165.61</v>
      </c>
      <c r="D2096" s="48" t="n">
        <v>1697.17</v>
      </c>
      <c r="E2096" s="49" t="n">
        <f aca="false">D2096-cover</f>
        <v>1695.97</v>
      </c>
      <c r="F2096" s="50" t="n">
        <f aca="false">'Z6 Nkangamo-Uhuru'!S18-'Z6 Nkangamo-Uhuru'!P18*C2096/'Z6 Nkangamo-Uhuru'!G18</f>
        <v>1709.93245178482</v>
      </c>
      <c r="G2096" s="51" t="n">
        <f aca="false">'Z6 Nkangamo-Uhuru'!$B$8-E2096</f>
        <v>10.53</v>
      </c>
      <c r="H2096" s="52" t="n">
        <f aca="false">F2096-E2096</f>
        <v>13.9624517848213</v>
      </c>
      <c r="I2096" s="52" t="n">
        <f aca="false">MAX(H2096,G2096)</f>
        <v>13.9624517848213</v>
      </c>
      <c r="J2096" s="4" t="str">
        <f aca="false">IFERROR("PN"&amp;SMALL(PN_list,COUNTIF(PN_list,"&lt;"&amp;I2096*bar_per_m)+1),"&gt; max PN")</f>
        <v>PN10</v>
      </c>
      <c r="K2096" s="4" t="str">
        <f aca="false">IF(L2096="no","end at tank",IF(H2096&lt;0,"NEGATIVE",IF(H2096&lt;p_min-0.005,"low","OK")))</f>
        <v>OK</v>
      </c>
      <c r="L2096" s="4" t="s">
        <v>414</v>
      </c>
    </row>
    <row r="2097" customFormat="false" ht="15" hidden="false" customHeight="false" outlineLevel="0" collapsed="false">
      <c r="A2097" s="4" t="s">
        <v>44</v>
      </c>
      <c r="B2097" s="4" t="s">
        <v>373</v>
      </c>
      <c r="C2097" s="47" t="n">
        <v>18185.62</v>
      </c>
      <c r="D2097" s="48" t="n">
        <v>1697.46</v>
      </c>
      <c r="E2097" s="49" t="n">
        <f aca="false">D2097-cover</f>
        <v>1696.26</v>
      </c>
      <c r="F2097" s="50" t="n">
        <f aca="false">'Z6 Nkangamo-Uhuru'!S18-'Z6 Nkangamo-Uhuru'!P18*C2097/'Z6 Nkangamo-Uhuru'!G18</f>
        <v>1709.90128290522</v>
      </c>
      <c r="G2097" s="51" t="n">
        <f aca="false">'Z6 Nkangamo-Uhuru'!$B$8-E2097</f>
        <v>10.24</v>
      </c>
      <c r="H2097" s="52" t="n">
        <f aca="false">F2097-E2097</f>
        <v>13.6412829052229</v>
      </c>
      <c r="I2097" s="52" t="n">
        <f aca="false">MAX(H2097,G2097)</f>
        <v>13.6412829052229</v>
      </c>
      <c r="J2097" s="4" t="str">
        <f aca="false">IFERROR("PN"&amp;SMALL(PN_list,COUNTIF(PN_list,"&lt;"&amp;I2097*bar_per_m)+1),"&gt; max PN")</f>
        <v>PN10</v>
      </c>
      <c r="K2097" s="4" t="str">
        <f aca="false">IF(L2097="no","end at tank",IF(H2097&lt;0,"NEGATIVE",IF(H2097&lt;p_min-0.005,"low","OK")))</f>
        <v>OK</v>
      </c>
      <c r="L2097" s="4" t="s">
        <v>414</v>
      </c>
    </row>
    <row r="2098" customFormat="false" ht="15" hidden="false" customHeight="false" outlineLevel="0" collapsed="false">
      <c r="A2098" s="4" t="s">
        <v>44</v>
      </c>
      <c r="B2098" s="4" t="s">
        <v>373</v>
      </c>
      <c r="C2098" s="47" t="n">
        <v>18205.62</v>
      </c>
      <c r="D2098" s="48" t="n">
        <v>1697.21</v>
      </c>
      <c r="E2098" s="49" t="n">
        <f aca="false">D2098-cover</f>
        <v>1696.01</v>
      </c>
      <c r="F2098" s="50" t="n">
        <f aca="false">'Z6 Nkangamo-Uhuru'!S18-'Z6 Nkangamo-Uhuru'!P18*C2098/'Z6 Nkangamo-Uhuru'!G18</f>
        <v>1709.87012960228</v>
      </c>
      <c r="G2098" s="51" t="n">
        <f aca="false">'Z6 Nkangamo-Uhuru'!$B$8-E2098</f>
        <v>10.49</v>
      </c>
      <c r="H2098" s="52" t="n">
        <f aca="false">F2098-E2098</f>
        <v>13.8601296022762</v>
      </c>
      <c r="I2098" s="52" t="n">
        <f aca="false">MAX(H2098,G2098)</f>
        <v>13.8601296022762</v>
      </c>
      <c r="J2098" s="4" t="str">
        <f aca="false">IFERROR("PN"&amp;SMALL(PN_list,COUNTIF(PN_list,"&lt;"&amp;I2098*bar_per_m)+1),"&gt; max PN")</f>
        <v>PN10</v>
      </c>
      <c r="K2098" s="4" t="str">
        <f aca="false">IF(L2098="no","end at tank",IF(H2098&lt;0,"NEGATIVE",IF(H2098&lt;p_min-0.005,"low","OK")))</f>
        <v>OK</v>
      </c>
      <c r="L2098" s="4" t="s">
        <v>414</v>
      </c>
    </row>
    <row r="2099" customFormat="false" ht="15" hidden="false" customHeight="false" outlineLevel="0" collapsed="false">
      <c r="A2099" s="4" t="s">
        <v>44</v>
      </c>
      <c r="B2099" s="4" t="s">
        <v>373</v>
      </c>
      <c r="C2099" s="47" t="n">
        <v>18225.62</v>
      </c>
      <c r="D2099" s="48" t="n">
        <v>1697.75</v>
      </c>
      <c r="E2099" s="49" t="n">
        <f aca="false">D2099-cover</f>
        <v>1696.55</v>
      </c>
      <c r="F2099" s="50" t="n">
        <f aca="false">'Z6 Nkangamo-Uhuru'!S18-'Z6 Nkangamo-Uhuru'!P18*C2099/'Z6 Nkangamo-Uhuru'!G18</f>
        <v>1709.83897629933</v>
      </c>
      <c r="G2099" s="51" t="n">
        <f aca="false">'Z6 Nkangamo-Uhuru'!$B$8-E2099</f>
        <v>9.95000000000005</v>
      </c>
      <c r="H2099" s="52" t="n">
        <f aca="false">F2099-E2099</f>
        <v>13.2889762993293</v>
      </c>
      <c r="I2099" s="52" t="n">
        <f aca="false">MAX(H2099,G2099)</f>
        <v>13.2889762993293</v>
      </c>
      <c r="J2099" s="4" t="str">
        <f aca="false">IFERROR("PN"&amp;SMALL(PN_list,COUNTIF(PN_list,"&lt;"&amp;I2099*bar_per_m)+1),"&gt; max PN")</f>
        <v>PN10</v>
      </c>
      <c r="K2099" s="4" t="str">
        <f aca="false">IF(L2099="no","end at tank",IF(H2099&lt;0,"NEGATIVE",IF(H2099&lt;p_min-0.005,"low","OK")))</f>
        <v>OK</v>
      </c>
      <c r="L2099" s="4" t="s">
        <v>414</v>
      </c>
    </row>
    <row r="2100" customFormat="false" ht="15" hidden="false" customHeight="false" outlineLevel="0" collapsed="false">
      <c r="A2100" s="4" t="s">
        <v>44</v>
      </c>
      <c r="B2100" s="4" t="s">
        <v>373</v>
      </c>
      <c r="C2100" s="47" t="n">
        <v>18245.63</v>
      </c>
      <c r="D2100" s="48" t="n">
        <v>1697.38</v>
      </c>
      <c r="E2100" s="49" t="n">
        <f aca="false">D2100-cover</f>
        <v>1696.18</v>
      </c>
      <c r="F2100" s="50" t="n">
        <f aca="false">'Z6 Nkangamo-Uhuru'!S18-'Z6 Nkangamo-Uhuru'!P18*C2100/'Z6 Nkangamo-Uhuru'!G18</f>
        <v>1709.80780741973</v>
      </c>
      <c r="G2100" s="51" t="n">
        <f aca="false">'Z6 Nkangamo-Uhuru'!$B$8-E2100</f>
        <v>10.3199999999999</v>
      </c>
      <c r="H2100" s="52" t="n">
        <f aca="false">F2100-E2100</f>
        <v>13.627807419731</v>
      </c>
      <c r="I2100" s="52" t="n">
        <f aca="false">MAX(H2100,G2100)</f>
        <v>13.627807419731</v>
      </c>
      <c r="J2100" s="4" t="str">
        <f aca="false">IFERROR("PN"&amp;SMALL(PN_list,COUNTIF(PN_list,"&lt;"&amp;I2100*bar_per_m)+1),"&gt; max PN")</f>
        <v>PN10</v>
      </c>
      <c r="K2100" s="4" t="str">
        <f aca="false">IF(L2100="no","end at tank",IF(H2100&lt;0,"NEGATIVE",IF(H2100&lt;p_min-0.005,"low","OK")))</f>
        <v>OK</v>
      </c>
      <c r="L2100" s="4" t="s">
        <v>414</v>
      </c>
    </row>
    <row r="2101" customFormat="false" ht="15" hidden="false" customHeight="false" outlineLevel="0" collapsed="false">
      <c r="A2101" s="4" t="s">
        <v>44</v>
      </c>
      <c r="B2101" s="4" t="s">
        <v>373</v>
      </c>
      <c r="C2101" s="47" t="n">
        <v>18265.63</v>
      </c>
      <c r="D2101" s="48" t="n">
        <v>1697.69</v>
      </c>
      <c r="E2101" s="49" t="n">
        <f aca="false">D2101-cover</f>
        <v>1696.49</v>
      </c>
      <c r="F2101" s="50" t="n">
        <f aca="false">'Z6 Nkangamo-Uhuru'!S18-'Z6 Nkangamo-Uhuru'!P18*C2101/'Z6 Nkangamo-Uhuru'!G18</f>
        <v>1709.77665411678</v>
      </c>
      <c r="G2101" s="51" t="n">
        <f aca="false">'Z6 Nkangamo-Uhuru'!$B$8-E2101</f>
        <v>10.01</v>
      </c>
      <c r="H2101" s="52" t="n">
        <f aca="false">F2101-E2101</f>
        <v>13.2866541167841</v>
      </c>
      <c r="I2101" s="52" t="n">
        <f aca="false">MAX(H2101,G2101)</f>
        <v>13.2866541167841</v>
      </c>
      <c r="J2101" s="4" t="str">
        <f aca="false">IFERROR("PN"&amp;SMALL(PN_list,COUNTIF(PN_list,"&lt;"&amp;I2101*bar_per_m)+1),"&gt; max PN")</f>
        <v>PN10</v>
      </c>
      <c r="K2101" s="4" t="str">
        <f aca="false">IF(L2101="no","end at tank",IF(H2101&lt;0,"NEGATIVE",IF(H2101&lt;p_min-0.005,"low","OK")))</f>
        <v>OK</v>
      </c>
      <c r="L2101" s="4" t="s">
        <v>414</v>
      </c>
    </row>
    <row r="2102" customFormat="false" ht="15" hidden="false" customHeight="false" outlineLevel="0" collapsed="false">
      <c r="A2102" s="4" t="s">
        <v>44</v>
      </c>
      <c r="B2102" s="4" t="s">
        <v>373</v>
      </c>
      <c r="C2102" s="47" t="n">
        <v>18285.63</v>
      </c>
      <c r="D2102" s="48" t="n">
        <v>1697.79</v>
      </c>
      <c r="E2102" s="49" t="n">
        <f aca="false">D2102-cover</f>
        <v>1696.59</v>
      </c>
      <c r="F2102" s="50" t="n">
        <f aca="false">'Z6 Nkangamo-Uhuru'!S18-'Z6 Nkangamo-Uhuru'!P18*C2102/'Z6 Nkangamo-Uhuru'!G18</f>
        <v>1709.74550081384</v>
      </c>
      <c r="G2102" s="51" t="n">
        <f aca="false">'Z6 Nkangamo-Uhuru'!$B$8-E2102</f>
        <v>9.91000000000008</v>
      </c>
      <c r="H2102" s="52" t="n">
        <f aca="false">F2102-E2102</f>
        <v>13.1555008138373</v>
      </c>
      <c r="I2102" s="52" t="n">
        <f aca="false">MAX(H2102,G2102)</f>
        <v>13.1555008138373</v>
      </c>
      <c r="J2102" s="4" t="str">
        <f aca="false">IFERROR("PN"&amp;SMALL(PN_list,COUNTIF(PN_list,"&lt;"&amp;I2102*bar_per_m)+1),"&gt; max PN")</f>
        <v>PN10</v>
      </c>
      <c r="K2102" s="4" t="str">
        <f aca="false">IF(L2102="no","end at tank",IF(H2102&lt;0,"NEGATIVE",IF(H2102&lt;p_min-0.005,"low","OK")))</f>
        <v>OK</v>
      </c>
      <c r="L2102" s="4" t="s">
        <v>414</v>
      </c>
    </row>
    <row r="2103" customFormat="false" ht="15" hidden="false" customHeight="false" outlineLevel="0" collapsed="false">
      <c r="A2103" s="4" t="s">
        <v>44</v>
      </c>
      <c r="B2103" s="4" t="s">
        <v>373</v>
      </c>
      <c r="C2103" s="47" t="n">
        <v>18305.63</v>
      </c>
      <c r="D2103" s="48" t="n">
        <v>1697.81</v>
      </c>
      <c r="E2103" s="49" t="n">
        <f aca="false">D2103-cover</f>
        <v>1696.61</v>
      </c>
      <c r="F2103" s="50" t="n">
        <f aca="false">'Z6 Nkangamo-Uhuru'!S18-'Z6 Nkangamo-Uhuru'!P18*C2103/'Z6 Nkangamo-Uhuru'!G18</f>
        <v>1709.71434751089</v>
      </c>
      <c r="G2103" s="51" t="n">
        <f aca="false">'Z6 Nkangamo-Uhuru'!$B$8-E2103</f>
        <v>9.8900000000001</v>
      </c>
      <c r="H2103" s="52" t="n">
        <f aca="false">F2103-E2103</f>
        <v>13.1043475108906</v>
      </c>
      <c r="I2103" s="52" t="n">
        <f aca="false">MAX(H2103,G2103)</f>
        <v>13.1043475108906</v>
      </c>
      <c r="J2103" s="4" t="str">
        <f aca="false">IFERROR("PN"&amp;SMALL(PN_list,COUNTIF(PN_list,"&lt;"&amp;I2103*bar_per_m)+1),"&gt; max PN")</f>
        <v>PN10</v>
      </c>
      <c r="K2103" s="4" t="str">
        <f aca="false">IF(L2103="no","end at tank",IF(H2103&lt;0,"NEGATIVE",IF(H2103&lt;p_min-0.005,"low","OK")))</f>
        <v>OK</v>
      </c>
      <c r="L2103" s="4" t="s">
        <v>414</v>
      </c>
    </row>
    <row r="2104" customFormat="false" ht="15" hidden="false" customHeight="false" outlineLevel="0" collapsed="false">
      <c r="A2104" s="4" t="s">
        <v>44</v>
      </c>
      <c r="B2104" s="4" t="s">
        <v>373</v>
      </c>
      <c r="C2104" s="47" t="n">
        <v>18325.63</v>
      </c>
      <c r="D2104" s="48" t="n">
        <v>1697.8</v>
      </c>
      <c r="E2104" s="49" t="n">
        <f aca="false">D2104-cover</f>
        <v>1696.6</v>
      </c>
      <c r="F2104" s="50" t="n">
        <f aca="false">'Z6 Nkangamo-Uhuru'!S18-'Z6 Nkangamo-Uhuru'!P18*C2104/'Z6 Nkangamo-Uhuru'!G18</f>
        <v>1709.68319420794</v>
      </c>
      <c r="G2104" s="51" t="n">
        <f aca="false">'Z6 Nkangamo-Uhuru'!$B$8-E2104</f>
        <v>9.90000000000009</v>
      </c>
      <c r="H2104" s="52" t="n">
        <f aca="false">F2104-E2104</f>
        <v>13.0831942079437</v>
      </c>
      <c r="I2104" s="52" t="n">
        <f aca="false">MAX(H2104,G2104)</f>
        <v>13.0831942079437</v>
      </c>
      <c r="J2104" s="4" t="str">
        <f aca="false">IFERROR("PN"&amp;SMALL(PN_list,COUNTIF(PN_list,"&lt;"&amp;I2104*bar_per_m)+1),"&gt; max PN")</f>
        <v>PN10</v>
      </c>
      <c r="K2104" s="4" t="str">
        <f aca="false">IF(L2104="no","end at tank",IF(H2104&lt;0,"NEGATIVE",IF(H2104&lt;p_min-0.005,"low","OK")))</f>
        <v>OK</v>
      </c>
      <c r="L2104" s="4" t="s">
        <v>414</v>
      </c>
    </row>
    <row r="2105" customFormat="false" ht="15" hidden="false" customHeight="false" outlineLevel="0" collapsed="false">
      <c r="A2105" s="4" t="s">
        <v>44</v>
      </c>
      <c r="B2105" s="4" t="s">
        <v>373</v>
      </c>
      <c r="C2105" s="47" t="n">
        <v>18345.63</v>
      </c>
      <c r="D2105" s="48" t="n">
        <v>1697.62</v>
      </c>
      <c r="E2105" s="49" t="n">
        <f aca="false">D2105-cover</f>
        <v>1696.42</v>
      </c>
      <c r="F2105" s="50" t="n">
        <f aca="false">'Z6 Nkangamo-Uhuru'!S18-'Z6 Nkangamo-Uhuru'!P18*C2105/'Z6 Nkangamo-Uhuru'!G18</f>
        <v>1709.652040905</v>
      </c>
      <c r="G2105" s="51" t="n">
        <f aca="false">'Z6 Nkangamo-Uhuru'!$B$8-E2105</f>
        <v>10.0800000000002</v>
      </c>
      <c r="H2105" s="52" t="n">
        <f aca="false">F2105-E2105</f>
        <v>13.2320409049969</v>
      </c>
      <c r="I2105" s="52" t="n">
        <f aca="false">MAX(H2105,G2105)</f>
        <v>13.2320409049969</v>
      </c>
      <c r="J2105" s="4" t="str">
        <f aca="false">IFERROR("PN"&amp;SMALL(PN_list,COUNTIF(PN_list,"&lt;"&amp;I2105*bar_per_m)+1),"&gt; max PN")</f>
        <v>PN10</v>
      </c>
      <c r="K2105" s="4" t="str">
        <f aca="false">IF(L2105="no","end at tank",IF(H2105&lt;0,"NEGATIVE",IF(H2105&lt;p_min-0.005,"low","OK")))</f>
        <v>OK</v>
      </c>
      <c r="L2105" s="4" t="s">
        <v>414</v>
      </c>
    </row>
    <row r="2106" customFormat="false" ht="15" hidden="false" customHeight="false" outlineLevel="0" collapsed="false">
      <c r="A2106" s="4" t="s">
        <v>44</v>
      </c>
      <c r="B2106" s="4" t="s">
        <v>373</v>
      </c>
      <c r="C2106" s="47" t="n">
        <v>18365.63</v>
      </c>
      <c r="D2106" s="48" t="n">
        <v>1697.62</v>
      </c>
      <c r="E2106" s="49" t="n">
        <f aca="false">D2106-cover</f>
        <v>1696.42</v>
      </c>
      <c r="F2106" s="50" t="n">
        <f aca="false">'Z6 Nkangamo-Uhuru'!S18-'Z6 Nkangamo-Uhuru'!P18*C2106/'Z6 Nkangamo-Uhuru'!G18</f>
        <v>1709.62088760205</v>
      </c>
      <c r="G2106" s="51" t="n">
        <f aca="false">'Z6 Nkangamo-Uhuru'!$B$8-E2106</f>
        <v>10.0800000000002</v>
      </c>
      <c r="H2106" s="52" t="n">
        <f aca="false">F2106-E2106</f>
        <v>13.2008876020502</v>
      </c>
      <c r="I2106" s="52" t="n">
        <f aca="false">MAX(H2106,G2106)</f>
        <v>13.2008876020502</v>
      </c>
      <c r="J2106" s="4" t="str">
        <f aca="false">IFERROR("PN"&amp;SMALL(PN_list,COUNTIF(PN_list,"&lt;"&amp;I2106*bar_per_m)+1),"&gt; max PN")</f>
        <v>PN10</v>
      </c>
      <c r="K2106" s="4" t="str">
        <f aca="false">IF(L2106="no","end at tank",IF(H2106&lt;0,"NEGATIVE",IF(H2106&lt;p_min-0.005,"low","OK")))</f>
        <v>OK</v>
      </c>
      <c r="L2106" s="4" t="s">
        <v>414</v>
      </c>
    </row>
    <row r="2107" customFormat="false" ht="15" hidden="false" customHeight="false" outlineLevel="0" collapsed="false">
      <c r="A2107" s="4" t="s">
        <v>44</v>
      </c>
      <c r="B2107" s="4" t="s">
        <v>373</v>
      </c>
      <c r="C2107" s="47" t="n">
        <v>18385.63</v>
      </c>
      <c r="D2107" s="48" t="n">
        <v>1697.23</v>
      </c>
      <c r="E2107" s="49" t="n">
        <f aca="false">D2107-cover</f>
        <v>1696.03</v>
      </c>
      <c r="F2107" s="50" t="n">
        <f aca="false">'Z6 Nkangamo-Uhuru'!S18-'Z6 Nkangamo-Uhuru'!P18*C2107/'Z6 Nkangamo-Uhuru'!G18</f>
        <v>1709.5897342991</v>
      </c>
      <c r="G2107" s="51" t="n">
        <f aca="false">'Z6 Nkangamo-Uhuru'!$B$8-E2107</f>
        <v>10.47</v>
      </c>
      <c r="H2107" s="52" t="n">
        <f aca="false">F2107-E2107</f>
        <v>13.5597342991032</v>
      </c>
      <c r="I2107" s="52" t="n">
        <f aca="false">MAX(H2107,G2107)</f>
        <v>13.5597342991032</v>
      </c>
      <c r="J2107" s="4" t="str">
        <f aca="false">IFERROR("PN"&amp;SMALL(PN_list,COUNTIF(PN_list,"&lt;"&amp;I2107*bar_per_m)+1),"&gt; max PN")</f>
        <v>PN10</v>
      </c>
      <c r="K2107" s="4" t="str">
        <f aca="false">IF(L2107="no","end at tank",IF(H2107&lt;0,"NEGATIVE",IF(H2107&lt;p_min-0.005,"low","OK")))</f>
        <v>OK</v>
      </c>
      <c r="L2107" s="4" t="s">
        <v>414</v>
      </c>
    </row>
    <row r="2108" customFormat="false" ht="15" hidden="false" customHeight="false" outlineLevel="0" collapsed="false">
      <c r="A2108" s="4" t="s">
        <v>44</v>
      </c>
      <c r="B2108" s="4" t="s">
        <v>373</v>
      </c>
      <c r="C2108" s="47" t="n">
        <v>18405.64</v>
      </c>
      <c r="D2108" s="48" t="n">
        <v>1696.9</v>
      </c>
      <c r="E2108" s="49" t="n">
        <f aca="false">D2108-cover</f>
        <v>1695.7</v>
      </c>
      <c r="F2108" s="50" t="n">
        <f aca="false">'Z6 Nkangamo-Uhuru'!S18-'Z6 Nkangamo-Uhuru'!P18*C2108/'Z6 Nkangamo-Uhuru'!G18</f>
        <v>1709.55856541951</v>
      </c>
      <c r="G2108" s="51" t="n">
        <f aca="false">'Z6 Nkangamo-Uhuru'!$B$8-E2108</f>
        <v>10.8</v>
      </c>
      <c r="H2108" s="52" t="n">
        <f aca="false">F2108-E2108</f>
        <v>13.8585654195049</v>
      </c>
      <c r="I2108" s="52" t="n">
        <f aca="false">MAX(H2108,G2108)</f>
        <v>13.8585654195049</v>
      </c>
      <c r="J2108" s="4" t="str">
        <f aca="false">IFERROR("PN"&amp;SMALL(PN_list,COUNTIF(PN_list,"&lt;"&amp;I2108*bar_per_m)+1),"&gt; max PN")</f>
        <v>PN10</v>
      </c>
      <c r="K2108" s="4" t="str">
        <f aca="false">IF(L2108="no","end at tank",IF(H2108&lt;0,"NEGATIVE",IF(H2108&lt;p_min-0.005,"low","OK")))</f>
        <v>OK</v>
      </c>
      <c r="L2108" s="4" t="s">
        <v>414</v>
      </c>
    </row>
    <row r="2109" customFormat="false" ht="15" hidden="false" customHeight="false" outlineLevel="0" collapsed="false">
      <c r="A2109" s="4" t="s">
        <v>44</v>
      </c>
      <c r="B2109" s="4" t="s">
        <v>373</v>
      </c>
      <c r="C2109" s="47" t="n">
        <v>18425.64</v>
      </c>
      <c r="D2109" s="48" t="n">
        <v>1696.9</v>
      </c>
      <c r="E2109" s="49" t="n">
        <f aca="false">D2109-cover</f>
        <v>1695.7</v>
      </c>
      <c r="F2109" s="50" t="n">
        <f aca="false">'Z6 Nkangamo-Uhuru'!S18-'Z6 Nkangamo-Uhuru'!P18*C2109/'Z6 Nkangamo-Uhuru'!G18</f>
        <v>1709.52741211656</v>
      </c>
      <c r="G2109" s="51" t="n">
        <f aca="false">'Z6 Nkangamo-Uhuru'!$B$8-E2109</f>
        <v>10.8</v>
      </c>
      <c r="H2109" s="52" t="n">
        <f aca="false">F2109-E2109</f>
        <v>13.827412116558</v>
      </c>
      <c r="I2109" s="52" t="n">
        <f aca="false">MAX(H2109,G2109)</f>
        <v>13.827412116558</v>
      </c>
      <c r="J2109" s="4" t="str">
        <f aca="false">IFERROR("PN"&amp;SMALL(PN_list,COUNTIF(PN_list,"&lt;"&amp;I2109*bar_per_m)+1),"&gt; max PN")</f>
        <v>PN10</v>
      </c>
      <c r="K2109" s="4" t="str">
        <f aca="false">IF(L2109="no","end at tank",IF(H2109&lt;0,"NEGATIVE",IF(H2109&lt;p_min-0.005,"low","OK")))</f>
        <v>OK</v>
      </c>
      <c r="L2109" s="4" t="s">
        <v>414</v>
      </c>
    </row>
    <row r="2110" customFormat="false" ht="15" hidden="false" customHeight="false" outlineLevel="0" collapsed="false">
      <c r="A2110" s="4" t="s">
        <v>44</v>
      </c>
      <c r="B2110" s="4" t="s">
        <v>373</v>
      </c>
      <c r="C2110" s="47" t="n">
        <v>18445.64</v>
      </c>
      <c r="D2110" s="48" t="n">
        <v>1696.89</v>
      </c>
      <c r="E2110" s="49" t="n">
        <f aca="false">D2110-cover</f>
        <v>1695.69</v>
      </c>
      <c r="F2110" s="50" t="n">
        <f aca="false">'Z6 Nkangamo-Uhuru'!S18-'Z6 Nkangamo-Uhuru'!P18*C2110/'Z6 Nkangamo-Uhuru'!G18</f>
        <v>1709.49625881361</v>
      </c>
      <c r="G2110" s="51" t="n">
        <f aca="false">'Z6 Nkangamo-Uhuru'!$B$8-E2110</f>
        <v>10.8099999999999</v>
      </c>
      <c r="H2110" s="52" t="n">
        <f aca="false">F2110-E2110</f>
        <v>13.8062588136111</v>
      </c>
      <c r="I2110" s="52" t="n">
        <f aca="false">MAX(H2110,G2110)</f>
        <v>13.8062588136111</v>
      </c>
      <c r="J2110" s="4" t="str">
        <f aca="false">IFERROR("PN"&amp;SMALL(PN_list,COUNTIF(PN_list,"&lt;"&amp;I2110*bar_per_m)+1),"&gt; max PN")</f>
        <v>PN10</v>
      </c>
      <c r="K2110" s="4" t="str">
        <f aca="false">IF(L2110="no","end at tank",IF(H2110&lt;0,"NEGATIVE",IF(H2110&lt;p_min-0.005,"low","OK")))</f>
        <v>OK</v>
      </c>
      <c r="L2110" s="4" t="s">
        <v>414</v>
      </c>
    </row>
    <row r="2111" customFormat="false" ht="15" hidden="false" customHeight="false" outlineLevel="0" collapsed="false">
      <c r="A2111" s="4" t="s">
        <v>44</v>
      </c>
      <c r="B2111" s="4" t="s">
        <v>373</v>
      </c>
      <c r="C2111" s="47" t="n">
        <v>18465.64</v>
      </c>
      <c r="D2111" s="48" t="n">
        <v>1697.23</v>
      </c>
      <c r="E2111" s="49" t="n">
        <f aca="false">D2111-cover</f>
        <v>1696.03</v>
      </c>
      <c r="F2111" s="50" t="n">
        <f aca="false">'Z6 Nkangamo-Uhuru'!S18-'Z6 Nkangamo-Uhuru'!P18*C2111/'Z6 Nkangamo-Uhuru'!G18</f>
        <v>1709.46510551066</v>
      </c>
      <c r="G2111" s="51" t="n">
        <f aca="false">'Z6 Nkangamo-Uhuru'!$B$8-E2111</f>
        <v>10.47</v>
      </c>
      <c r="H2111" s="52" t="n">
        <f aca="false">F2111-E2111</f>
        <v>13.4351055106645</v>
      </c>
      <c r="I2111" s="52" t="n">
        <f aca="false">MAX(H2111,G2111)</f>
        <v>13.4351055106645</v>
      </c>
      <c r="J2111" s="4" t="str">
        <f aca="false">IFERROR("PN"&amp;SMALL(PN_list,COUNTIF(PN_list,"&lt;"&amp;I2111*bar_per_m)+1),"&gt; max PN")</f>
        <v>PN10</v>
      </c>
      <c r="K2111" s="4" t="str">
        <f aca="false">IF(L2111="no","end at tank",IF(H2111&lt;0,"NEGATIVE",IF(H2111&lt;p_min-0.005,"low","OK")))</f>
        <v>OK</v>
      </c>
      <c r="L2111" s="4" t="s">
        <v>414</v>
      </c>
    </row>
    <row r="2112" customFormat="false" ht="15" hidden="false" customHeight="false" outlineLevel="0" collapsed="false">
      <c r="A2112" s="4" t="s">
        <v>44</v>
      </c>
      <c r="B2112" s="4" t="s">
        <v>373</v>
      </c>
      <c r="C2112" s="47" t="n">
        <v>18485.64</v>
      </c>
      <c r="D2112" s="48" t="n">
        <v>1697.19</v>
      </c>
      <c r="E2112" s="49" t="n">
        <f aca="false">D2112-cover</f>
        <v>1695.99</v>
      </c>
      <c r="F2112" s="50" t="n">
        <f aca="false">'Z6 Nkangamo-Uhuru'!S18-'Z6 Nkangamo-Uhuru'!P18*C2112/'Z6 Nkangamo-Uhuru'!G18</f>
        <v>1709.43395220772</v>
      </c>
      <c r="G2112" s="51" t="n">
        <f aca="false">'Z6 Nkangamo-Uhuru'!$B$8-E2112</f>
        <v>10.51</v>
      </c>
      <c r="H2112" s="52" t="n">
        <f aca="false">F2112-E2112</f>
        <v>13.4439522077175</v>
      </c>
      <c r="I2112" s="52" t="n">
        <f aca="false">MAX(H2112,G2112)</f>
        <v>13.4439522077175</v>
      </c>
      <c r="J2112" s="4" t="str">
        <f aca="false">IFERROR("PN"&amp;SMALL(PN_list,COUNTIF(PN_list,"&lt;"&amp;I2112*bar_per_m)+1),"&gt; max PN")</f>
        <v>PN10</v>
      </c>
      <c r="K2112" s="4" t="str">
        <f aca="false">IF(L2112="no","end at tank",IF(H2112&lt;0,"NEGATIVE",IF(H2112&lt;p_min-0.005,"low","OK")))</f>
        <v>OK</v>
      </c>
      <c r="L2112" s="4" t="s">
        <v>414</v>
      </c>
    </row>
    <row r="2113" customFormat="false" ht="15" hidden="false" customHeight="false" outlineLevel="0" collapsed="false">
      <c r="A2113" s="4" t="s">
        <v>44</v>
      </c>
      <c r="B2113" s="4" t="s">
        <v>373</v>
      </c>
      <c r="C2113" s="47" t="n">
        <v>18505.64</v>
      </c>
      <c r="D2113" s="48" t="n">
        <v>1697.05</v>
      </c>
      <c r="E2113" s="49" t="n">
        <f aca="false">D2113-cover</f>
        <v>1695.85</v>
      </c>
      <c r="F2113" s="50" t="n">
        <f aca="false">'Z6 Nkangamo-Uhuru'!S18-'Z6 Nkangamo-Uhuru'!P18*C2113/'Z6 Nkangamo-Uhuru'!G18</f>
        <v>1709.40279890477</v>
      </c>
      <c r="G2113" s="51" t="n">
        <f aca="false">'Z6 Nkangamo-Uhuru'!$B$8-E2113</f>
        <v>10.6500000000001</v>
      </c>
      <c r="H2113" s="52" t="n">
        <f aca="false">F2113-E2113</f>
        <v>13.5527989047707</v>
      </c>
      <c r="I2113" s="52" t="n">
        <f aca="false">MAX(H2113,G2113)</f>
        <v>13.5527989047707</v>
      </c>
      <c r="J2113" s="4" t="str">
        <f aca="false">IFERROR("PN"&amp;SMALL(PN_list,COUNTIF(PN_list,"&lt;"&amp;I2113*bar_per_m)+1),"&gt; max PN")</f>
        <v>PN10</v>
      </c>
      <c r="K2113" s="4" t="str">
        <f aca="false">IF(L2113="no","end at tank",IF(H2113&lt;0,"NEGATIVE",IF(H2113&lt;p_min-0.005,"low","OK")))</f>
        <v>OK</v>
      </c>
      <c r="L2113" s="4" t="s">
        <v>414</v>
      </c>
    </row>
    <row r="2114" customFormat="false" ht="15" hidden="false" customHeight="false" outlineLevel="0" collapsed="false">
      <c r="A2114" s="4" t="s">
        <v>44</v>
      </c>
      <c r="B2114" s="4" t="s">
        <v>373</v>
      </c>
      <c r="C2114" s="47" t="n">
        <v>18525.65</v>
      </c>
      <c r="D2114" s="48" t="n">
        <v>1696.46</v>
      </c>
      <c r="E2114" s="49" t="n">
        <f aca="false">D2114-cover</f>
        <v>1695.26</v>
      </c>
      <c r="F2114" s="50" t="n">
        <f aca="false">'Z6 Nkangamo-Uhuru'!S18-'Z6 Nkangamo-Uhuru'!P18*C2114/'Z6 Nkangamo-Uhuru'!G18</f>
        <v>1709.37163002517</v>
      </c>
      <c r="G2114" s="51" t="n">
        <f aca="false">'Z6 Nkangamo-Uhuru'!$B$8-E2114</f>
        <v>11.24</v>
      </c>
      <c r="H2114" s="52" t="n">
        <f aca="false">F2114-E2114</f>
        <v>14.1116300251724</v>
      </c>
      <c r="I2114" s="52" t="n">
        <f aca="false">MAX(H2114,G2114)</f>
        <v>14.1116300251724</v>
      </c>
      <c r="J2114" s="4" t="str">
        <f aca="false">IFERROR("PN"&amp;SMALL(PN_list,COUNTIF(PN_list,"&lt;"&amp;I2114*bar_per_m)+1),"&gt; max PN")</f>
        <v>PN10</v>
      </c>
      <c r="K2114" s="4" t="str">
        <f aca="false">IF(L2114="no","end at tank",IF(H2114&lt;0,"NEGATIVE",IF(H2114&lt;p_min-0.005,"low","OK")))</f>
        <v>OK</v>
      </c>
      <c r="L2114" s="4" t="s">
        <v>414</v>
      </c>
    </row>
    <row r="2115" customFormat="false" ht="15" hidden="false" customHeight="false" outlineLevel="0" collapsed="false">
      <c r="A2115" s="4" t="s">
        <v>44</v>
      </c>
      <c r="B2115" s="4" t="s">
        <v>373</v>
      </c>
      <c r="C2115" s="47" t="n">
        <v>18545.65</v>
      </c>
      <c r="D2115" s="48" t="n">
        <v>1696.28</v>
      </c>
      <c r="E2115" s="49" t="n">
        <f aca="false">D2115-cover</f>
        <v>1695.08</v>
      </c>
      <c r="F2115" s="50" t="n">
        <f aca="false">'Z6 Nkangamo-Uhuru'!S18-'Z6 Nkangamo-Uhuru'!P18*C2115/'Z6 Nkangamo-Uhuru'!G18</f>
        <v>1709.34047672223</v>
      </c>
      <c r="G2115" s="51" t="n">
        <f aca="false">'Z6 Nkangamo-Uhuru'!$B$8-E2115</f>
        <v>11.4200000000001</v>
      </c>
      <c r="H2115" s="52" t="n">
        <f aca="false">F2115-E2115</f>
        <v>14.2604767222256</v>
      </c>
      <c r="I2115" s="52" t="n">
        <f aca="false">MAX(H2115,G2115)</f>
        <v>14.2604767222256</v>
      </c>
      <c r="J2115" s="4" t="str">
        <f aca="false">IFERROR("PN"&amp;SMALL(PN_list,COUNTIF(PN_list,"&lt;"&amp;I2115*bar_per_m)+1),"&gt; max PN")</f>
        <v>PN10</v>
      </c>
      <c r="K2115" s="4" t="str">
        <f aca="false">IF(L2115="no","end at tank",IF(H2115&lt;0,"NEGATIVE",IF(H2115&lt;p_min-0.005,"low","OK")))</f>
        <v>OK</v>
      </c>
      <c r="L2115" s="4" t="s">
        <v>414</v>
      </c>
    </row>
    <row r="2116" customFormat="false" ht="15" hidden="false" customHeight="false" outlineLevel="0" collapsed="false">
      <c r="A2116" s="4" t="s">
        <v>44</v>
      </c>
      <c r="B2116" s="4" t="s">
        <v>373</v>
      </c>
      <c r="C2116" s="47" t="n">
        <v>18565.65</v>
      </c>
      <c r="D2116" s="48" t="n">
        <v>1696.05</v>
      </c>
      <c r="E2116" s="49" t="n">
        <f aca="false">D2116-cover</f>
        <v>1694.85</v>
      </c>
      <c r="F2116" s="50" t="n">
        <f aca="false">'Z6 Nkangamo-Uhuru'!S18-'Z6 Nkangamo-Uhuru'!P18*C2116/'Z6 Nkangamo-Uhuru'!G18</f>
        <v>1709.30932341928</v>
      </c>
      <c r="G2116" s="51" t="n">
        <f aca="false">'Z6 Nkangamo-Uhuru'!$B$8-E2116</f>
        <v>11.6500000000001</v>
      </c>
      <c r="H2116" s="52" t="n">
        <f aca="false">F2116-E2116</f>
        <v>14.4593234192789</v>
      </c>
      <c r="I2116" s="52" t="n">
        <f aca="false">MAX(H2116,G2116)</f>
        <v>14.4593234192789</v>
      </c>
      <c r="J2116" s="4" t="str">
        <f aca="false">IFERROR("PN"&amp;SMALL(PN_list,COUNTIF(PN_list,"&lt;"&amp;I2116*bar_per_m)+1),"&gt; max PN")</f>
        <v>PN10</v>
      </c>
      <c r="K2116" s="4" t="str">
        <f aca="false">IF(L2116="no","end at tank",IF(H2116&lt;0,"NEGATIVE",IF(H2116&lt;p_min-0.005,"low","OK")))</f>
        <v>OK</v>
      </c>
      <c r="L2116" s="4" t="s">
        <v>414</v>
      </c>
    </row>
    <row r="2117" customFormat="false" ht="15" hidden="false" customHeight="false" outlineLevel="0" collapsed="false">
      <c r="A2117" s="4" t="s">
        <v>44</v>
      </c>
      <c r="B2117" s="4" t="s">
        <v>373</v>
      </c>
      <c r="C2117" s="47" t="n">
        <v>18585.66</v>
      </c>
      <c r="D2117" s="48" t="n">
        <v>1695.68</v>
      </c>
      <c r="E2117" s="49" t="n">
        <f aca="false">D2117-cover</f>
        <v>1694.48</v>
      </c>
      <c r="F2117" s="50" t="n">
        <f aca="false">'Z6 Nkangamo-Uhuru'!S18-'Z6 Nkangamo-Uhuru'!P18*C2117/'Z6 Nkangamo-Uhuru'!G18</f>
        <v>1709.27815453968</v>
      </c>
      <c r="G2117" s="51" t="n">
        <f aca="false">'Z6 Nkangamo-Uhuru'!$B$8-E2117</f>
        <v>12.02</v>
      </c>
      <c r="H2117" s="52" t="n">
        <f aca="false">F2117-E2117</f>
        <v>14.7981545396804</v>
      </c>
      <c r="I2117" s="52" t="n">
        <f aca="false">MAX(H2117,G2117)</f>
        <v>14.7981545396804</v>
      </c>
      <c r="J2117" s="4" t="str">
        <f aca="false">IFERROR("PN"&amp;SMALL(PN_list,COUNTIF(PN_list,"&lt;"&amp;I2117*bar_per_m)+1),"&gt; max PN")</f>
        <v>PN10</v>
      </c>
      <c r="K2117" s="4" t="str">
        <f aca="false">IF(L2117="no","end at tank",IF(H2117&lt;0,"NEGATIVE",IF(H2117&lt;p_min-0.005,"low","OK")))</f>
        <v>OK</v>
      </c>
      <c r="L2117" s="4" t="s">
        <v>414</v>
      </c>
    </row>
    <row r="2118" customFormat="false" ht="15" hidden="false" customHeight="false" outlineLevel="0" collapsed="false">
      <c r="A2118" s="4" t="s">
        <v>44</v>
      </c>
      <c r="B2118" s="4" t="s">
        <v>373</v>
      </c>
      <c r="C2118" s="47" t="n">
        <v>18605.69</v>
      </c>
      <c r="D2118" s="48" t="n">
        <v>1696.85</v>
      </c>
      <c r="E2118" s="49" t="n">
        <f aca="false">D2118-cover</f>
        <v>1695.65</v>
      </c>
      <c r="F2118" s="50" t="n">
        <f aca="false">'Z6 Nkangamo-Uhuru'!S18-'Z6 Nkangamo-Uhuru'!P18*C2118/'Z6 Nkangamo-Uhuru'!G18</f>
        <v>1709.24695450678</v>
      </c>
      <c r="G2118" s="51" t="n">
        <f aca="false">'Z6 Nkangamo-Uhuru'!$B$8-E2118</f>
        <v>10.8500000000001</v>
      </c>
      <c r="H2118" s="52" t="n">
        <f aca="false">F2118-E2118</f>
        <v>13.5969545067794</v>
      </c>
      <c r="I2118" s="52" t="n">
        <f aca="false">MAX(H2118,G2118)</f>
        <v>13.5969545067794</v>
      </c>
      <c r="J2118" s="4" t="str">
        <f aca="false">IFERROR("PN"&amp;SMALL(PN_list,COUNTIF(PN_list,"&lt;"&amp;I2118*bar_per_m)+1),"&gt; max PN")</f>
        <v>PN10</v>
      </c>
      <c r="K2118" s="4" t="str">
        <f aca="false">IF(L2118="no","end at tank",IF(H2118&lt;0,"NEGATIVE",IF(H2118&lt;p_min-0.005,"low","OK")))</f>
        <v>OK</v>
      </c>
      <c r="L2118" s="4" t="s">
        <v>414</v>
      </c>
    </row>
    <row r="2119" customFormat="false" ht="15" hidden="false" customHeight="false" outlineLevel="0" collapsed="false">
      <c r="A2119" s="4" t="s">
        <v>44</v>
      </c>
      <c r="B2119" s="4" t="s">
        <v>373</v>
      </c>
      <c r="C2119" s="47" t="n">
        <v>18625.7</v>
      </c>
      <c r="D2119" s="48" t="n">
        <v>1696.35</v>
      </c>
      <c r="E2119" s="49" t="n">
        <f aca="false">D2119-cover</f>
        <v>1695.15</v>
      </c>
      <c r="F2119" s="50" t="n">
        <f aca="false">'Z6 Nkangamo-Uhuru'!S18-'Z6 Nkangamo-Uhuru'!P18*C2119/'Z6 Nkangamo-Uhuru'!G18</f>
        <v>1709.21578562718</v>
      </c>
      <c r="G2119" s="51" t="n">
        <f aca="false">'Z6 Nkangamo-Uhuru'!$B$8-E2119</f>
        <v>11.3500000000001</v>
      </c>
      <c r="H2119" s="52" t="n">
        <f aca="false">F2119-E2119</f>
        <v>14.065785627181</v>
      </c>
      <c r="I2119" s="52" t="n">
        <f aca="false">MAX(H2119,G2119)</f>
        <v>14.065785627181</v>
      </c>
      <c r="J2119" s="4" t="str">
        <f aca="false">IFERROR("PN"&amp;SMALL(PN_list,COUNTIF(PN_list,"&lt;"&amp;I2119*bar_per_m)+1),"&gt; max PN")</f>
        <v>PN10</v>
      </c>
      <c r="K2119" s="4" t="str">
        <f aca="false">IF(L2119="no","end at tank",IF(H2119&lt;0,"NEGATIVE",IF(H2119&lt;p_min-0.005,"low","OK")))</f>
        <v>OK</v>
      </c>
      <c r="L2119" s="4" t="s">
        <v>414</v>
      </c>
    </row>
    <row r="2120" customFormat="false" ht="15" hidden="false" customHeight="false" outlineLevel="0" collapsed="false">
      <c r="A2120" s="4" t="s">
        <v>44</v>
      </c>
      <c r="B2120" s="4" t="s">
        <v>373</v>
      </c>
      <c r="C2120" s="47" t="n">
        <v>18645.74</v>
      </c>
      <c r="D2120" s="48" t="n">
        <v>1694.95</v>
      </c>
      <c r="E2120" s="49" t="n">
        <f aca="false">D2120-cover</f>
        <v>1693.75</v>
      </c>
      <c r="F2120" s="50" t="n">
        <f aca="false">'Z6 Nkangamo-Uhuru'!S18-'Z6 Nkangamo-Uhuru'!P18*C2120/'Z6 Nkangamo-Uhuru'!G18</f>
        <v>1709.18457001763</v>
      </c>
      <c r="G2120" s="51" t="n">
        <f aca="false">'Z6 Nkangamo-Uhuru'!$B$8-E2120</f>
        <v>12.75</v>
      </c>
      <c r="H2120" s="52" t="n">
        <f aca="false">F2120-E2120</f>
        <v>15.4345700176282</v>
      </c>
      <c r="I2120" s="52" t="n">
        <f aca="false">MAX(H2120,G2120)</f>
        <v>15.4345700176282</v>
      </c>
      <c r="J2120" s="4" t="str">
        <f aca="false">IFERROR("PN"&amp;SMALL(PN_list,COUNTIF(PN_list,"&lt;"&amp;I2120*bar_per_m)+1),"&gt; max PN")</f>
        <v>PN10</v>
      </c>
      <c r="K2120" s="4" t="str">
        <f aca="false">IF(L2120="no","end at tank",IF(H2120&lt;0,"NEGATIVE",IF(H2120&lt;p_min-0.005,"low","OK")))</f>
        <v>OK</v>
      </c>
      <c r="L2120" s="4" t="s">
        <v>414</v>
      </c>
    </row>
    <row r="2121" customFormat="false" ht="15" hidden="false" customHeight="false" outlineLevel="0" collapsed="false">
      <c r="A2121" s="4" t="s">
        <v>44</v>
      </c>
      <c r="B2121" s="4" t="s">
        <v>373</v>
      </c>
      <c r="C2121" s="47" t="n">
        <v>18665.74</v>
      </c>
      <c r="D2121" s="48" t="n">
        <v>1695.04</v>
      </c>
      <c r="E2121" s="49" t="n">
        <f aca="false">D2121-cover</f>
        <v>1693.84</v>
      </c>
      <c r="F2121" s="50" t="n">
        <f aca="false">'Z6 Nkangamo-Uhuru'!S18-'Z6 Nkangamo-Uhuru'!P18*C2121/'Z6 Nkangamo-Uhuru'!G18</f>
        <v>1709.15341671468</v>
      </c>
      <c r="G2121" s="51" t="n">
        <f aca="false">'Z6 Nkangamo-Uhuru'!$B$8-E2121</f>
        <v>12.6600000000001</v>
      </c>
      <c r="H2121" s="52" t="n">
        <f aca="false">F2121-E2121</f>
        <v>15.3134167146814</v>
      </c>
      <c r="I2121" s="52" t="n">
        <f aca="false">MAX(H2121,G2121)</f>
        <v>15.3134167146814</v>
      </c>
      <c r="J2121" s="4" t="str">
        <f aca="false">IFERROR("PN"&amp;SMALL(PN_list,COUNTIF(PN_list,"&lt;"&amp;I2121*bar_per_m)+1),"&gt; max PN")</f>
        <v>PN10</v>
      </c>
      <c r="K2121" s="4" t="str">
        <f aca="false">IF(L2121="no","end at tank",IF(H2121&lt;0,"NEGATIVE",IF(H2121&lt;p_min-0.005,"low","OK")))</f>
        <v>OK</v>
      </c>
      <c r="L2121" s="4" t="s">
        <v>414</v>
      </c>
    </row>
    <row r="2122" customFormat="false" ht="15" hidden="false" customHeight="false" outlineLevel="0" collapsed="false">
      <c r="A2122" s="4" t="s">
        <v>44</v>
      </c>
      <c r="B2122" s="4" t="s">
        <v>373</v>
      </c>
      <c r="C2122" s="47" t="n">
        <v>18685.75</v>
      </c>
      <c r="D2122" s="48" t="n">
        <v>1695.22</v>
      </c>
      <c r="E2122" s="49" t="n">
        <f aca="false">D2122-cover</f>
        <v>1694.02</v>
      </c>
      <c r="F2122" s="50" t="n">
        <f aca="false">'Z6 Nkangamo-Uhuru'!S18-'Z6 Nkangamo-Uhuru'!P18*C2122/'Z6 Nkangamo-Uhuru'!G18</f>
        <v>1709.12224783508</v>
      </c>
      <c r="G2122" s="51" t="n">
        <f aca="false">'Z6 Nkangamo-Uhuru'!$B$8-E2122</f>
        <v>12.48</v>
      </c>
      <c r="H2122" s="52" t="n">
        <f aca="false">F2122-E2122</f>
        <v>15.1022478350831</v>
      </c>
      <c r="I2122" s="52" t="n">
        <f aca="false">MAX(H2122,G2122)</f>
        <v>15.1022478350831</v>
      </c>
      <c r="J2122" s="4" t="str">
        <f aca="false">IFERROR("PN"&amp;SMALL(PN_list,COUNTIF(PN_list,"&lt;"&amp;I2122*bar_per_m)+1),"&gt; max PN")</f>
        <v>PN10</v>
      </c>
      <c r="K2122" s="4" t="str">
        <f aca="false">IF(L2122="no","end at tank",IF(H2122&lt;0,"NEGATIVE",IF(H2122&lt;p_min-0.005,"low","OK")))</f>
        <v>OK</v>
      </c>
      <c r="L2122" s="4" t="s">
        <v>414</v>
      </c>
    </row>
    <row r="2123" customFormat="false" ht="15" hidden="false" customHeight="false" outlineLevel="0" collapsed="false">
      <c r="A2123" s="4" t="s">
        <v>44</v>
      </c>
      <c r="B2123" s="4" t="s">
        <v>373</v>
      </c>
      <c r="C2123" s="47" t="n">
        <v>18705.76</v>
      </c>
      <c r="D2123" s="48" t="n">
        <v>1694.46</v>
      </c>
      <c r="E2123" s="49" t="n">
        <f aca="false">D2123-cover</f>
        <v>1693.26</v>
      </c>
      <c r="F2123" s="50" t="n">
        <f aca="false">'Z6 Nkangamo-Uhuru'!S18-'Z6 Nkangamo-Uhuru'!P18*C2123/'Z6 Nkangamo-Uhuru'!G18</f>
        <v>1709.09107895548</v>
      </c>
      <c r="G2123" s="51" t="n">
        <f aca="false">'Z6 Nkangamo-Uhuru'!$B$8-E2123</f>
        <v>13.24</v>
      </c>
      <c r="H2123" s="52" t="n">
        <f aca="false">F2123-E2123</f>
        <v>15.8310789554848</v>
      </c>
      <c r="I2123" s="52" t="n">
        <f aca="false">MAX(H2123,G2123)</f>
        <v>15.8310789554848</v>
      </c>
      <c r="J2123" s="4" t="str">
        <f aca="false">IFERROR("PN"&amp;SMALL(PN_list,COUNTIF(PN_list,"&lt;"&amp;I2123*bar_per_m)+1),"&gt; max PN")</f>
        <v>PN10</v>
      </c>
      <c r="K2123" s="4" t="str">
        <f aca="false">IF(L2123="no","end at tank",IF(H2123&lt;0,"NEGATIVE",IF(H2123&lt;p_min-0.005,"low","OK")))</f>
        <v>OK</v>
      </c>
      <c r="L2123" s="4" t="s">
        <v>414</v>
      </c>
    </row>
    <row r="2124" customFormat="false" ht="15" hidden="false" customHeight="false" outlineLevel="0" collapsed="false">
      <c r="A2124" s="4" t="s">
        <v>44</v>
      </c>
      <c r="B2124" s="4" t="s">
        <v>373</v>
      </c>
      <c r="C2124" s="47" t="n">
        <v>18725.78</v>
      </c>
      <c r="D2124" s="48" t="n">
        <v>1693.54</v>
      </c>
      <c r="E2124" s="49" t="n">
        <f aca="false">D2124-cover</f>
        <v>1692.34</v>
      </c>
      <c r="F2124" s="50" t="n">
        <f aca="false">'Z6 Nkangamo-Uhuru'!S18-'Z6 Nkangamo-Uhuru'!P18*C2124/'Z6 Nkangamo-Uhuru'!G18</f>
        <v>1709.05989449924</v>
      </c>
      <c r="G2124" s="51" t="n">
        <f aca="false">'Z6 Nkangamo-Uhuru'!$B$8-E2124</f>
        <v>14.1600000000001</v>
      </c>
      <c r="H2124" s="52" t="n">
        <f aca="false">F2124-E2124</f>
        <v>16.7198944992351</v>
      </c>
      <c r="I2124" s="52" t="n">
        <f aca="false">MAX(H2124,G2124)</f>
        <v>16.7198944992351</v>
      </c>
      <c r="J2124" s="4" t="str">
        <f aca="false">IFERROR("PN"&amp;SMALL(PN_list,COUNTIF(PN_list,"&lt;"&amp;I2124*bar_per_m)+1),"&gt; max PN")</f>
        <v>PN10</v>
      </c>
      <c r="K2124" s="4" t="str">
        <f aca="false">IF(L2124="no","end at tank",IF(H2124&lt;0,"NEGATIVE",IF(H2124&lt;p_min-0.005,"low","OK")))</f>
        <v>OK</v>
      </c>
      <c r="L2124" s="4" t="s">
        <v>414</v>
      </c>
    </row>
    <row r="2125" customFormat="false" ht="15" hidden="false" customHeight="false" outlineLevel="0" collapsed="false">
      <c r="A2125" s="4" t="s">
        <v>44</v>
      </c>
      <c r="B2125" s="4" t="s">
        <v>373</v>
      </c>
      <c r="C2125" s="47" t="n">
        <v>18745.78</v>
      </c>
      <c r="D2125" s="48" t="n">
        <v>1693.54</v>
      </c>
      <c r="E2125" s="49" t="n">
        <f aca="false">D2125-cover</f>
        <v>1692.34</v>
      </c>
      <c r="F2125" s="50" t="n">
        <f aca="false">'Z6 Nkangamo-Uhuru'!S18-'Z6 Nkangamo-Uhuru'!P18*C2125/'Z6 Nkangamo-Uhuru'!G18</f>
        <v>1709.02874119629</v>
      </c>
      <c r="G2125" s="51" t="n">
        <f aca="false">'Z6 Nkangamo-Uhuru'!$B$8-E2125</f>
        <v>14.1600000000001</v>
      </c>
      <c r="H2125" s="52" t="n">
        <f aca="false">F2125-E2125</f>
        <v>16.6887411962882</v>
      </c>
      <c r="I2125" s="52" t="n">
        <f aca="false">MAX(H2125,G2125)</f>
        <v>16.6887411962882</v>
      </c>
      <c r="J2125" s="4" t="str">
        <f aca="false">IFERROR("PN"&amp;SMALL(PN_list,COUNTIF(PN_list,"&lt;"&amp;I2125*bar_per_m)+1),"&gt; max PN")</f>
        <v>PN10</v>
      </c>
      <c r="K2125" s="4" t="str">
        <f aca="false">IF(L2125="no","end at tank",IF(H2125&lt;0,"NEGATIVE",IF(H2125&lt;p_min-0.005,"low","OK")))</f>
        <v>OK</v>
      </c>
      <c r="L2125" s="4" t="s">
        <v>414</v>
      </c>
    </row>
    <row r="2126" customFormat="false" ht="15" hidden="false" customHeight="false" outlineLevel="0" collapsed="false">
      <c r="A2126" s="4" t="s">
        <v>44</v>
      </c>
      <c r="B2126" s="4" t="s">
        <v>373</v>
      </c>
      <c r="C2126" s="47" t="n">
        <v>18765.78</v>
      </c>
      <c r="D2126" s="48" t="n">
        <v>1693.63</v>
      </c>
      <c r="E2126" s="49" t="n">
        <f aca="false">D2126-cover</f>
        <v>1692.43</v>
      </c>
      <c r="F2126" s="50" t="n">
        <f aca="false">'Z6 Nkangamo-Uhuru'!S18-'Z6 Nkangamo-Uhuru'!P18*C2126/'Z6 Nkangamo-Uhuru'!G18</f>
        <v>1708.99758789334</v>
      </c>
      <c r="G2126" s="51" t="n">
        <f aca="false">'Z6 Nkangamo-Uhuru'!$B$8-E2126</f>
        <v>14.0699999999999</v>
      </c>
      <c r="H2126" s="52" t="n">
        <f aca="false">F2126-E2126</f>
        <v>16.5675878933412</v>
      </c>
      <c r="I2126" s="52" t="n">
        <f aca="false">MAX(H2126,G2126)</f>
        <v>16.5675878933412</v>
      </c>
      <c r="J2126" s="4" t="str">
        <f aca="false">IFERROR("PN"&amp;SMALL(PN_list,COUNTIF(PN_list,"&lt;"&amp;I2126*bar_per_m)+1),"&gt; max PN")</f>
        <v>PN10</v>
      </c>
      <c r="K2126" s="4" t="str">
        <f aca="false">IF(L2126="no","end at tank",IF(H2126&lt;0,"NEGATIVE",IF(H2126&lt;p_min-0.005,"low","OK")))</f>
        <v>OK</v>
      </c>
      <c r="L2126" s="4" t="s">
        <v>414</v>
      </c>
    </row>
    <row r="2127" customFormat="false" ht="15" hidden="false" customHeight="false" outlineLevel="0" collapsed="false">
      <c r="A2127" s="4" t="s">
        <v>44</v>
      </c>
      <c r="B2127" s="4" t="s">
        <v>373</v>
      </c>
      <c r="C2127" s="47" t="n">
        <v>18785.78</v>
      </c>
      <c r="D2127" s="48" t="n">
        <v>1693.63</v>
      </c>
      <c r="E2127" s="49" t="n">
        <f aca="false">D2127-cover</f>
        <v>1692.43</v>
      </c>
      <c r="F2127" s="50" t="n">
        <f aca="false">'Z6 Nkangamo-Uhuru'!S18-'Z6 Nkangamo-Uhuru'!P18*C2127/'Z6 Nkangamo-Uhuru'!G18</f>
        <v>1708.96643459039</v>
      </c>
      <c r="G2127" s="51" t="n">
        <f aca="false">'Z6 Nkangamo-Uhuru'!$B$8-E2127</f>
        <v>14.0699999999999</v>
      </c>
      <c r="H2127" s="52" t="n">
        <f aca="false">F2127-E2127</f>
        <v>16.5364345903945</v>
      </c>
      <c r="I2127" s="52" t="n">
        <f aca="false">MAX(H2127,G2127)</f>
        <v>16.5364345903945</v>
      </c>
      <c r="J2127" s="4" t="str">
        <f aca="false">IFERROR("PN"&amp;SMALL(PN_list,COUNTIF(PN_list,"&lt;"&amp;I2127*bar_per_m)+1),"&gt; max PN")</f>
        <v>PN10</v>
      </c>
      <c r="K2127" s="4" t="str">
        <f aca="false">IF(L2127="no","end at tank",IF(H2127&lt;0,"NEGATIVE",IF(H2127&lt;p_min-0.005,"low","OK")))</f>
        <v>OK</v>
      </c>
      <c r="L2127" s="4" t="s">
        <v>414</v>
      </c>
    </row>
    <row r="2128" customFormat="false" ht="15" hidden="false" customHeight="false" outlineLevel="0" collapsed="false">
      <c r="A2128" s="4" t="s">
        <v>44</v>
      </c>
      <c r="B2128" s="4" t="s">
        <v>373</v>
      </c>
      <c r="C2128" s="47" t="n">
        <v>18805.78</v>
      </c>
      <c r="D2128" s="48" t="n">
        <v>1693.37</v>
      </c>
      <c r="E2128" s="49" t="n">
        <f aca="false">D2128-cover</f>
        <v>1692.17</v>
      </c>
      <c r="F2128" s="50" t="n">
        <f aca="false">'Z6 Nkangamo-Uhuru'!S18-'Z6 Nkangamo-Uhuru'!P18*C2128/'Z6 Nkangamo-Uhuru'!G18</f>
        <v>1708.93528128745</v>
      </c>
      <c r="G2128" s="51" t="n">
        <f aca="false">'Z6 Nkangamo-Uhuru'!$B$8-E2128</f>
        <v>14.3300000000002</v>
      </c>
      <c r="H2128" s="52" t="n">
        <f aca="false">F2128-E2128</f>
        <v>16.7652812874478</v>
      </c>
      <c r="I2128" s="52" t="n">
        <f aca="false">MAX(H2128,G2128)</f>
        <v>16.7652812874478</v>
      </c>
      <c r="J2128" s="4" t="str">
        <f aca="false">IFERROR("PN"&amp;SMALL(PN_list,COUNTIF(PN_list,"&lt;"&amp;I2128*bar_per_m)+1),"&gt; max PN")</f>
        <v>PN10</v>
      </c>
      <c r="K2128" s="4" t="str">
        <f aca="false">IF(L2128="no","end at tank",IF(H2128&lt;0,"NEGATIVE",IF(H2128&lt;p_min-0.005,"low","OK")))</f>
        <v>OK</v>
      </c>
      <c r="L2128" s="4" t="s">
        <v>414</v>
      </c>
    </row>
    <row r="2129" customFormat="false" ht="15" hidden="false" customHeight="false" outlineLevel="0" collapsed="false">
      <c r="A2129" s="4" t="s">
        <v>44</v>
      </c>
      <c r="B2129" s="4" t="s">
        <v>373</v>
      </c>
      <c r="C2129" s="47" t="n">
        <v>18825.81</v>
      </c>
      <c r="D2129" s="48" t="n">
        <v>1692.36</v>
      </c>
      <c r="E2129" s="49" t="n">
        <f aca="false">D2129-cover</f>
        <v>1691.16</v>
      </c>
      <c r="F2129" s="50" t="n">
        <f aca="false">'Z6 Nkangamo-Uhuru'!S18-'Z6 Nkangamo-Uhuru'!P18*C2129/'Z6 Nkangamo-Uhuru'!G18</f>
        <v>1708.90408125455</v>
      </c>
      <c r="G2129" s="51" t="n">
        <f aca="false">'Z6 Nkangamo-Uhuru'!$B$8-E2129</f>
        <v>15.3400000000001</v>
      </c>
      <c r="H2129" s="52" t="n">
        <f aca="false">F2129-E2129</f>
        <v>17.7440812545465</v>
      </c>
      <c r="I2129" s="52" t="n">
        <f aca="false">MAX(H2129,G2129)</f>
        <v>17.7440812545465</v>
      </c>
      <c r="J2129" s="4" t="str">
        <f aca="false">IFERROR("PN"&amp;SMALL(PN_list,COUNTIF(PN_list,"&lt;"&amp;I2129*bar_per_m)+1),"&gt; max PN")</f>
        <v>PN10</v>
      </c>
      <c r="K2129" s="4" t="str">
        <f aca="false">IF(L2129="no","end at tank",IF(H2129&lt;0,"NEGATIVE",IF(H2129&lt;p_min-0.005,"low","OK")))</f>
        <v>OK</v>
      </c>
      <c r="L2129" s="4" t="s">
        <v>414</v>
      </c>
    </row>
    <row r="2130" customFormat="false" ht="15" hidden="false" customHeight="false" outlineLevel="0" collapsed="false">
      <c r="A2130" s="4" t="s">
        <v>44</v>
      </c>
      <c r="B2130" s="4" t="s">
        <v>373</v>
      </c>
      <c r="C2130" s="47" t="n">
        <v>18845.84</v>
      </c>
      <c r="D2130" s="48" t="n">
        <v>1693.42</v>
      </c>
      <c r="E2130" s="49" t="n">
        <f aca="false">D2130-cover</f>
        <v>1692.22</v>
      </c>
      <c r="F2130" s="50" t="n">
        <f aca="false">'Z6 Nkangamo-Uhuru'!S18-'Z6 Nkangamo-Uhuru'!P18*C2130/'Z6 Nkangamo-Uhuru'!G18</f>
        <v>1708.87288122165</v>
      </c>
      <c r="G2130" s="51" t="n">
        <f aca="false">'Z6 Nkangamo-Uhuru'!$B$8-E2130</f>
        <v>14.28</v>
      </c>
      <c r="H2130" s="52" t="n">
        <f aca="false">F2130-E2130</f>
        <v>16.6528812216452</v>
      </c>
      <c r="I2130" s="52" t="n">
        <f aca="false">MAX(H2130,G2130)</f>
        <v>16.6528812216452</v>
      </c>
      <c r="J2130" s="4" t="str">
        <f aca="false">IFERROR("PN"&amp;SMALL(PN_list,COUNTIF(PN_list,"&lt;"&amp;I2130*bar_per_m)+1),"&gt; max PN")</f>
        <v>PN10</v>
      </c>
      <c r="K2130" s="4" t="str">
        <f aca="false">IF(L2130="no","end at tank",IF(H2130&lt;0,"NEGATIVE",IF(H2130&lt;p_min-0.005,"low","OK")))</f>
        <v>OK</v>
      </c>
      <c r="L2130" s="4" t="s">
        <v>414</v>
      </c>
    </row>
    <row r="2131" customFormat="false" ht="15" hidden="false" customHeight="false" outlineLevel="0" collapsed="false">
      <c r="A2131" s="4" t="s">
        <v>44</v>
      </c>
      <c r="B2131" s="4" t="s">
        <v>373</v>
      </c>
      <c r="C2131" s="47" t="n">
        <v>18865.92</v>
      </c>
      <c r="D2131" s="48" t="n">
        <v>1691.64</v>
      </c>
      <c r="E2131" s="49" t="n">
        <f aca="false">D2131-cover</f>
        <v>1690.44</v>
      </c>
      <c r="F2131" s="50" t="n">
        <f aca="false">'Z6 Nkangamo-Uhuru'!S18-'Z6 Nkangamo-Uhuru'!P18*C2131/'Z6 Nkangamo-Uhuru'!G18</f>
        <v>1708.84160330549</v>
      </c>
      <c r="G2131" s="51" t="n">
        <f aca="false">'Z6 Nkangamo-Uhuru'!$B$8-E2131</f>
        <v>16.0599999999999</v>
      </c>
      <c r="H2131" s="52" t="n">
        <f aca="false">F2131-E2131</f>
        <v>18.4016033054866</v>
      </c>
      <c r="I2131" s="52" t="n">
        <f aca="false">MAX(H2131,G2131)</f>
        <v>18.4016033054866</v>
      </c>
      <c r="J2131" s="4" t="str">
        <f aca="false">IFERROR("PN"&amp;SMALL(PN_list,COUNTIF(PN_list,"&lt;"&amp;I2131*bar_per_m)+1),"&gt; max PN")</f>
        <v>PN10</v>
      </c>
      <c r="K2131" s="4" t="str">
        <f aca="false">IF(L2131="no","end at tank",IF(H2131&lt;0,"NEGATIVE",IF(H2131&lt;p_min-0.005,"low","OK")))</f>
        <v>OK</v>
      </c>
      <c r="L2131" s="4" t="s">
        <v>414</v>
      </c>
    </row>
    <row r="2132" customFormat="false" ht="15" hidden="false" customHeight="false" outlineLevel="0" collapsed="false">
      <c r="A2132" s="4" t="s">
        <v>44</v>
      </c>
      <c r="B2132" s="4" t="s">
        <v>373</v>
      </c>
      <c r="C2132" s="47" t="n">
        <v>18885.92</v>
      </c>
      <c r="D2132" s="48" t="n">
        <v>1691.56</v>
      </c>
      <c r="E2132" s="49" t="n">
        <f aca="false">D2132-cover</f>
        <v>1690.36</v>
      </c>
      <c r="F2132" s="50" t="n">
        <f aca="false">'Z6 Nkangamo-Uhuru'!S18-'Z6 Nkangamo-Uhuru'!P18*C2132/'Z6 Nkangamo-Uhuru'!G18</f>
        <v>1708.81045000254</v>
      </c>
      <c r="G2132" s="51" t="n">
        <f aca="false">'Z6 Nkangamo-Uhuru'!$B$8-E2132</f>
        <v>16.1400000000001</v>
      </c>
      <c r="H2132" s="52" t="n">
        <f aca="false">F2132-E2132</f>
        <v>18.4504500025398</v>
      </c>
      <c r="I2132" s="52" t="n">
        <f aca="false">MAX(H2132,G2132)</f>
        <v>18.4504500025398</v>
      </c>
      <c r="J2132" s="4" t="str">
        <f aca="false">IFERROR("PN"&amp;SMALL(PN_list,COUNTIF(PN_list,"&lt;"&amp;I2132*bar_per_m)+1),"&gt; max PN")</f>
        <v>PN10</v>
      </c>
      <c r="K2132" s="4" t="str">
        <f aca="false">IF(L2132="no","end at tank",IF(H2132&lt;0,"NEGATIVE",IF(H2132&lt;p_min-0.005,"low","OK")))</f>
        <v>OK</v>
      </c>
      <c r="L2132" s="4" t="s">
        <v>414</v>
      </c>
    </row>
    <row r="2133" customFormat="false" ht="15" hidden="false" customHeight="false" outlineLevel="0" collapsed="false">
      <c r="A2133" s="4" t="s">
        <v>44</v>
      </c>
      <c r="B2133" s="4" t="s">
        <v>373</v>
      </c>
      <c r="C2133" s="47" t="n">
        <v>18905.93</v>
      </c>
      <c r="D2133" s="48" t="n">
        <v>1690.92</v>
      </c>
      <c r="E2133" s="49" t="n">
        <f aca="false">D2133-cover</f>
        <v>1689.72</v>
      </c>
      <c r="F2133" s="50" t="n">
        <f aca="false">'Z6 Nkangamo-Uhuru'!S18-'Z6 Nkangamo-Uhuru'!P18*C2133/'Z6 Nkangamo-Uhuru'!G18</f>
        <v>1708.77928112294</v>
      </c>
      <c r="G2133" s="51" t="n">
        <f aca="false">'Z6 Nkangamo-Uhuru'!$B$8-E2133</f>
        <v>16.78</v>
      </c>
      <c r="H2133" s="52" t="n">
        <f aca="false">F2133-E2133</f>
        <v>19.0592811229415</v>
      </c>
      <c r="I2133" s="52" t="n">
        <f aca="false">MAX(H2133,G2133)</f>
        <v>19.0592811229415</v>
      </c>
      <c r="J2133" s="4" t="str">
        <f aca="false">IFERROR("PN"&amp;SMALL(PN_list,COUNTIF(PN_list,"&lt;"&amp;I2133*bar_per_m)+1),"&gt; max PN")</f>
        <v>PN10</v>
      </c>
      <c r="K2133" s="4" t="str">
        <f aca="false">IF(L2133="no","end at tank",IF(H2133&lt;0,"NEGATIVE",IF(H2133&lt;p_min-0.005,"low","OK")))</f>
        <v>OK</v>
      </c>
      <c r="L2133" s="4" t="s">
        <v>414</v>
      </c>
    </row>
    <row r="2134" customFormat="false" ht="15" hidden="false" customHeight="false" outlineLevel="0" collapsed="false">
      <c r="A2134" s="4" t="s">
        <v>44</v>
      </c>
      <c r="B2134" s="4" t="s">
        <v>373</v>
      </c>
      <c r="C2134" s="47" t="n">
        <v>18925.93</v>
      </c>
      <c r="D2134" s="48" t="n">
        <v>1691.1</v>
      </c>
      <c r="E2134" s="49" t="n">
        <f aca="false">D2134-cover</f>
        <v>1689.9</v>
      </c>
      <c r="F2134" s="50" t="n">
        <f aca="false">'Z6 Nkangamo-Uhuru'!S18-'Z6 Nkangamo-Uhuru'!P18*C2134/'Z6 Nkangamo-Uhuru'!G18</f>
        <v>1708.74812781999</v>
      </c>
      <c r="G2134" s="51" t="n">
        <f aca="false">'Z6 Nkangamo-Uhuru'!$B$8-E2134</f>
        <v>16.6000000000001</v>
      </c>
      <c r="H2134" s="52" t="n">
        <f aca="false">F2134-E2134</f>
        <v>18.8481278199947</v>
      </c>
      <c r="I2134" s="52" t="n">
        <f aca="false">MAX(H2134,G2134)</f>
        <v>18.8481278199947</v>
      </c>
      <c r="J2134" s="4" t="str">
        <f aca="false">IFERROR("PN"&amp;SMALL(PN_list,COUNTIF(PN_list,"&lt;"&amp;I2134*bar_per_m)+1),"&gt; max PN")</f>
        <v>PN10</v>
      </c>
      <c r="K2134" s="4" t="str">
        <f aca="false">IF(L2134="no","end at tank",IF(H2134&lt;0,"NEGATIVE",IF(H2134&lt;p_min-0.005,"low","OK")))</f>
        <v>OK</v>
      </c>
      <c r="L2134" s="4" t="s">
        <v>414</v>
      </c>
    </row>
    <row r="2135" customFormat="false" ht="15" hidden="false" customHeight="false" outlineLevel="0" collapsed="false">
      <c r="A2135" s="4" t="s">
        <v>44</v>
      </c>
      <c r="B2135" s="4" t="s">
        <v>373</v>
      </c>
      <c r="C2135" s="47" t="n">
        <v>18945.93</v>
      </c>
      <c r="D2135" s="48" t="n">
        <v>1690.99</v>
      </c>
      <c r="E2135" s="49" t="n">
        <f aca="false">D2135-cover</f>
        <v>1689.79</v>
      </c>
      <c r="F2135" s="50" t="n">
        <f aca="false">'Z6 Nkangamo-Uhuru'!S18-'Z6 Nkangamo-Uhuru'!P18*C2135/'Z6 Nkangamo-Uhuru'!G18</f>
        <v>1708.71697451705</v>
      </c>
      <c r="G2135" s="51" t="n">
        <f aca="false">'Z6 Nkangamo-Uhuru'!$B$8-E2135</f>
        <v>16.71</v>
      </c>
      <c r="H2135" s="52" t="n">
        <f aca="false">F2135-E2135</f>
        <v>18.9269745170479</v>
      </c>
      <c r="I2135" s="52" t="n">
        <f aca="false">MAX(H2135,G2135)</f>
        <v>18.9269745170479</v>
      </c>
      <c r="J2135" s="4" t="str">
        <f aca="false">IFERROR("PN"&amp;SMALL(PN_list,COUNTIF(PN_list,"&lt;"&amp;I2135*bar_per_m)+1),"&gt; max PN")</f>
        <v>PN10</v>
      </c>
      <c r="K2135" s="4" t="str">
        <f aca="false">IF(L2135="no","end at tank",IF(H2135&lt;0,"NEGATIVE",IF(H2135&lt;p_min-0.005,"low","OK")))</f>
        <v>OK</v>
      </c>
      <c r="L2135" s="4" t="s">
        <v>414</v>
      </c>
    </row>
    <row r="2136" customFormat="false" ht="15" hidden="false" customHeight="false" outlineLevel="0" collapsed="false">
      <c r="A2136" s="4" t="s">
        <v>44</v>
      </c>
      <c r="B2136" s="4" t="s">
        <v>373</v>
      </c>
      <c r="C2136" s="47" t="n">
        <v>18965.93</v>
      </c>
      <c r="D2136" s="48" t="n">
        <v>1691.09</v>
      </c>
      <c r="E2136" s="49" t="n">
        <f aca="false">D2136-cover</f>
        <v>1689.89</v>
      </c>
      <c r="F2136" s="50" t="n">
        <f aca="false">'Z6 Nkangamo-Uhuru'!S18-'Z6 Nkangamo-Uhuru'!P18*C2136/'Z6 Nkangamo-Uhuru'!G18</f>
        <v>1708.6858212141</v>
      </c>
      <c r="G2136" s="51" t="n">
        <f aca="false">'Z6 Nkangamo-Uhuru'!$B$8-E2136</f>
        <v>16.6100000000001</v>
      </c>
      <c r="H2136" s="52" t="n">
        <f aca="false">F2136-E2136</f>
        <v>18.7958212141011</v>
      </c>
      <c r="I2136" s="52" t="n">
        <f aca="false">MAX(H2136,G2136)</f>
        <v>18.7958212141011</v>
      </c>
      <c r="J2136" s="4" t="str">
        <f aca="false">IFERROR("PN"&amp;SMALL(PN_list,COUNTIF(PN_list,"&lt;"&amp;I2136*bar_per_m)+1),"&gt; max PN")</f>
        <v>PN10</v>
      </c>
      <c r="K2136" s="4" t="str">
        <f aca="false">IF(L2136="no","end at tank",IF(H2136&lt;0,"NEGATIVE",IF(H2136&lt;p_min-0.005,"low","OK")))</f>
        <v>OK</v>
      </c>
      <c r="L2136" s="4" t="s">
        <v>414</v>
      </c>
    </row>
    <row r="2137" customFormat="false" ht="15" hidden="false" customHeight="false" outlineLevel="0" collapsed="false">
      <c r="A2137" s="4" t="s">
        <v>44</v>
      </c>
      <c r="B2137" s="4" t="s">
        <v>373</v>
      </c>
      <c r="C2137" s="47" t="n">
        <v>18985.93</v>
      </c>
      <c r="D2137" s="48" t="n">
        <v>1690.63</v>
      </c>
      <c r="E2137" s="49" t="n">
        <f aca="false">D2137-cover</f>
        <v>1689.43</v>
      </c>
      <c r="F2137" s="50" t="n">
        <f aca="false">'Z6 Nkangamo-Uhuru'!S18-'Z6 Nkangamo-Uhuru'!P18*C2137/'Z6 Nkangamo-Uhuru'!G18</f>
        <v>1708.65466791115</v>
      </c>
      <c r="G2137" s="51" t="n">
        <f aca="false">'Z6 Nkangamo-Uhuru'!$B$8-E2137</f>
        <v>17.0699999999999</v>
      </c>
      <c r="H2137" s="52" t="n">
        <f aca="false">F2137-E2137</f>
        <v>19.224667911154</v>
      </c>
      <c r="I2137" s="52" t="n">
        <f aca="false">MAX(H2137,G2137)</f>
        <v>19.224667911154</v>
      </c>
      <c r="J2137" s="4" t="str">
        <f aca="false">IFERROR("PN"&amp;SMALL(PN_list,COUNTIF(PN_list,"&lt;"&amp;I2137*bar_per_m)+1),"&gt; max PN")</f>
        <v>PN10</v>
      </c>
      <c r="K2137" s="4" t="str">
        <f aca="false">IF(L2137="no","end at tank",IF(H2137&lt;0,"NEGATIVE",IF(H2137&lt;p_min-0.005,"low","OK")))</f>
        <v>OK</v>
      </c>
      <c r="L2137" s="4" t="s">
        <v>414</v>
      </c>
    </row>
    <row r="2138" customFormat="false" ht="15" hidden="false" customHeight="false" outlineLevel="0" collapsed="false">
      <c r="A2138" s="4" t="s">
        <v>44</v>
      </c>
      <c r="B2138" s="4" t="s">
        <v>373</v>
      </c>
      <c r="C2138" s="47" t="n">
        <v>19005.93</v>
      </c>
      <c r="D2138" s="48" t="n">
        <v>1690.74</v>
      </c>
      <c r="E2138" s="49" t="n">
        <f aca="false">D2138-cover</f>
        <v>1689.54</v>
      </c>
      <c r="F2138" s="50" t="n">
        <f aca="false">'Z6 Nkangamo-Uhuru'!S18-'Z6 Nkangamo-Uhuru'!P18*C2138/'Z6 Nkangamo-Uhuru'!G18</f>
        <v>1708.62351460821</v>
      </c>
      <c r="G2138" s="51" t="n">
        <f aca="false">'Z6 Nkangamo-Uhuru'!$B$8-E2138</f>
        <v>16.96</v>
      </c>
      <c r="H2138" s="52" t="n">
        <f aca="false">F2138-E2138</f>
        <v>19.0835146082075</v>
      </c>
      <c r="I2138" s="52" t="n">
        <f aca="false">MAX(H2138,G2138)</f>
        <v>19.0835146082075</v>
      </c>
      <c r="J2138" s="4" t="str">
        <f aca="false">IFERROR("PN"&amp;SMALL(PN_list,COUNTIF(PN_list,"&lt;"&amp;I2138*bar_per_m)+1),"&gt; max PN")</f>
        <v>PN10</v>
      </c>
      <c r="K2138" s="4" t="str">
        <f aca="false">IF(L2138="no","end at tank",IF(H2138&lt;0,"NEGATIVE",IF(H2138&lt;p_min-0.005,"low","OK")))</f>
        <v>OK</v>
      </c>
      <c r="L2138" s="4" t="s">
        <v>414</v>
      </c>
    </row>
    <row r="2139" customFormat="false" ht="15" hidden="false" customHeight="false" outlineLevel="0" collapsed="false">
      <c r="A2139" s="4" t="s">
        <v>44</v>
      </c>
      <c r="B2139" s="4" t="s">
        <v>373</v>
      </c>
      <c r="C2139" s="47" t="n">
        <v>19025.93</v>
      </c>
      <c r="D2139" s="48" t="n">
        <v>1690.65</v>
      </c>
      <c r="E2139" s="49" t="n">
        <f aca="false">D2139-cover</f>
        <v>1689.45</v>
      </c>
      <c r="F2139" s="50" t="n">
        <f aca="false">'Z6 Nkangamo-Uhuru'!S18-'Z6 Nkangamo-Uhuru'!P18*C2139/'Z6 Nkangamo-Uhuru'!G18</f>
        <v>1708.59236130526</v>
      </c>
      <c r="G2139" s="51" t="n">
        <f aca="false">'Z6 Nkangamo-Uhuru'!$B$8-E2139</f>
        <v>17.05</v>
      </c>
      <c r="H2139" s="52" t="n">
        <f aca="false">F2139-E2139</f>
        <v>19.1423613052605</v>
      </c>
      <c r="I2139" s="52" t="n">
        <f aca="false">MAX(H2139,G2139)</f>
        <v>19.1423613052605</v>
      </c>
      <c r="J2139" s="4" t="str">
        <f aca="false">IFERROR("PN"&amp;SMALL(PN_list,COUNTIF(PN_list,"&lt;"&amp;I2139*bar_per_m)+1),"&gt; max PN")</f>
        <v>PN10</v>
      </c>
      <c r="K2139" s="4" t="str">
        <f aca="false">IF(L2139="no","end at tank",IF(H2139&lt;0,"NEGATIVE",IF(H2139&lt;p_min-0.005,"low","OK")))</f>
        <v>OK</v>
      </c>
      <c r="L2139" s="4" t="s">
        <v>414</v>
      </c>
    </row>
    <row r="2140" customFormat="false" ht="15" hidden="false" customHeight="false" outlineLevel="0" collapsed="false">
      <c r="A2140" s="4" t="s">
        <v>44</v>
      </c>
      <c r="B2140" s="4" t="s">
        <v>373</v>
      </c>
      <c r="C2140" s="47" t="n">
        <v>19045.93</v>
      </c>
      <c r="D2140" s="48" t="n">
        <v>1690.91</v>
      </c>
      <c r="E2140" s="49" t="n">
        <f aca="false">D2140-cover</f>
        <v>1689.71</v>
      </c>
      <c r="F2140" s="50" t="n">
        <f aca="false">'Z6 Nkangamo-Uhuru'!S18-'Z6 Nkangamo-Uhuru'!P18*C2140/'Z6 Nkangamo-Uhuru'!G18</f>
        <v>1708.56120800231</v>
      </c>
      <c r="G2140" s="51" t="n">
        <f aca="false">'Z6 Nkangamo-Uhuru'!$B$8-E2140</f>
        <v>16.79</v>
      </c>
      <c r="H2140" s="52" t="n">
        <f aca="false">F2140-E2140</f>
        <v>18.8512080023136</v>
      </c>
      <c r="I2140" s="52" t="n">
        <f aca="false">MAX(H2140,G2140)</f>
        <v>18.8512080023136</v>
      </c>
      <c r="J2140" s="4" t="str">
        <f aca="false">IFERROR("PN"&amp;SMALL(PN_list,COUNTIF(PN_list,"&lt;"&amp;I2140*bar_per_m)+1),"&gt; max PN")</f>
        <v>PN10</v>
      </c>
      <c r="K2140" s="4" t="str">
        <f aca="false">IF(L2140="no","end at tank",IF(H2140&lt;0,"NEGATIVE",IF(H2140&lt;p_min-0.005,"low","OK")))</f>
        <v>OK</v>
      </c>
      <c r="L2140" s="4" t="s">
        <v>414</v>
      </c>
    </row>
    <row r="2141" customFormat="false" ht="15" hidden="false" customHeight="false" outlineLevel="0" collapsed="false">
      <c r="A2141" s="4" t="s">
        <v>44</v>
      </c>
      <c r="B2141" s="4" t="s">
        <v>373</v>
      </c>
      <c r="C2141" s="47" t="n">
        <v>19065.94</v>
      </c>
      <c r="D2141" s="48" t="n">
        <v>1690.39</v>
      </c>
      <c r="E2141" s="49" t="n">
        <f aca="false">D2141-cover</f>
        <v>1689.19</v>
      </c>
      <c r="F2141" s="50" t="n">
        <f aca="false">'Z6 Nkangamo-Uhuru'!S18-'Z6 Nkangamo-Uhuru'!P18*C2141/'Z6 Nkangamo-Uhuru'!G18</f>
        <v>1708.53003912272</v>
      </c>
      <c r="G2141" s="51" t="n">
        <f aca="false">'Z6 Nkangamo-Uhuru'!$B$8-E2141</f>
        <v>17.3099999999999</v>
      </c>
      <c r="H2141" s="52" t="n">
        <f aca="false">F2141-E2141</f>
        <v>19.3400391227153</v>
      </c>
      <c r="I2141" s="52" t="n">
        <f aca="false">MAX(H2141,G2141)</f>
        <v>19.3400391227153</v>
      </c>
      <c r="J2141" s="4" t="str">
        <f aca="false">IFERROR("PN"&amp;SMALL(PN_list,COUNTIF(PN_list,"&lt;"&amp;I2141*bar_per_m)+1),"&gt; max PN")</f>
        <v>PN10</v>
      </c>
      <c r="K2141" s="4" t="str">
        <f aca="false">IF(L2141="no","end at tank",IF(H2141&lt;0,"NEGATIVE",IF(H2141&lt;p_min-0.005,"low","OK")))</f>
        <v>OK</v>
      </c>
      <c r="L2141" s="4" t="s">
        <v>414</v>
      </c>
    </row>
    <row r="2142" customFormat="false" ht="15" hidden="false" customHeight="false" outlineLevel="0" collapsed="false">
      <c r="A2142" s="4" t="s">
        <v>44</v>
      </c>
      <c r="B2142" s="4" t="s">
        <v>373</v>
      </c>
      <c r="C2142" s="47" t="n">
        <v>19085.95</v>
      </c>
      <c r="D2142" s="48" t="n">
        <v>1690.95</v>
      </c>
      <c r="E2142" s="49" t="n">
        <f aca="false">D2142-cover</f>
        <v>1689.75</v>
      </c>
      <c r="F2142" s="50" t="n">
        <f aca="false">'Z6 Nkangamo-Uhuru'!S18-'Z6 Nkangamo-Uhuru'!P18*C2142/'Z6 Nkangamo-Uhuru'!G18</f>
        <v>1708.49887024312</v>
      </c>
      <c r="G2142" s="51" t="n">
        <f aca="false">'Z6 Nkangamo-Uhuru'!$B$8-E2142</f>
        <v>16.75</v>
      </c>
      <c r="H2142" s="52" t="n">
        <f aca="false">F2142-E2142</f>
        <v>18.7488702431172</v>
      </c>
      <c r="I2142" s="52" t="n">
        <f aca="false">MAX(H2142,G2142)</f>
        <v>18.7488702431172</v>
      </c>
      <c r="J2142" s="4" t="str">
        <f aca="false">IFERROR("PN"&amp;SMALL(PN_list,COUNTIF(PN_list,"&lt;"&amp;I2142*bar_per_m)+1),"&gt; max PN")</f>
        <v>PN10</v>
      </c>
      <c r="K2142" s="4" t="str">
        <f aca="false">IF(L2142="no","end at tank",IF(H2142&lt;0,"NEGATIVE",IF(H2142&lt;p_min-0.005,"low","OK")))</f>
        <v>OK</v>
      </c>
      <c r="L2142" s="4" t="s">
        <v>414</v>
      </c>
    </row>
    <row r="2143" customFormat="false" ht="15" hidden="false" customHeight="false" outlineLevel="0" collapsed="false">
      <c r="A2143" s="4" t="s">
        <v>44</v>
      </c>
      <c r="B2143" s="4" t="s">
        <v>373</v>
      </c>
      <c r="C2143" s="47" t="n">
        <v>19105.95</v>
      </c>
      <c r="D2143" s="48" t="n">
        <v>1690.95</v>
      </c>
      <c r="E2143" s="49" t="n">
        <f aca="false">D2143-cover</f>
        <v>1689.75</v>
      </c>
      <c r="F2143" s="50" t="n">
        <f aca="false">'Z6 Nkangamo-Uhuru'!S18-'Z6 Nkangamo-Uhuru'!P18*C2143/'Z6 Nkangamo-Uhuru'!G18</f>
        <v>1708.46771694017</v>
      </c>
      <c r="G2143" s="51" t="n">
        <f aca="false">'Z6 Nkangamo-Uhuru'!$B$8-E2143</f>
        <v>16.75</v>
      </c>
      <c r="H2143" s="52" t="n">
        <f aca="false">F2143-E2143</f>
        <v>18.7177169401703</v>
      </c>
      <c r="I2143" s="52" t="n">
        <f aca="false">MAX(H2143,G2143)</f>
        <v>18.7177169401703</v>
      </c>
      <c r="J2143" s="4" t="str">
        <f aca="false">IFERROR("PN"&amp;SMALL(PN_list,COUNTIF(PN_list,"&lt;"&amp;I2143*bar_per_m)+1),"&gt; max PN")</f>
        <v>PN10</v>
      </c>
      <c r="K2143" s="4" t="str">
        <f aca="false">IF(L2143="no","end at tank",IF(H2143&lt;0,"NEGATIVE",IF(H2143&lt;p_min-0.005,"low","OK")))</f>
        <v>OK</v>
      </c>
      <c r="L2143" s="4" t="s">
        <v>414</v>
      </c>
    </row>
    <row r="2144" customFormat="false" ht="15" hidden="false" customHeight="false" outlineLevel="0" collapsed="false">
      <c r="A2144" s="4" t="s">
        <v>44</v>
      </c>
      <c r="B2144" s="4" t="s">
        <v>373</v>
      </c>
      <c r="C2144" s="47" t="n">
        <v>19126</v>
      </c>
      <c r="D2144" s="48" t="n">
        <v>1691.56</v>
      </c>
      <c r="E2144" s="49" t="n">
        <f aca="false">D2144-cover</f>
        <v>1690.36</v>
      </c>
      <c r="F2144" s="50" t="n">
        <f aca="false">'Z6 Nkangamo-Uhuru'!S18-'Z6 Nkangamo-Uhuru'!P18*C2144/'Z6 Nkangamo-Uhuru'!G18</f>
        <v>1708.43648575397</v>
      </c>
      <c r="G2144" s="51" t="n">
        <f aca="false">'Z6 Nkangamo-Uhuru'!$B$8-E2144</f>
        <v>16.1400000000001</v>
      </c>
      <c r="H2144" s="52" t="n">
        <f aca="false">F2144-E2144</f>
        <v>18.0764857539662</v>
      </c>
      <c r="I2144" s="52" t="n">
        <f aca="false">MAX(H2144,G2144)</f>
        <v>18.0764857539662</v>
      </c>
      <c r="J2144" s="4" t="str">
        <f aca="false">IFERROR("PN"&amp;SMALL(PN_list,COUNTIF(PN_list,"&lt;"&amp;I2144*bar_per_m)+1),"&gt; max PN")</f>
        <v>PN10</v>
      </c>
      <c r="K2144" s="4" t="str">
        <f aca="false">IF(L2144="no","end at tank",IF(H2144&lt;0,"NEGATIVE",IF(H2144&lt;p_min-0.005,"low","OK")))</f>
        <v>OK</v>
      </c>
      <c r="L2144" s="4" t="s">
        <v>414</v>
      </c>
    </row>
    <row r="2145" customFormat="false" ht="15" hidden="false" customHeight="false" outlineLevel="0" collapsed="false">
      <c r="A2145" s="4" t="s">
        <v>44</v>
      </c>
      <c r="B2145" s="4" t="s">
        <v>373</v>
      </c>
      <c r="C2145" s="47" t="n">
        <v>19146</v>
      </c>
      <c r="D2145" s="48" t="n">
        <v>1691.82</v>
      </c>
      <c r="E2145" s="49" t="n">
        <f aca="false">D2145-cover</f>
        <v>1690.62</v>
      </c>
      <c r="F2145" s="50" t="n">
        <f aca="false">'Z6 Nkangamo-Uhuru'!S18-'Z6 Nkangamo-Uhuru'!P18*C2145/'Z6 Nkangamo-Uhuru'!G18</f>
        <v>1708.40533245102</v>
      </c>
      <c r="G2145" s="51" t="n">
        <f aca="false">'Z6 Nkangamo-Uhuru'!$B$8-E2145</f>
        <v>15.8800000000001</v>
      </c>
      <c r="H2145" s="52" t="n">
        <f aca="false">F2145-E2145</f>
        <v>17.7853324510193</v>
      </c>
      <c r="I2145" s="52" t="n">
        <f aca="false">MAX(H2145,G2145)</f>
        <v>17.7853324510193</v>
      </c>
      <c r="J2145" s="4" t="str">
        <f aca="false">IFERROR("PN"&amp;SMALL(PN_list,COUNTIF(PN_list,"&lt;"&amp;I2145*bar_per_m)+1),"&gt; max PN")</f>
        <v>PN10</v>
      </c>
      <c r="K2145" s="4" t="str">
        <f aca="false">IF(L2145="no","end at tank",IF(H2145&lt;0,"NEGATIVE",IF(H2145&lt;p_min-0.005,"low","OK")))</f>
        <v>OK</v>
      </c>
      <c r="L2145" s="4" t="s">
        <v>414</v>
      </c>
    </row>
    <row r="2146" customFormat="false" ht="15" hidden="false" customHeight="false" outlineLevel="0" collapsed="false">
      <c r="A2146" s="4" t="s">
        <v>44</v>
      </c>
      <c r="B2146" s="4" t="s">
        <v>373</v>
      </c>
      <c r="C2146" s="47" t="n">
        <v>19166</v>
      </c>
      <c r="D2146" s="48" t="n">
        <v>1692.15</v>
      </c>
      <c r="E2146" s="49" t="n">
        <f aca="false">D2146-cover</f>
        <v>1690.95</v>
      </c>
      <c r="F2146" s="50" t="n">
        <f aca="false">'Z6 Nkangamo-Uhuru'!S18-'Z6 Nkangamo-Uhuru'!P18*C2146/'Z6 Nkangamo-Uhuru'!G18</f>
        <v>1708.37417914807</v>
      </c>
      <c r="G2146" s="51" t="n">
        <f aca="false">'Z6 Nkangamo-Uhuru'!$B$8-E2146</f>
        <v>15.55</v>
      </c>
      <c r="H2146" s="52" t="n">
        <f aca="false">F2146-E2146</f>
        <v>17.4241791480724</v>
      </c>
      <c r="I2146" s="52" t="n">
        <f aca="false">MAX(H2146,G2146)</f>
        <v>17.4241791480724</v>
      </c>
      <c r="J2146" s="4" t="str">
        <f aca="false">IFERROR("PN"&amp;SMALL(PN_list,COUNTIF(PN_list,"&lt;"&amp;I2146*bar_per_m)+1),"&gt; max PN")</f>
        <v>PN10</v>
      </c>
      <c r="K2146" s="4" t="str">
        <f aca="false">IF(L2146="no","end at tank",IF(H2146&lt;0,"NEGATIVE",IF(H2146&lt;p_min-0.005,"low","OK")))</f>
        <v>OK</v>
      </c>
      <c r="L2146" s="4" t="s">
        <v>414</v>
      </c>
    </row>
    <row r="2147" customFormat="false" ht="15" hidden="false" customHeight="false" outlineLevel="0" collapsed="false">
      <c r="A2147" s="4" t="s">
        <v>44</v>
      </c>
      <c r="B2147" s="4" t="s">
        <v>373</v>
      </c>
      <c r="C2147" s="47" t="n">
        <v>19186</v>
      </c>
      <c r="D2147" s="48" t="n">
        <v>1692.33</v>
      </c>
      <c r="E2147" s="49" t="n">
        <f aca="false">D2147-cover</f>
        <v>1691.13</v>
      </c>
      <c r="F2147" s="50" t="n">
        <f aca="false">'Z6 Nkangamo-Uhuru'!S18-'Z6 Nkangamo-Uhuru'!P18*C2147/'Z6 Nkangamo-Uhuru'!G18</f>
        <v>1708.34302584513</v>
      </c>
      <c r="G2147" s="51" t="n">
        <f aca="false">'Z6 Nkangamo-Uhuru'!$B$8-E2147</f>
        <v>15.3700000000001</v>
      </c>
      <c r="H2147" s="52" t="n">
        <f aca="false">F2147-E2147</f>
        <v>17.2130258451257</v>
      </c>
      <c r="I2147" s="52" t="n">
        <f aca="false">MAX(H2147,G2147)</f>
        <v>17.2130258451257</v>
      </c>
      <c r="J2147" s="4" t="str">
        <f aca="false">IFERROR("PN"&amp;SMALL(PN_list,COUNTIF(PN_list,"&lt;"&amp;I2147*bar_per_m)+1),"&gt; max PN")</f>
        <v>PN10</v>
      </c>
      <c r="K2147" s="4" t="str">
        <f aca="false">IF(L2147="no","end at tank",IF(H2147&lt;0,"NEGATIVE",IF(H2147&lt;p_min-0.005,"low","OK")))</f>
        <v>OK</v>
      </c>
      <c r="L2147" s="4" t="s">
        <v>414</v>
      </c>
    </row>
    <row r="2148" customFormat="false" ht="15" hidden="false" customHeight="false" outlineLevel="0" collapsed="false">
      <c r="A2148" s="4" t="s">
        <v>44</v>
      </c>
      <c r="B2148" s="4" t="s">
        <v>373</v>
      </c>
      <c r="C2148" s="47" t="n">
        <v>19206.01</v>
      </c>
      <c r="D2148" s="48" t="n">
        <v>1692.73</v>
      </c>
      <c r="E2148" s="49" t="n">
        <f aca="false">D2148-cover</f>
        <v>1691.53</v>
      </c>
      <c r="F2148" s="50" t="n">
        <f aca="false">'Z6 Nkangamo-Uhuru'!S18-'Z6 Nkangamo-Uhuru'!P18*C2148/'Z6 Nkangamo-Uhuru'!G18</f>
        <v>1708.31185696553</v>
      </c>
      <c r="G2148" s="51" t="n">
        <f aca="false">'Z6 Nkangamo-Uhuru'!$B$8-E2148</f>
        <v>14.97</v>
      </c>
      <c r="H2148" s="52" t="n">
        <f aca="false">F2148-E2148</f>
        <v>16.7818569655274</v>
      </c>
      <c r="I2148" s="52" t="n">
        <f aca="false">MAX(H2148,G2148)</f>
        <v>16.7818569655274</v>
      </c>
      <c r="J2148" s="4" t="str">
        <f aca="false">IFERROR("PN"&amp;SMALL(PN_list,COUNTIF(PN_list,"&lt;"&amp;I2148*bar_per_m)+1),"&gt; max PN")</f>
        <v>PN10</v>
      </c>
      <c r="K2148" s="4" t="str">
        <f aca="false">IF(L2148="no","end at tank",IF(H2148&lt;0,"NEGATIVE",IF(H2148&lt;p_min-0.005,"low","OK")))</f>
        <v>OK</v>
      </c>
      <c r="L2148" s="4" t="s">
        <v>414</v>
      </c>
    </row>
    <row r="2149" customFormat="false" ht="15" hidden="false" customHeight="false" outlineLevel="0" collapsed="false">
      <c r="A2149" s="4" t="s">
        <v>44</v>
      </c>
      <c r="B2149" s="4" t="s">
        <v>373</v>
      </c>
      <c r="C2149" s="47" t="n">
        <v>19226.01</v>
      </c>
      <c r="D2149" s="48" t="n">
        <v>1692.79</v>
      </c>
      <c r="E2149" s="49" t="n">
        <f aca="false">D2149-cover</f>
        <v>1691.59</v>
      </c>
      <c r="F2149" s="50" t="n">
        <f aca="false">'Z6 Nkangamo-Uhuru'!S18-'Z6 Nkangamo-Uhuru'!P18*C2149/'Z6 Nkangamo-Uhuru'!G18</f>
        <v>1708.28070366258</v>
      </c>
      <c r="G2149" s="51" t="n">
        <f aca="false">'Z6 Nkangamo-Uhuru'!$B$8-E2149</f>
        <v>14.9100000000001</v>
      </c>
      <c r="H2149" s="52" t="n">
        <f aca="false">F2149-E2149</f>
        <v>16.6907036625805</v>
      </c>
      <c r="I2149" s="52" t="n">
        <f aca="false">MAX(H2149,G2149)</f>
        <v>16.6907036625805</v>
      </c>
      <c r="J2149" s="4" t="str">
        <f aca="false">IFERROR("PN"&amp;SMALL(PN_list,COUNTIF(PN_list,"&lt;"&amp;I2149*bar_per_m)+1),"&gt; max PN")</f>
        <v>PN10</v>
      </c>
      <c r="K2149" s="4" t="str">
        <f aca="false">IF(L2149="no","end at tank",IF(H2149&lt;0,"NEGATIVE",IF(H2149&lt;p_min-0.005,"low","OK")))</f>
        <v>OK</v>
      </c>
      <c r="L2149" s="4" t="s">
        <v>414</v>
      </c>
    </row>
    <row r="2150" customFormat="false" ht="15" hidden="false" customHeight="false" outlineLevel="0" collapsed="false">
      <c r="A2150" s="4" t="s">
        <v>44</v>
      </c>
      <c r="B2150" s="4" t="s">
        <v>373</v>
      </c>
      <c r="C2150" s="47" t="n">
        <v>19246.05</v>
      </c>
      <c r="D2150" s="48" t="n">
        <v>1694.08</v>
      </c>
      <c r="E2150" s="49" t="n">
        <f aca="false">D2150-cover</f>
        <v>1692.88</v>
      </c>
      <c r="F2150" s="50" t="n">
        <f aca="false">'Z6 Nkangamo-Uhuru'!S18-'Z6 Nkangamo-Uhuru'!P18*C2150/'Z6 Nkangamo-Uhuru'!G18</f>
        <v>1708.24948805303</v>
      </c>
      <c r="G2150" s="51" t="n">
        <f aca="false">'Z6 Nkangamo-Uhuru'!$B$8-E2150</f>
        <v>13.6200000000001</v>
      </c>
      <c r="H2150" s="52" t="n">
        <f aca="false">F2150-E2150</f>
        <v>15.3694880530279</v>
      </c>
      <c r="I2150" s="52" t="n">
        <f aca="false">MAX(H2150,G2150)</f>
        <v>15.3694880530279</v>
      </c>
      <c r="J2150" s="4" t="str">
        <f aca="false">IFERROR("PN"&amp;SMALL(PN_list,COUNTIF(PN_list,"&lt;"&amp;I2150*bar_per_m)+1),"&gt; max PN")</f>
        <v>PN10</v>
      </c>
      <c r="K2150" s="4" t="str">
        <f aca="false">IF(L2150="no","end at tank",IF(H2150&lt;0,"NEGATIVE",IF(H2150&lt;p_min-0.005,"low","OK")))</f>
        <v>OK</v>
      </c>
      <c r="L2150" s="4" t="s">
        <v>414</v>
      </c>
    </row>
    <row r="2151" customFormat="false" ht="15" hidden="false" customHeight="false" outlineLevel="0" collapsed="false">
      <c r="A2151" s="4" t="s">
        <v>44</v>
      </c>
      <c r="B2151" s="4" t="s">
        <v>373</v>
      </c>
      <c r="C2151" s="47" t="n">
        <v>19266.1</v>
      </c>
      <c r="D2151" s="48" t="n">
        <v>1694.19</v>
      </c>
      <c r="E2151" s="49" t="n">
        <f aca="false">D2151-cover</f>
        <v>1692.99</v>
      </c>
      <c r="F2151" s="50" t="n">
        <f aca="false">'Z6 Nkangamo-Uhuru'!S18-'Z6 Nkangamo-Uhuru'!P18*C2151/'Z6 Nkangamo-Uhuru'!G18</f>
        <v>1708.21825686682</v>
      </c>
      <c r="G2151" s="51" t="n">
        <f aca="false">'Z6 Nkangamo-Uhuru'!$B$8-E2151</f>
        <v>13.51</v>
      </c>
      <c r="H2151" s="52" t="n">
        <f aca="false">F2151-E2151</f>
        <v>15.2282568668236</v>
      </c>
      <c r="I2151" s="52" t="n">
        <f aca="false">MAX(H2151,G2151)</f>
        <v>15.2282568668236</v>
      </c>
      <c r="J2151" s="4" t="str">
        <f aca="false">IFERROR("PN"&amp;SMALL(PN_list,COUNTIF(PN_list,"&lt;"&amp;I2151*bar_per_m)+1),"&gt; max PN")</f>
        <v>PN10</v>
      </c>
      <c r="K2151" s="4" t="str">
        <f aca="false">IF(L2151="no","end at tank",IF(H2151&lt;0,"NEGATIVE",IF(H2151&lt;p_min-0.005,"low","OK")))</f>
        <v>OK</v>
      </c>
      <c r="L2151" s="4" t="s">
        <v>414</v>
      </c>
    </row>
    <row r="2152" customFormat="false" ht="15" hidden="false" customHeight="false" outlineLevel="0" collapsed="false">
      <c r="A2152" s="4" t="s">
        <v>44</v>
      </c>
      <c r="B2152" s="4" t="s">
        <v>373</v>
      </c>
      <c r="C2152" s="47" t="n">
        <v>19286.11</v>
      </c>
      <c r="D2152" s="48" t="n">
        <v>1694.71</v>
      </c>
      <c r="E2152" s="49" t="n">
        <f aca="false">D2152-cover</f>
        <v>1693.51</v>
      </c>
      <c r="F2152" s="50" t="n">
        <f aca="false">'Z6 Nkangamo-Uhuru'!S18-'Z6 Nkangamo-Uhuru'!P18*C2152/'Z6 Nkangamo-Uhuru'!G18</f>
        <v>1708.18708798723</v>
      </c>
      <c r="G2152" s="51" t="n">
        <f aca="false">'Z6 Nkangamo-Uhuru'!$B$8-E2152</f>
        <v>12.99</v>
      </c>
      <c r="H2152" s="52" t="n">
        <f aca="false">F2152-E2152</f>
        <v>14.6770879872252</v>
      </c>
      <c r="I2152" s="52" t="n">
        <f aca="false">MAX(H2152,G2152)</f>
        <v>14.6770879872252</v>
      </c>
      <c r="J2152" s="4" t="str">
        <f aca="false">IFERROR("PN"&amp;SMALL(PN_list,COUNTIF(PN_list,"&lt;"&amp;I2152*bar_per_m)+1),"&gt; max PN")</f>
        <v>PN10</v>
      </c>
      <c r="K2152" s="4" t="str">
        <f aca="false">IF(L2152="no","end at tank",IF(H2152&lt;0,"NEGATIVE",IF(H2152&lt;p_min-0.005,"low","OK")))</f>
        <v>OK</v>
      </c>
      <c r="L2152" s="4" t="s">
        <v>414</v>
      </c>
    </row>
    <row r="2153" customFormat="false" ht="15" hidden="false" customHeight="false" outlineLevel="0" collapsed="false">
      <c r="A2153" s="4" t="s">
        <v>44</v>
      </c>
      <c r="B2153" s="4" t="s">
        <v>373</v>
      </c>
      <c r="C2153" s="47" t="n">
        <v>19306.13</v>
      </c>
      <c r="D2153" s="48" t="n">
        <v>1695.68</v>
      </c>
      <c r="E2153" s="49" t="n">
        <f aca="false">D2153-cover</f>
        <v>1694.48</v>
      </c>
      <c r="F2153" s="50" t="n">
        <f aca="false">'Z6 Nkangamo-Uhuru'!S18-'Z6 Nkangamo-Uhuru'!P18*C2153/'Z6 Nkangamo-Uhuru'!G18</f>
        <v>1708.15590353098</v>
      </c>
      <c r="G2153" s="51" t="n">
        <f aca="false">'Z6 Nkangamo-Uhuru'!$B$8-E2153</f>
        <v>12.02</v>
      </c>
      <c r="H2153" s="52" t="n">
        <f aca="false">F2153-E2153</f>
        <v>13.6759035309753</v>
      </c>
      <c r="I2153" s="52" t="n">
        <f aca="false">MAX(H2153,G2153)</f>
        <v>13.6759035309753</v>
      </c>
      <c r="J2153" s="4" t="str">
        <f aca="false">IFERROR("PN"&amp;SMALL(PN_list,COUNTIF(PN_list,"&lt;"&amp;I2153*bar_per_m)+1),"&gt; max PN")</f>
        <v>PN10</v>
      </c>
      <c r="K2153" s="4" t="str">
        <f aca="false">IF(L2153="no","end at tank",IF(H2153&lt;0,"NEGATIVE",IF(H2153&lt;p_min-0.005,"low","OK")))</f>
        <v>OK</v>
      </c>
      <c r="L2153" s="4" t="s">
        <v>414</v>
      </c>
    </row>
    <row r="2154" customFormat="false" ht="15" hidden="false" customHeight="false" outlineLevel="0" collapsed="false">
      <c r="A2154" s="4" t="s">
        <v>44</v>
      </c>
      <c r="B2154" s="4" t="s">
        <v>373</v>
      </c>
      <c r="C2154" s="47" t="n">
        <v>19326.14</v>
      </c>
      <c r="D2154" s="48" t="n">
        <v>1696.14</v>
      </c>
      <c r="E2154" s="49" t="n">
        <f aca="false">D2154-cover</f>
        <v>1694.94</v>
      </c>
      <c r="F2154" s="50" t="n">
        <f aca="false">'Z6 Nkangamo-Uhuru'!S18-'Z6 Nkangamo-Uhuru'!P18*C2154/'Z6 Nkangamo-Uhuru'!G18</f>
        <v>1708.12473465138</v>
      </c>
      <c r="G2154" s="51" t="n">
        <f aca="false">'Z6 Nkangamo-Uhuru'!$B$8-E2154</f>
        <v>11.5599999999999</v>
      </c>
      <c r="H2154" s="52" t="n">
        <f aca="false">F2154-E2154</f>
        <v>13.1847346513771</v>
      </c>
      <c r="I2154" s="52" t="n">
        <f aca="false">MAX(H2154,G2154)</f>
        <v>13.1847346513771</v>
      </c>
      <c r="J2154" s="4" t="str">
        <f aca="false">IFERROR("PN"&amp;SMALL(PN_list,COUNTIF(PN_list,"&lt;"&amp;I2154*bar_per_m)+1),"&gt; max PN")</f>
        <v>PN10</v>
      </c>
      <c r="K2154" s="4" t="str">
        <f aca="false">IF(L2154="no","end at tank",IF(H2154&lt;0,"NEGATIVE",IF(H2154&lt;p_min-0.005,"low","OK")))</f>
        <v>OK</v>
      </c>
      <c r="L2154" s="4" t="s">
        <v>414</v>
      </c>
    </row>
    <row r="2155" customFormat="false" ht="15" hidden="false" customHeight="false" outlineLevel="0" collapsed="false">
      <c r="A2155" s="4" t="s">
        <v>44</v>
      </c>
      <c r="B2155" s="4" t="s">
        <v>373</v>
      </c>
      <c r="C2155" s="47" t="n">
        <v>19346.15</v>
      </c>
      <c r="D2155" s="48" t="n">
        <v>1696.89</v>
      </c>
      <c r="E2155" s="49" t="n">
        <f aca="false">D2155-cover</f>
        <v>1695.69</v>
      </c>
      <c r="F2155" s="50" t="n">
        <f aca="false">'Z6 Nkangamo-Uhuru'!S18-'Z6 Nkangamo-Uhuru'!P18*C2155/'Z6 Nkangamo-Uhuru'!G18</f>
        <v>1708.09356577178</v>
      </c>
      <c r="G2155" s="51" t="n">
        <f aca="false">'Z6 Nkangamo-Uhuru'!$B$8-E2155</f>
        <v>10.8099999999999</v>
      </c>
      <c r="H2155" s="52" t="n">
        <f aca="false">F2155-E2155</f>
        <v>12.4035657717789</v>
      </c>
      <c r="I2155" s="52" t="n">
        <f aca="false">MAX(H2155,G2155)</f>
        <v>12.4035657717789</v>
      </c>
      <c r="J2155" s="4" t="str">
        <f aca="false">IFERROR("PN"&amp;SMALL(PN_list,COUNTIF(PN_list,"&lt;"&amp;I2155*bar_per_m)+1),"&gt; max PN")</f>
        <v>PN10</v>
      </c>
      <c r="K2155" s="4" t="str">
        <f aca="false">IF(L2155="no","end at tank",IF(H2155&lt;0,"NEGATIVE",IF(H2155&lt;p_min-0.005,"low","OK")))</f>
        <v>OK</v>
      </c>
      <c r="L2155" s="4" t="s">
        <v>414</v>
      </c>
    </row>
    <row r="2156" customFormat="false" ht="15" hidden="false" customHeight="false" outlineLevel="0" collapsed="false">
      <c r="A2156" s="4" t="s">
        <v>44</v>
      </c>
      <c r="B2156" s="4" t="s">
        <v>373</v>
      </c>
      <c r="C2156" s="47" t="n">
        <v>19366.5</v>
      </c>
      <c r="D2156" s="48" t="n">
        <v>1697.06</v>
      </c>
      <c r="E2156" s="49" t="n">
        <f aca="false">D2156-cover</f>
        <v>1695.86</v>
      </c>
      <c r="F2156" s="50" t="n">
        <f aca="false">'Z6 Nkangamo-Uhuru'!S18-'Z6 Nkangamo-Uhuru'!P18*C2156/'Z6 Nkangamo-Uhuru'!G18</f>
        <v>1708.06186728603</v>
      </c>
      <c r="G2156" s="51" t="n">
        <f aca="false">'Z6 Nkangamo-Uhuru'!$B$8-E2156</f>
        <v>10.6400000000001</v>
      </c>
      <c r="H2156" s="52" t="n">
        <f aca="false">F2156-E2156</f>
        <v>12.2018672860306</v>
      </c>
      <c r="I2156" s="52" t="n">
        <f aca="false">MAX(H2156,G2156)</f>
        <v>12.2018672860306</v>
      </c>
      <c r="J2156" s="4" t="str">
        <f aca="false">IFERROR("PN"&amp;SMALL(PN_list,COUNTIF(PN_list,"&lt;"&amp;I2156*bar_per_m)+1),"&gt; max PN")</f>
        <v>PN10</v>
      </c>
      <c r="K2156" s="4" t="str">
        <f aca="false">IF(L2156="no","end at tank",IF(H2156&lt;0,"NEGATIVE",IF(H2156&lt;p_min-0.005,"low","OK")))</f>
        <v>OK</v>
      </c>
      <c r="L2156" s="4" t="s">
        <v>414</v>
      </c>
    </row>
    <row r="2157" customFormat="false" ht="15" hidden="false" customHeight="false" outlineLevel="0" collapsed="false">
      <c r="A2157" s="4" t="s">
        <v>44</v>
      </c>
      <c r="B2157" s="4" t="s">
        <v>373</v>
      </c>
      <c r="C2157" s="47" t="n">
        <v>19386.51</v>
      </c>
      <c r="D2157" s="48" t="n">
        <v>1697.59</v>
      </c>
      <c r="E2157" s="49" t="n">
        <f aca="false">D2157-cover</f>
        <v>1696.39</v>
      </c>
      <c r="F2157" s="50" t="n">
        <f aca="false">'Z6 Nkangamo-Uhuru'!S18-'Z6 Nkangamo-Uhuru'!P18*C2157/'Z6 Nkangamo-Uhuru'!G18</f>
        <v>1708.03069840643</v>
      </c>
      <c r="G2157" s="51" t="n">
        <f aca="false">'Z6 Nkangamo-Uhuru'!$B$8-E2157</f>
        <v>10.1100000000001</v>
      </c>
      <c r="H2157" s="52" t="n">
        <f aca="false">F2157-E2157</f>
        <v>11.6406984064322</v>
      </c>
      <c r="I2157" s="52" t="n">
        <f aca="false">MAX(H2157,G2157)</f>
        <v>11.6406984064322</v>
      </c>
      <c r="J2157" s="4" t="str">
        <f aca="false">IFERROR("PN"&amp;SMALL(PN_list,COUNTIF(PN_list,"&lt;"&amp;I2157*bar_per_m)+1),"&gt; max PN")</f>
        <v>PN10</v>
      </c>
      <c r="K2157" s="4" t="str">
        <f aca="false">IF(L2157="no","end at tank",IF(H2157&lt;0,"NEGATIVE",IF(H2157&lt;p_min-0.005,"low","OK")))</f>
        <v>OK</v>
      </c>
      <c r="L2157" s="4" t="s">
        <v>414</v>
      </c>
    </row>
    <row r="2158" customFormat="false" ht="15" hidden="false" customHeight="false" outlineLevel="0" collapsed="false">
      <c r="A2158" s="4" t="s">
        <v>44</v>
      </c>
      <c r="B2158" s="4" t="s">
        <v>373</v>
      </c>
      <c r="C2158" s="47" t="n">
        <v>19406.51</v>
      </c>
      <c r="D2158" s="48" t="n">
        <v>1697.77</v>
      </c>
      <c r="E2158" s="49" t="n">
        <f aca="false">D2158-cover</f>
        <v>1696.57</v>
      </c>
      <c r="F2158" s="50" t="n">
        <f aca="false">'Z6 Nkangamo-Uhuru'!S18-'Z6 Nkangamo-Uhuru'!P18*C2158/'Z6 Nkangamo-Uhuru'!G18</f>
        <v>1707.99954510349</v>
      </c>
      <c r="G2158" s="51" t="n">
        <f aca="false">'Z6 Nkangamo-Uhuru'!$B$8-E2158</f>
        <v>9.93000000000006</v>
      </c>
      <c r="H2158" s="52" t="n">
        <f aca="false">F2158-E2158</f>
        <v>11.4295451034855</v>
      </c>
      <c r="I2158" s="52" t="n">
        <f aca="false">MAX(H2158,G2158)</f>
        <v>11.4295451034855</v>
      </c>
      <c r="J2158" s="4" t="str">
        <f aca="false">IFERROR("PN"&amp;SMALL(PN_list,COUNTIF(PN_list,"&lt;"&amp;I2158*bar_per_m)+1),"&gt; max PN")</f>
        <v>PN10</v>
      </c>
      <c r="K2158" s="4" t="str">
        <f aca="false">IF(L2158="no","end at tank",IF(H2158&lt;0,"NEGATIVE",IF(H2158&lt;p_min-0.005,"low","OK")))</f>
        <v>OK</v>
      </c>
      <c r="L2158" s="4" t="s">
        <v>414</v>
      </c>
    </row>
    <row r="2159" customFormat="false" ht="15" hidden="false" customHeight="false" outlineLevel="0" collapsed="false">
      <c r="A2159" s="4" t="s">
        <v>44</v>
      </c>
      <c r="B2159" s="4" t="s">
        <v>373</v>
      </c>
      <c r="C2159" s="47" t="n">
        <v>19426.54</v>
      </c>
      <c r="D2159" s="48" t="n">
        <v>1698.1</v>
      </c>
      <c r="E2159" s="49" t="n">
        <f aca="false">D2159-cover</f>
        <v>1696.9</v>
      </c>
      <c r="F2159" s="50" t="n">
        <f aca="false">'Z6 Nkangamo-Uhuru'!S18-'Z6 Nkangamo-Uhuru'!P18*C2159/'Z6 Nkangamo-Uhuru'!G18</f>
        <v>1707.96834507058</v>
      </c>
      <c r="G2159" s="51" t="n">
        <f aca="false">'Z6 Nkangamo-Uhuru'!$B$8-E2159</f>
        <v>9.60000000000014</v>
      </c>
      <c r="H2159" s="52" t="n">
        <f aca="false">F2159-E2159</f>
        <v>11.0683450705842</v>
      </c>
      <c r="I2159" s="52" t="n">
        <f aca="false">MAX(H2159,G2159)</f>
        <v>11.0683450705842</v>
      </c>
      <c r="J2159" s="4" t="str">
        <f aca="false">IFERROR("PN"&amp;SMALL(PN_list,COUNTIF(PN_list,"&lt;"&amp;I2159*bar_per_m)+1),"&gt; max PN")</f>
        <v>PN10</v>
      </c>
      <c r="K2159" s="4" t="str">
        <f aca="false">IF(L2159="no","end at tank",IF(H2159&lt;0,"NEGATIVE",IF(H2159&lt;p_min-0.005,"low","OK")))</f>
        <v>OK</v>
      </c>
      <c r="L2159" s="4" t="s">
        <v>414</v>
      </c>
    </row>
    <row r="2160" customFormat="false" ht="15" hidden="false" customHeight="false" outlineLevel="0" collapsed="false">
      <c r="A2160" s="4" t="s">
        <v>44</v>
      </c>
      <c r="B2160" s="4" t="s">
        <v>373</v>
      </c>
      <c r="C2160" s="47" t="n">
        <v>19446.54</v>
      </c>
      <c r="D2160" s="48" t="n">
        <v>1698.29</v>
      </c>
      <c r="E2160" s="49" t="n">
        <f aca="false">D2160-cover</f>
        <v>1697.09</v>
      </c>
      <c r="F2160" s="50" t="n">
        <f aca="false">'Z6 Nkangamo-Uhuru'!S18-'Z6 Nkangamo-Uhuru'!P18*C2160/'Z6 Nkangamo-Uhuru'!G18</f>
        <v>1707.93719176764</v>
      </c>
      <c r="G2160" s="51" t="n">
        <f aca="false">'Z6 Nkangamo-Uhuru'!$B$8-E2160</f>
        <v>9.41000000000008</v>
      </c>
      <c r="H2160" s="52" t="n">
        <f aca="false">F2160-E2160</f>
        <v>10.8471917676372</v>
      </c>
      <c r="I2160" s="52" t="n">
        <f aca="false">MAX(H2160,G2160)</f>
        <v>10.8471917676372</v>
      </c>
      <c r="J2160" s="4" t="str">
        <f aca="false">IFERROR("PN"&amp;SMALL(PN_list,COUNTIF(PN_list,"&lt;"&amp;I2160*bar_per_m)+1),"&gt; max PN")</f>
        <v>PN10</v>
      </c>
      <c r="K2160" s="4" t="str">
        <f aca="false">IF(L2160="no","end at tank",IF(H2160&lt;0,"NEGATIVE",IF(H2160&lt;p_min-0.005,"low","OK")))</f>
        <v>OK</v>
      </c>
      <c r="L2160" s="4" t="s">
        <v>414</v>
      </c>
    </row>
    <row r="2161" customFormat="false" ht="15" hidden="false" customHeight="false" outlineLevel="0" collapsed="false">
      <c r="A2161" s="4" t="s">
        <v>44</v>
      </c>
      <c r="B2161" s="4" t="s">
        <v>373</v>
      </c>
      <c r="C2161" s="47" t="n">
        <v>19466.82</v>
      </c>
      <c r="D2161" s="48" t="n">
        <v>1698.63</v>
      </c>
      <c r="E2161" s="49" t="n">
        <f aca="false">D2161-cover</f>
        <v>1697.43</v>
      </c>
      <c r="F2161" s="50" t="n">
        <f aca="false">'Z6 Nkangamo-Uhuru'!S18-'Z6 Nkangamo-Uhuru'!P18*C2161/'Z6 Nkangamo-Uhuru'!G18</f>
        <v>1707.90560231845</v>
      </c>
      <c r="G2161" s="51" t="n">
        <f aca="false">'Z6 Nkangamo-Uhuru'!$B$8-E2161</f>
        <v>9.06999999999994</v>
      </c>
      <c r="H2161" s="52" t="n">
        <f aca="false">F2161-E2161</f>
        <v>10.4756023184491</v>
      </c>
      <c r="I2161" s="52" t="n">
        <f aca="false">MAX(H2161,G2161)</f>
        <v>10.4756023184491</v>
      </c>
      <c r="J2161" s="4" t="str">
        <f aca="false">IFERROR("PN"&amp;SMALL(PN_list,COUNTIF(PN_list,"&lt;"&amp;I2161*bar_per_m)+1),"&gt; max PN")</f>
        <v>PN10</v>
      </c>
      <c r="K2161" s="4" t="str">
        <f aca="false">IF(L2161="no","end at tank",IF(H2161&lt;0,"NEGATIVE",IF(H2161&lt;p_min-0.005,"low","OK")))</f>
        <v>OK</v>
      </c>
      <c r="L2161" s="4" t="s">
        <v>414</v>
      </c>
    </row>
    <row r="2162" customFormat="false" ht="15" hidden="false" customHeight="false" outlineLevel="0" collapsed="false">
      <c r="A2162" s="4" t="s">
        <v>44</v>
      </c>
      <c r="B2162" s="4" t="s">
        <v>373</v>
      </c>
      <c r="C2162" s="47" t="n">
        <v>19486.82</v>
      </c>
      <c r="D2162" s="48" t="n">
        <v>1698.67</v>
      </c>
      <c r="E2162" s="49" t="n">
        <f aca="false">D2162-cover</f>
        <v>1697.47</v>
      </c>
      <c r="F2162" s="50" t="n">
        <f aca="false">'Z6 Nkangamo-Uhuru'!S18-'Z6 Nkangamo-Uhuru'!P18*C2162/'Z6 Nkangamo-Uhuru'!G18</f>
        <v>1707.8744490155</v>
      </c>
      <c r="G2162" s="51" t="n">
        <f aca="false">'Z6 Nkangamo-Uhuru'!$B$8-E2162</f>
        <v>9.02999999999997</v>
      </c>
      <c r="H2162" s="52" t="n">
        <f aca="false">F2162-E2162</f>
        <v>10.4044490155022</v>
      </c>
      <c r="I2162" s="52" t="n">
        <f aca="false">MAX(H2162,G2162)</f>
        <v>10.4044490155022</v>
      </c>
      <c r="J2162" s="4" t="str">
        <f aca="false">IFERROR("PN"&amp;SMALL(PN_list,COUNTIF(PN_list,"&lt;"&amp;I2162*bar_per_m)+1),"&gt; max PN")</f>
        <v>PN10</v>
      </c>
      <c r="K2162" s="4" t="str">
        <f aca="false">IF(L2162="no","end at tank",IF(H2162&lt;0,"NEGATIVE",IF(H2162&lt;p_min-0.005,"low","OK")))</f>
        <v>OK</v>
      </c>
      <c r="L2162" s="4" t="s">
        <v>414</v>
      </c>
    </row>
    <row r="2163" customFormat="false" ht="15" hidden="false" customHeight="false" outlineLevel="0" collapsed="false">
      <c r="A2163" s="4" t="s">
        <v>44</v>
      </c>
      <c r="B2163" s="4" t="s">
        <v>373</v>
      </c>
      <c r="C2163" s="47" t="n">
        <v>19506.82</v>
      </c>
      <c r="D2163" s="48" t="n">
        <v>1698.67</v>
      </c>
      <c r="E2163" s="49" t="n">
        <f aca="false">D2163-cover</f>
        <v>1697.47</v>
      </c>
      <c r="F2163" s="50" t="n">
        <f aca="false">'Z6 Nkangamo-Uhuru'!S18-'Z6 Nkangamo-Uhuru'!P18*C2163/'Z6 Nkangamo-Uhuru'!G18</f>
        <v>1707.84329571256</v>
      </c>
      <c r="G2163" s="51" t="n">
        <f aca="false">'Z6 Nkangamo-Uhuru'!$B$8-E2163</f>
        <v>9.02999999999997</v>
      </c>
      <c r="H2163" s="52" t="n">
        <f aca="false">F2163-E2163</f>
        <v>10.3732957125555</v>
      </c>
      <c r="I2163" s="52" t="n">
        <f aca="false">MAX(H2163,G2163)</f>
        <v>10.3732957125555</v>
      </c>
      <c r="J2163" s="4" t="str">
        <f aca="false">IFERROR("PN"&amp;SMALL(PN_list,COUNTIF(PN_list,"&lt;"&amp;I2163*bar_per_m)+1),"&gt; max PN")</f>
        <v>PN10</v>
      </c>
      <c r="K2163" s="4" t="str">
        <f aca="false">IF(L2163="no","end at tank",IF(H2163&lt;0,"NEGATIVE",IF(H2163&lt;p_min-0.005,"low","OK")))</f>
        <v>OK</v>
      </c>
      <c r="L2163" s="4" t="s">
        <v>414</v>
      </c>
    </row>
    <row r="2164" customFormat="false" ht="15" hidden="false" customHeight="false" outlineLevel="0" collapsed="false">
      <c r="A2164" s="4" t="s">
        <v>44</v>
      </c>
      <c r="B2164" s="4" t="s">
        <v>373</v>
      </c>
      <c r="C2164" s="47" t="n">
        <v>19526.83</v>
      </c>
      <c r="D2164" s="48" t="n">
        <v>1698.9</v>
      </c>
      <c r="E2164" s="49" t="n">
        <f aca="false">D2164-cover</f>
        <v>1697.7</v>
      </c>
      <c r="F2164" s="50" t="n">
        <f aca="false">'Z6 Nkangamo-Uhuru'!S18-'Z6 Nkangamo-Uhuru'!P18*C2164/'Z6 Nkangamo-Uhuru'!G18</f>
        <v>1707.81212683296</v>
      </c>
      <c r="G2164" s="51" t="n">
        <f aca="false">'Z6 Nkangamo-Uhuru'!$B$8-E2164</f>
        <v>8.79999999999996</v>
      </c>
      <c r="H2164" s="52" t="n">
        <f aca="false">F2164-E2164</f>
        <v>10.1121268329571</v>
      </c>
      <c r="I2164" s="52" t="n">
        <f aca="false">MAX(H2164,G2164)</f>
        <v>10.1121268329571</v>
      </c>
      <c r="J2164" s="4" t="str">
        <f aca="false">IFERROR("PN"&amp;SMALL(PN_list,COUNTIF(PN_list,"&lt;"&amp;I2164*bar_per_m)+1),"&gt; max PN")</f>
        <v>PN10</v>
      </c>
      <c r="K2164" s="4" t="str">
        <f aca="false">IF(L2164="no","end at tank",IF(H2164&lt;0,"NEGATIVE",IF(H2164&lt;p_min-0.005,"low","OK")))</f>
        <v>OK</v>
      </c>
      <c r="L2164" s="4" t="s">
        <v>414</v>
      </c>
    </row>
    <row r="2165" customFormat="false" ht="15" hidden="false" customHeight="false" outlineLevel="0" collapsed="false">
      <c r="A2165" s="4" t="s">
        <v>44</v>
      </c>
      <c r="B2165" s="4" t="s">
        <v>373</v>
      </c>
      <c r="C2165" s="47" t="n">
        <v>19546.7</v>
      </c>
      <c r="D2165" s="48" t="n">
        <v>1699.07</v>
      </c>
      <c r="E2165" s="49" t="n">
        <f aca="false">D2165-cover</f>
        <v>1697.87</v>
      </c>
      <c r="F2165" s="50" t="n">
        <f aca="false">'Z6 Nkangamo-Uhuru'!S18-'Z6 Nkangamo-Uhuru'!P18*C2165/'Z6 Nkangamo-Uhuru'!G18</f>
        <v>1707.78117602648</v>
      </c>
      <c r="G2165" s="51" t="n">
        <f aca="false">'Z6 Nkangamo-Uhuru'!$B$8-E2165</f>
        <v>8.63000000000011</v>
      </c>
      <c r="H2165" s="52" t="n">
        <f aca="false">F2165-E2165</f>
        <v>9.91117602647955</v>
      </c>
      <c r="I2165" s="52" t="n">
        <f aca="false">MAX(H2165,G2165)</f>
        <v>9.91117602647955</v>
      </c>
      <c r="J2165" s="4" t="str">
        <f aca="false">IFERROR("PN"&amp;SMALL(PN_list,COUNTIF(PN_list,"&lt;"&amp;I2165*bar_per_m)+1),"&gt; max PN")</f>
        <v>PN10</v>
      </c>
      <c r="K2165" s="4" t="str">
        <f aca="false">IF(L2165="no","end at tank",IF(H2165&lt;0,"NEGATIVE",IF(H2165&lt;p_min-0.005,"low","OK")))</f>
        <v>OK</v>
      </c>
      <c r="L2165" s="4" t="s">
        <v>414</v>
      </c>
    </row>
    <row r="2166" customFormat="false" ht="15" hidden="false" customHeight="false" outlineLevel="0" collapsed="false">
      <c r="A2166" s="4" t="s">
        <v>44</v>
      </c>
      <c r="B2166" s="4" t="s">
        <v>373</v>
      </c>
      <c r="C2166" s="47" t="n">
        <v>19566.71</v>
      </c>
      <c r="D2166" s="48" t="n">
        <v>1698.36</v>
      </c>
      <c r="E2166" s="49" t="n">
        <f aca="false">D2166-cover</f>
        <v>1697.16</v>
      </c>
      <c r="F2166" s="50" t="n">
        <f aca="false">'Z6 Nkangamo-Uhuru'!S18-'Z6 Nkangamo-Uhuru'!P18*C2166/'Z6 Nkangamo-Uhuru'!G18</f>
        <v>1707.75000714688</v>
      </c>
      <c r="G2166" s="51" t="n">
        <f aca="false">'Z6 Nkangamo-Uhuru'!$B$8-E2166</f>
        <v>9.34000000000015</v>
      </c>
      <c r="H2166" s="52" t="n">
        <f aca="false">F2166-E2166</f>
        <v>10.5900071468814</v>
      </c>
      <c r="I2166" s="52" t="n">
        <f aca="false">MAX(H2166,G2166)</f>
        <v>10.5900071468814</v>
      </c>
      <c r="J2166" s="4" t="str">
        <f aca="false">IFERROR("PN"&amp;SMALL(PN_list,COUNTIF(PN_list,"&lt;"&amp;I2166*bar_per_m)+1),"&gt; max PN")</f>
        <v>PN10</v>
      </c>
      <c r="K2166" s="4" t="str">
        <f aca="false">IF(L2166="no","end at tank",IF(H2166&lt;0,"NEGATIVE",IF(H2166&lt;p_min-0.005,"low","OK")))</f>
        <v>OK</v>
      </c>
      <c r="L2166" s="4" t="s">
        <v>414</v>
      </c>
    </row>
    <row r="2167" customFormat="false" ht="15" hidden="false" customHeight="false" outlineLevel="0" collapsed="false">
      <c r="A2167" s="4" t="s">
        <v>44</v>
      </c>
      <c r="B2167" s="4" t="s">
        <v>373</v>
      </c>
      <c r="C2167" s="47" t="n">
        <v>19581.43</v>
      </c>
      <c r="D2167" s="48" t="n">
        <v>1698.34</v>
      </c>
      <c r="E2167" s="49" t="n">
        <f aca="false">D2167-cover</f>
        <v>1697.14</v>
      </c>
      <c r="F2167" s="50" t="n">
        <f aca="false">'Z6 Nkangamo-Uhuru'!S18-'Z6 Nkangamo-Uhuru'!P18*C2167/'Z6 Nkangamo-Uhuru'!G18</f>
        <v>1707.72707831591</v>
      </c>
      <c r="G2167" s="51" t="n">
        <f aca="false">'Z6 Nkangamo-Uhuru'!$B$8-E2167</f>
        <v>9.36000000000013</v>
      </c>
      <c r="H2167" s="52" t="n">
        <f aca="false">F2167-E2167</f>
        <v>10.5870783159126</v>
      </c>
      <c r="I2167" s="52" t="n">
        <f aca="false">MAX(H2167,G2167)</f>
        <v>10.5870783159126</v>
      </c>
      <c r="J2167" s="4" t="str">
        <f aca="false">IFERROR("PN"&amp;SMALL(PN_list,COUNTIF(PN_list,"&lt;"&amp;I2167*bar_per_m)+1),"&gt; max PN")</f>
        <v>PN10</v>
      </c>
      <c r="K2167" s="4" t="str">
        <f aca="false">IF(L2167="no","end at tank",IF(H2167&lt;0,"NEGATIVE",IF(H2167&lt;p_min-0.005,"low","OK")))</f>
        <v>OK</v>
      </c>
      <c r="L2167" s="4" t="s">
        <v>414</v>
      </c>
    </row>
    <row r="2168" customFormat="false" ht="15" hidden="false" customHeight="false" outlineLevel="0" collapsed="false">
      <c r="A2168" s="4" t="s">
        <v>44</v>
      </c>
      <c r="B2168" s="4" t="s">
        <v>375</v>
      </c>
      <c r="C2168" s="47" t="n">
        <v>0</v>
      </c>
      <c r="D2168" s="48" t="n">
        <v>1698.34</v>
      </c>
      <c r="E2168" s="49" t="n">
        <f aca="false">D2168-cover</f>
        <v>1697.14</v>
      </c>
      <c r="F2168" s="50" t="n">
        <f aca="false">'Z6 Nkangamo-Uhuru'!S19-'Z6 Nkangamo-Uhuru'!P19*C2168/'Z6 Nkangamo-Uhuru'!G19</f>
        <v>1707.72712504587</v>
      </c>
      <c r="G2168" s="51" t="n">
        <f aca="false">'Z6 Nkangamo-Uhuru'!$B$8-E2168</f>
        <v>9.36000000000013</v>
      </c>
      <c r="H2168" s="52" t="n">
        <f aca="false">F2168-E2168</f>
        <v>10.587125045867</v>
      </c>
      <c r="I2168" s="52" t="n">
        <f aca="false">MAX(H2168,G2168)</f>
        <v>10.587125045867</v>
      </c>
      <c r="J2168" s="4" t="str">
        <f aca="false">IFERROR("PN"&amp;SMALL(PN_list,COUNTIF(PN_list,"&lt;"&amp;I2168*bar_per_m)+1),"&gt; max PN")</f>
        <v>PN10</v>
      </c>
      <c r="K2168" s="4" t="str">
        <f aca="false">IF(L2168="no","end at tank",IF(H2168&lt;0,"NEGATIVE",IF(H2168&lt;p_min-0.005,"low","OK")))</f>
        <v>OK</v>
      </c>
      <c r="L2168" s="4" t="s">
        <v>414</v>
      </c>
    </row>
    <row r="2169" customFormat="false" ht="15" hidden="false" customHeight="false" outlineLevel="0" collapsed="false">
      <c r="A2169" s="4" t="s">
        <v>44</v>
      </c>
      <c r="B2169" s="4" t="s">
        <v>375</v>
      </c>
      <c r="C2169" s="47" t="n">
        <v>20.02</v>
      </c>
      <c r="D2169" s="48" t="n">
        <v>1699.18</v>
      </c>
      <c r="E2169" s="49" t="n">
        <f aca="false">D2169-cover</f>
        <v>1697.98</v>
      </c>
      <c r="F2169" s="50" t="n">
        <f aca="false">'Z6 Nkangamo-Uhuru'!S19-'Z6 Nkangamo-Uhuru'!P19*C2169/'Z6 Nkangamo-Uhuru'!G19</f>
        <v>1707.69700492319</v>
      </c>
      <c r="G2169" s="51" t="n">
        <f aca="false">'Z6 Nkangamo-Uhuru'!$B$8-E2169</f>
        <v>8.51999999999998</v>
      </c>
      <c r="H2169" s="52" t="n">
        <f aca="false">F2169-E2169</f>
        <v>9.71700492319383</v>
      </c>
      <c r="I2169" s="52" t="n">
        <f aca="false">MAX(H2169,G2169)</f>
        <v>9.71700492319383</v>
      </c>
      <c r="J2169" s="4" t="str">
        <f aca="false">IFERROR("PN"&amp;SMALL(PN_list,COUNTIF(PN_list,"&lt;"&amp;I2169*bar_per_m)+1),"&gt; max PN")</f>
        <v>PN10</v>
      </c>
      <c r="K2169" s="4" t="str">
        <f aca="false">IF(L2169="no","end at tank",IF(H2169&lt;0,"NEGATIVE",IF(H2169&lt;p_min-0.005,"low","OK")))</f>
        <v>OK</v>
      </c>
      <c r="L2169" s="4" t="s">
        <v>414</v>
      </c>
    </row>
    <row r="2170" customFormat="false" ht="15" hidden="false" customHeight="false" outlineLevel="0" collapsed="false">
      <c r="A2170" s="4" t="s">
        <v>44</v>
      </c>
      <c r="B2170" s="4" t="s">
        <v>375</v>
      </c>
      <c r="C2170" s="47" t="n">
        <v>40.02</v>
      </c>
      <c r="D2170" s="48" t="n">
        <v>1699.25</v>
      </c>
      <c r="E2170" s="49" t="n">
        <f aca="false">D2170-cover</f>
        <v>1698.05</v>
      </c>
      <c r="F2170" s="50" t="n">
        <f aca="false">'Z6 Nkangamo-Uhuru'!S19-'Z6 Nkangamo-Uhuru'!P19*C2170/'Z6 Nkangamo-Uhuru'!G19</f>
        <v>1707.66691489055</v>
      </c>
      <c r="G2170" s="51" t="n">
        <f aca="false">'Z6 Nkangamo-Uhuru'!$B$8-E2170</f>
        <v>8.45000000000005</v>
      </c>
      <c r="H2170" s="52" t="n">
        <f aca="false">F2170-E2170</f>
        <v>9.61691489055329</v>
      </c>
      <c r="I2170" s="52" t="n">
        <f aca="false">MAX(H2170,G2170)</f>
        <v>9.61691489055329</v>
      </c>
      <c r="J2170" s="4" t="str">
        <f aca="false">IFERROR("PN"&amp;SMALL(PN_list,COUNTIF(PN_list,"&lt;"&amp;I2170*bar_per_m)+1),"&gt; max PN")</f>
        <v>PN10</v>
      </c>
      <c r="K2170" s="4" t="str">
        <f aca="false">IF(L2170="no","end at tank",IF(H2170&lt;0,"NEGATIVE",IF(H2170&lt;p_min-0.005,"low","OK")))</f>
        <v>OK</v>
      </c>
      <c r="L2170" s="4" t="s">
        <v>414</v>
      </c>
    </row>
    <row r="2171" customFormat="false" ht="15" hidden="false" customHeight="false" outlineLevel="0" collapsed="false">
      <c r="A2171" s="4" t="s">
        <v>44</v>
      </c>
      <c r="B2171" s="4" t="s">
        <v>377</v>
      </c>
      <c r="C2171" s="47" t="n">
        <v>0</v>
      </c>
      <c r="D2171" s="48" t="n">
        <v>1699.25</v>
      </c>
      <c r="E2171" s="49" t="n">
        <f aca="false">D2171-cover</f>
        <v>1698.05</v>
      </c>
      <c r="F2171" s="50" t="n">
        <f aca="false">'Z6 Nkangamo-Uhuru'!S20-'Z6 Nkangamo-Uhuru'!P20*C2171/'Z6 Nkangamo-Uhuru'!G20</f>
        <v>1707.66694498059</v>
      </c>
      <c r="G2171" s="51" t="n">
        <f aca="false">'Z6 Nkangamo-Uhuru'!$B$8-E2171</f>
        <v>8.45000000000005</v>
      </c>
      <c r="H2171" s="52" t="n">
        <f aca="false">F2171-E2171</f>
        <v>9.61694498058591</v>
      </c>
      <c r="I2171" s="52" t="n">
        <f aca="false">MAX(H2171,G2171)</f>
        <v>9.61694498058591</v>
      </c>
      <c r="J2171" s="4" t="str">
        <f aca="false">IFERROR("PN"&amp;SMALL(PN_list,COUNTIF(PN_list,"&lt;"&amp;I2171*bar_per_m)+1),"&gt; max PN")</f>
        <v>PN10</v>
      </c>
      <c r="K2171" s="4" t="str">
        <f aca="false">IF(L2171="no","end at tank",IF(H2171&lt;0,"NEGATIVE",IF(H2171&lt;p_min-0.005,"low","OK")))</f>
        <v>OK</v>
      </c>
      <c r="L2171" s="4" t="s">
        <v>414</v>
      </c>
    </row>
    <row r="2172" customFormat="false" ht="15" hidden="false" customHeight="false" outlineLevel="0" collapsed="false">
      <c r="A2172" s="4" t="s">
        <v>44</v>
      </c>
      <c r="B2172" s="4" t="s">
        <v>377</v>
      </c>
      <c r="C2172" s="47" t="n">
        <v>20</v>
      </c>
      <c r="D2172" s="48" t="n">
        <v>1699.6</v>
      </c>
      <c r="E2172" s="49" t="n">
        <f aca="false">D2172-cover</f>
        <v>1698.4</v>
      </c>
      <c r="F2172" s="50" t="n">
        <f aca="false">'Z6 Nkangamo-Uhuru'!S20-'Z6 Nkangamo-Uhuru'!P20*C2172/'Z6 Nkangamo-Uhuru'!G20</f>
        <v>1707.6410977843</v>
      </c>
      <c r="G2172" s="51" t="n">
        <f aca="false">'Z6 Nkangamo-Uhuru'!$B$8-E2172</f>
        <v>8.10000000000014</v>
      </c>
      <c r="H2172" s="52" t="n">
        <f aca="false">F2172-E2172</f>
        <v>9.2410977843017</v>
      </c>
      <c r="I2172" s="52" t="n">
        <f aca="false">MAX(H2172,G2172)</f>
        <v>9.2410977843017</v>
      </c>
      <c r="J2172" s="4" t="str">
        <f aca="false">IFERROR("PN"&amp;SMALL(PN_list,COUNTIF(PN_list,"&lt;"&amp;I2172*bar_per_m)+1),"&gt; max PN")</f>
        <v>PN10</v>
      </c>
      <c r="K2172" s="4" t="str">
        <f aca="false">IF(L2172="no","end at tank",IF(H2172&lt;0,"NEGATIVE",IF(H2172&lt;p_min-0.005,"low","OK")))</f>
        <v>OK</v>
      </c>
      <c r="L2172" s="4" t="s">
        <v>414</v>
      </c>
    </row>
    <row r="2173" customFormat="false" ht="15" hidden="false" customHeight="false" outlineLevel="0" collapsed="false">
      <c r="A2173" s="4" t="s">
        <v>44</v>
      </c>
      <c r="B2173" s="4" t="s">
        <v>377</v>
      </c>
      <c r="C2173" s="47" t="n">
        <v>40.27</v>
      </c>
      <c r="D2173" s="48" t="n">
        <v>1699.43</v>
      </c>
      <c r="E2173" s="49" t="n">
        <f aca="false">D2173-cover</f>
        <v>1698.23</v>
      </c>
      <c r="F2173" s="50" t="n">
        <f aca="false">'Z6 Nkangamo-Uhuru'!S20-'Z6 Nkangamo-Uhuru'!P20*C2173/'Z6 Nkangamo-Uhuru'!G20</f>
        <v>1707.61490165087</v>
      </c>
      <c r="G2173" s="51" t="n">
        <f aca="false">'Z6 Nkangamo-Uhuru'!$B$8-E2173</f>
        <v>8.26999999999998</v>
      </c>
      <c r="H2173" s="52" t="n">
        <f aca="false">F2173-E2173</f>
        <v>9.38490165086751</v>
      </c>
      <c r="I2173" s="52" t="n">
        <f aca="false">MAX(H2173,G2173)</f>
        <v>9.38490165086751</v>
      </c>
      <c r="J2173" s="4" t="str">
        <f aca="false">IFERROR("PN"&amp;SMALL(PN_list,COUNTIF(PN_list,"&lt;"&amp;I2173*bar_per_m)+1),"&gt; max PN")</f>
        <v>PN10</v>
      </c>
      <c r="K2173" s="4" t="str">
        <f aca="false">IF(L2173="no","end at tank",IF(H2173&lt;0,"NEGATIVE",IF(H2173&lt;p_min-0.005,"low","OK")))</f>
        <v>OK</v>
      </c>
      <c r="L2173" s="4" t="s">
        <v>414</v>
      </c>
    </row>
    <row r="2174" customFormat="false" ht="15" hidden="false" customHeight="false" outlineLevel="0" collapsed="false">
      <c r="A2174" s="4" t="s">
        <v>44</v>
      </c>
      <c r="B2174" s="4" t="s">
        <v>377</v>
      </c>
      <c r="C2174" s="47" t="n">
        <v>60.27</v>
      </c>
      <c r="D2174" s="48" t="n">
        <v>1699.43</v>
      </c>
      <c r="E2174" s="49" t="n">
        <f aca="false">D2174-cover</f>
        <v>1698.23</v>
      </c>
      <c r="F2174" s="50" t="n">
        <f aca="false">'Z6 Nkangamo-Uhuru'!S20-'Z6 Nkangamo-Uhuru'!P20*C2174/'Z6 Nkangamo-Uhuru'!G20</f>
        <v>1707.58905445458</v>
      </c>
      <c r="G2174" s="51" t="n">
        <f aca="false">'Z6 Nkangamo-Uhuru'!$B$8-E2174</f>
        <v>8.26999999999998</v>
      </c>
      <c r="H2174" s="52" t="n">
        <f aca="false">F2174-E2174</f>
        <v>9.3590544545832</v>
      </c>
      <c r="I2174" s="52" t="n">
        <f aca="false">MAX(H2174,G2174)</f>
        <v>9.3590544545832</v>
      </c>
      <c r="J2174" s="4" t="str">
        <f aca="false">IFERROR("PN"&amp;SMALL(PN_list,COUNTIF(PN_list,"&lt;"&amp;I2174*bar_per_m)+1),"&gt; max PN")</f>
        <v>PN10</v>
      </c>
      <c r="K2174" s="4" t="str">
        <f aca="false">IF(L2174="no","end at tank",IF(H2174&lt;0,"NEGATIVE",IF(H2174&lt;p_min-0.005,"low","OK")))</f>
        <v>OK</v>
      </c>
      <c r="L2174" s="4" t="s">
        <v>414</v>
      </c>
    </row>
    <row r="2175" customFormat="false" ht="15" hidden="false" customHeight="false" outlineLevel="0" collapsed="false">
      <c r="A2175" s="4" t="s">
        <v>44</v>
      </c>
      <c r="B2175" s="4" t="s">
        <v>377</v>
      </c>
      <c r="C2175" s="47" t="n">
        <v>80.25</v>
      </c>
      <c r="D2175" s="48" t="n">
        <v>1699.49</v>
      </c>
      <c r="E2175" s="49" t="n">
        <f aca="false">D2175-cover</f>
        <v>1698.29</v>
      </c>
      <c r="F2175" s="50" t="n">
        <f aca="false">'Z6 Nkangamo-Uhuru'!S20-'Z6 Nkangamo-Uhuru'!P20*C2175/'Z6 Nkangamo-Uhuru'!G20</f>
        <v>1707.5632331055</v>
      </c>
      <c r="G2175" s="51" t="n">
        <f aca="false">'Z6 Nkangamo-Uhuru'!$B$8-E2175</f>
        <v>8.21000000000004</v>
      </c>
      <c r="H2175" s="52" t="n">
        <f aca="false">F2175-E2175</f>
        <v>9.27323310549537</v>
      </c>
      <c r="I2175" s="52" t="n">
        <f aca="false">MAX(H2175,G2175)</f>
        <v>9.27323310549537</v>
      </c>
      <c r="J2175" s="4" t="str">
        <f aca="false">IFERROR("PN"&amp;SMALL(PN_list,COUNTIF(PN_list,"&lt;"&amp;I2175*bar_per_m)+1),"&gt; max PN")</f>
        <v>PN10</v>
      </c>
      <c r="K2175" s="4" t="str">
        <f aca="false">IF(L2175="no","end at tank",IF(H2175&lt;0,"NEGATIVE",IF(H2175&lt;p_min-0.005,"low","OK")))</f>
        <v>OK</v>
      </c>
      <c r="L2175" s="4" t="s">
        <v>414</v>
      </c>
    </row>
    <row r="2176" customFormat="false" ht="15" hidden="false" customHeight="false" outlineLevel="0" collapsed="false">
      <c r="A2176" s="4" t="s">
        <v>44</v>
      </c>
      <c r="B2176" s="4" t="s">
        <v>377</v>
      </c>
      <c r="C2176" s="47" t="n">
        <v>100.25</v>
      </c>
      <c r="D2176" s="48" t="n">
        <v>1699.34</v>
      </c>
      <c r="E2176" s="49" t="n">
        <f aca="false">D2176-cover</f>
        <v>1698.14</v>
      </c>
      <c r="F2176" s="50" t="n">
        <f aca="false">'Z6 Nkangamo-Uhuru'!S20-'Z6 Nkangamo-Uhuru'!P20*C2176/'Z6 Nkangamo-Uhuru'!G20</f>
        <v>1707.53738590921</v>
      </c>
      <c r="G2176" s="51" t="n">
        <f aca="false">'Z6 Nkangamo-Uhuru'!$B$8-E2176</f>
        <v>8.36000000000013</v>
      </c>
      <c r="H2176" s="52" t="n">
        <f aca="false">F2176-E2176</f>
        <v>9.39738590921138</v>
      </c>
      <c r="I2176" s="52" t="n">
        <f aca="false">MAX(H2176,G2176)</f>
        <v>9.39738590921138</v>
      </c>
      <c r="J2176" s="4" t="str">
        <f aca="false">IFERROR("PN"&amp;SMALL(PN_list,COUNTIF(PN_list,"&lt;"&amp;I2176*bar_per_m)+1),"&gt; max PN")</f>
        <v>PN10</v>
      </c>
      <c r="K2176" s="4" t="str">
        <f aca="false">IF(L2176="no","end at tank",IF(H2176&lt;0,"NEGATIVE",IF(H2176&lt;p_min-0.005,"low","OK")))</f>
        <v>OK</v>
      </c>
      <c r="L2176" s="4" t="s">
        <v>414</v>
      </c>
    </row>
    <row r="2177" customFormat="false" ht="15" hidden="false" customHeight="false" outlineLevel="0" collapsed="false">
      <c r="A2177" s="4" t="s">
        <v>44</v>
      </c>
      <c r="B2177" s="4" t="s">
        <v>379</v>
      </c>
      <c r="C2177" s="47" t="n">
        <v>0</v>
      </c>
      <c r="D2177" s="48" t="n">
        <v>1699.34</v>
      </c>
      <c r="E2177" s="49" t="n">
        <f aca="false">D2177-cover</f>
        <v>1698.14</v>
      </c>
      <c r="F2177" s="50" t="n">
        <f aca="false">'Z6 Nkangamo-Uhuru'!S21-'Z6 Nkangamo-Uhuru'!P21*C2177/'Z6 Nkangamo-Uhuru'!G21</f>
        <v>1707.5374505272</v>
      </c>
      <c r="G2177" s="51" t="n">
        <f aca="false">'Z6 Nkangamo-Uhuru'!$B$8-E2177</f>
        <v>8.36000000000013</v>
      </c>
      <c r="H2177" s="52" t="n">
        <f aca="false">F2177-E2177</f>
        <v>9.39745052720195</v>
      </c>
      <c r="I2177" s="52" t="n">
        <f aca="false">MAX(H2177,G2177)</f>
        <v>9.39745052720195</v>
      </c>
      <c r="J2177" s="4" t="str">
        <f aca="false">IFERROR("PN"&amp;SMALL(PN_list,COUNTIF(PN_list,"&lt;"&amp;I2177*bar_per_m)+1),"&gt; max PN")</f>
        <v>PN10</v>
      </c>
      <c r="K2177" s="4" t="str">
        <f aca="false">IF(L2177="no","end at tank",IF(H2177&lt;0,"NEGATIVE",IF(H2177&lt;p_min-0.005,"low","OK")))</f>
        <v>OK</v>
      </c>
      <c r="L2177" s="4" t="s">
        <v>414</v>
      </c>
    </row>
    <row r="2178" customFormat="false" ht="15" hidden="false" customHeight="false" outlineLevel="0" collapsed="false">
      <c r="A2178" s="4" t="s">
        <v>44</v>
      </c>
      <c r="B2178" s="4" t="s">
        <v>379</v>
      </c>
      <c r="C2178" s="47" t="n">
        <v>50</v>
      </c>
      <c r="D2178" s="48" t="n">
        <v>1697.3</v>
      </c>
      <c r="E2178" s="49" t="n">
        <f aca="false">D2178-cover</f>
        <v>1696.1</v>
      </c>
      <c r="F2178" s="50" t="n">
        <f aca="false">'Z6 Nkangamo-Uhuru'!S21-'Z6 Nkangamo-Uhuru'!P21*C2178/'Z6 Nkangamo-Uhuru'!G21</f>
        <v>1707.4768893659</v>
      </c>
      <c r="G2178" s="51" t="n">
        <f aca="false">'Z6 Nkangamo-Uhuru'!$B$8-E2178</f>
        <v>10.4000000000001</v>
      </c>
      <c r="H2178" s="52" t="n">
        <f aca="false">F2178-E2178</f>
        <v>11.376889365903</v>
      </c>
      <c r="I2178" s="52" t="n">
        <f aca="false">MAX(H2178,G2178)</f>
        <v>11.376889365903</v>
      </c>
      <c r="J2178" s="4" t="str">
        <f aca="false">IFERROR("PN"&amp;SMALL(PN_list,COUNTIF(PN_list,"&lt;"&amp;I2178*bar_per_m)+1),"&gt; max PN")</f>
        <v>PN10</v>
      </c>
      <c r="K2178" s="4" t="str">
        <f aca="false">IF(L2178="no","end at tank",IF(H2178&lt;0,"NEGATIVE",IF(H2178&lt;p_min-0.005,"low","OK")))</f>
        <v>end at tank</v>
      </c>
      <c r="L2178" s="4" t="s">
        <v>413</v>
      </c>
    </row>
    <row r="2179" customFormat="false" ht="15" hidden="false" customHeight="false" outlineLevel="0" collapsed="false">
      <c r="A2179" s="4" t="s">
        <v>44</v>
      </c>
      <c r="B2179" s="4" t="s">
        <v>380</v>
      </c>
      <c r="C2179" s="47" t="n">
        <v>0</v>
      </c>
      <c r="D2179" s="48" t="n">
        <v>1698.34</v>
      </c>
      <c r="E2179" s="49" t="n">
        <f aca="false">D2179-cover</f>
        <v>1697.14</v>
      </c>
      <c r="F2179" s="50" t="n">
        <f aca="false">'Z6 Nkangamo-Uhuru'!S22-'Z6 Nkangamo-Uhuru'!P22*C2179/'Z6 Nkangamo-Uhuru'!G22</f>
        <v>1707.72712504587</v>
      </c>
      <c r="G2179" s="51" t="n">
        <f aca="false">'Z6 Nkangamo-Uhuru'!$B$8-E2179</f>
        <v>9.36000000000013</v>
      </c>
      <c r="H2179" s="52" t="n">
        <f aca="false">F2179-E2179</f>
        <v>10.587125045867</v>
      </c>
      <c r="I2179" s="52" t="n">
        <f aca="false">MAX(H2179,G2179)</f>
        <v>10.587125045867</v>
      </c>
      <c r="J2179" s="4" t="str">
        <f aca="false">IFERROR("PN"&amp;SMALL(PN_list,COUNTIF(PN_list,"&lt;"&amp;I2179*bar_per_m)+1),"&gt; max PN")</f>
        <v>PN10</v>
      </c>
      <c r="K2179" s="4" t="str">
        <f aca="false">IF(L2179="no","end at tank",IF(H2179&lt;0,"NEGATIVE",IF(H2179&lt;p_min-0.005,"low","OK")))</f>
        <v>OK</v>
      </c>
      <c r="L2179" s="4" t="s">
        <v>414</v>
      </c>
    </row>
    <row r="2180" customFormat="false" ht="15" hidden="false" customHeight="false" outlineLevel="0" collapsed="false">
      <c r="A2180" s="4" t="s">
        <v>44</v>
      </c>
      <c r="B2180" s="4" t="s">
        <v>380</v>
      </c>
      <c r="C2180" s="47" t="n">
        <v>38</v>
      </c>
      <c r="D2180" s="48" t="n">
        <v>1700</v>
      </c>
      <c r="E2180" s="49" t="n">
        <f aca="false">D2180-cover</f>
        <v>1698.8</v>
      </c>
      <c r="F2180" s="50" t="n">
        <f aca="false">'Z6 Nkangamo-Uhuru'!S22-'Z6 Nkangamo-Uhuru'!P22*C2180/'Z6 Nkangamo-Uhuru'!G22</f>
        <v>1707.5</v>
      </c>
      <c r="G2180" s="51" t="n">
        <f aca="false">'Z6 Nkangamo-Uhuru'!$B$8-E2180</f>
        <v>7.70000000000005</v>
      </c>
      <c r="H2180" s="52" t="n">
        <f aca="false">F2180-E2180</f>
        <v>8.70000000000005</v>
      </c>
      <c r="I2180" s="52" t="n">
        <f aca="false">MAX(H2180,G2180)</f>
        <v>8.70000000000005</v>
      </c>
      <c r="J2180" s="4" t="str">
        <f aca="false">IFERROR("PN"&amp;SMALL(PN_list,COUNTIF(PN_list,"&lt;"&amp;I2180*bar_per_m)+1),"&gt; max PN")</f>
        <v>PN10</v>
      </c>
      <c r="K2180" s="4" t="str">
        <f aca="false">IF(L2180="no","end at tank",IF(H2180&lt;0,"NEGATIVE",IF(H2180&lt;p_min-0.005,"low","OK")))</f>
        <v>end at tank</v>
      </c>
      <c r="L2180" s="4" t="s">
        <v>413</v>
      </c>
    </row>
    <row r="2181" customFormat="false" ht="15" hidden="false" customHeight="false" outlineLevel="0" collapsed="false">
      <c r="A2181" s="4" t="s">
        <v>44</v>
      </c>
      <c r="B2181" s="4" t="s">
        <v>381</v>
      </c>
      <c r="C2181" s="47" t="n">
        <v>0</v>
      </c>
      <c r="D2181" s="48" t="n">
        <v>1699.25</v>
      </c>
      <c r="E2181" s="49" t="n">
        <f aca="false">D2181-cover</f>
        <v>1698.05</v>
      </c>
      <c r="F2181" s="50" t="n">
        <f aca="false">'Z6 Nkangamo-Uhuru'!S23-'Z6 Nkangamo-Uhuru'!P23*C2181/'Z6 Nkangamo-Uhuru'!G23</f>
        <v>1707.66694498059</v>
      </c>
      <c r="G2181" s="51" t="n">
        <f aca="false">'Z6 Nkangamo-Uhuru'!$B$8-E2181</f>
        <v>8.45000000000005</v>
      </c>
      <c r="H2181" s="52" t="n">
        <f aca="false">F2181-E2181</f>
        <v>9.61694498058591</v>
      </c>
      <c r="I2181" s="52" t="n">
        <f aca="false">MAX(H2181,G2181)</f>
        <v>9.61694498058591</v>
      </c>
      <c r="J2181" s="4" t="str">
        <f aca="false">IFERROR("PN"&amp;SMALL(PN_list,COUNTIF(PN_list,"&lt;"&amp;I2181*bar_per_m)+1),"&gt; max PN")</f>
        <v>PN10</v>
      </c>
      <c r="K2181" s="4" t="str">
        <f aca="false">IF(L2181="no","end at tank",IF(H2181&lt;0,"NEGATIVE",IF(H2181&lt;p_min-0.005,"low","OK")))</f>
        <v>OK</v>
      </c>
      <c r="L2181" s="4" t="s">
        <v>414</v>
      </c>
    </row>
    <row r="2182" customFormat="false" ht="15" hidden="false" customHeight="false" outlineLevel="0" collapsed="false">
      <c r="A2182" s="4" t="s">
        <v>44</v>
      </c>
      <c r="B2182" s="4" t="s">
        <v>381</v>
      </c>
      <c r="C2182" s="47" t="n">
        <v>40</v>
      </c>
      <c r="D2182" s="48" t="n">
        <v>1698.4</v>
      </c>
      <c r="E2182" s="49" t="n">
        <f aca="false">D2182-cover</f>
        <v>1697.2</v>
      </c>
      <c r="F2182" s="50" t="n">
        <f aca="false">'Z6 Nkangamo-Uhuru'!S23-'Z6 Nkangamo-Uhuru'!P23*C2182/'Z6 Nkangamo-Uhuru'!G23</f>
        <v>1707.20135160963</v>
      </c>
      <c r="G2182" s="51" t="n">
        <f aca="false">'Z6 Nkangamo-Uhuru'!$B$8-E2182</f>
        <v>9.29999999999996</v>
      </c>
      <c r="H2182" s="52" t="n">
        <f aca="false">F2182-E2182</f>
        <v>10.0013516096328</v>
      </c>
      <c r="I2182" s="52" t="n">
        <f aca="false">MAX(H2182,G2182)</f>
        <v>10.0013516096328</v>
      </c>
      <c r="J2182" s="4" t="str">
        <f aca="false">IFERROR("PN"&amp;SMALL(PN_list,COUNTIF(PN_list,"&lt;"&amp;I2182*bar_per_m)+1),"&gt; max PN")</f>
        <v>PN10</v>
      </c>
      <c r="K2182" s="4" t="str">
        <f aca="false">IF(L2182="no","end at tank",IF(H2182&lt;0,"NEGATIVE",IF(H2182&lt;p_min-0.005,"low","OK")))</f>
        <v>end at tank</v>
      </c>
      <c r="L2182" s="4" t="s">
        <v>413</v>
      </c>
    </row>
    <row r="2183" customFormat="false" ht="15" hidden="false" customHeight="false" outlineLevel="0" collapsed="false">
      <c r="A2183" s="4" t="s">
        <v>44</v>
      </c>
      <c r="B2183" s="4" t="s">
        <v>382</v>
      </c>
      <c r="C2183" s="47" t="n">
        <v>0</v>
      </c>
      <c r="D2183" s="48" t="n">
        <v>1699.34</v>
      </c>
      <c r="E2183" s="49" t="n">
        <f aca="false">D2183-cover</f>
        <v>1698.14</v>
      </c>
      <c r="F2183" s="50" t="n">
        <f aca="false">'Z6 Nkangamo-Uhuru'!S24-'Z6 Nkangamo-Uhuru'!P24*C2183/'Z6 Nkangamo-Uhuru'!G24</f>
        <v>1707.5374505272</v>
      </c>
      <c r="G2183" s="51" t="n">
        <f aca="false">'Z6 Nkangamo-Uhuru'!$B$8-E2183</f>
        <v>8.36000000000013</v>
      </c>
      <c r="H2183" s="52" t="n">
        <f aca="false">F2183-E2183</f>
        <v>9.39745052720195</v>
      </c>
      <c r="I2183" s="52" t="n">
        <f aca="false">MAX(H2183,G2183)</f>
        <v>9.39745052720195</v>
      </c>
      <c r="J2183" s="4" t="str">
        <f aca="false">IFERROR("PN"&amp;SMALL(PN_list,COUNTIF(PN_list,"&lt;"&amp;I2183*bar_per_m)+1),"&gt; max PN")</f>
        <v>PN10</v>
      </c>
      <c r="K2183" s="4" t="str">
        <f aca="false">IF(L2183="no","end at tank",IF(H2183&lt;0,"NEGATIVE",IF(H2183&lt;p_min-0.005,"low","OK")))</f>
        <v>OK</v>
      </c>
      <c r="L2183" s="4" t="s">
        <v>414</v>
      </c>
    </row>
    <row r="2184" customFormat="false" ht="15" hidden="false" customHeight="false" outlineLevel="0" collapsed="false">
      <c r="A2184" s="4" t="s">
        <v>44</v>
      </c>
      <c r="B2184" s="4" t="s">
        <v>382</v>
      </c>
      <c r="C2184" s="47" t="n">
        <v>104.99</v>
      </c>
      <c r="D2184" s="48" t="n">
        <v>1699.5</v>
      </c>
      <c r="E2184" s="49" t="n">
        <f aca="false">D2184-cover</f>
        <v>1698.3</v>
      </c>
      <c r="F2184" s="50" t="n">
        <f aca="false">'Z6 Nkangamo-Uhuru'!S24-'Z6 Nkangamo-Uhuru'!P24*C2184/'Z6 Nkangamo-Uhuru'!G24</f>
        <v>1707.31118595381</v>
      </c>
      <c r="G2184" s="51" t="n">
        <f aca="false">'Z6 Nkangamo-Uhuru'!$B$8-E2184</f>
        <v>8.20000000000005</v>
      </c>
      <c r="H2184" s="52" t="n">
        <f aca="false">F2184-E2184</f>
        <v>9.01118595380513</v>
      </c>
      <c r="I2184" s="52" t="n">
        <f aca="false">MAX(H2184,G2184)</f>
        <v>9.01118595380513</v>
      </c>
      <c r="J2184" s="4" t="str">
        <f aca="false">IFERROR("PN"&amp;SMALL(PN_list,COUNTIF(PN_list,"&lt;"&amp;I2184*bar_per_m)+1),"&gt; max PN")</f>
        <v>PN10</v>
      </c>
      <c r="K2184" s="4" t="str">
        <f aca="false">IF(L2184="no","end at tank",IF(H2184&lt;0,"NEGATIVE",IF(H2184&lt;p_min-0.005,"low","OK")))</f>
        <v>OK</v>
      </c>
      <c r="L2184" s="4" t="s">
        <v>414</v>
      </c>
    </row>
    <row r="2185" customFormat="false" ht="15" hidden="false" customHeight="false" outlineLevel="0" collapsed="false">
      <c r="A2185" s="4" t="s">
        <v>44</v>
      </c>
      <c r="B2185" s="4" t="s">
        <v>382</v>
      </c>
      <c r="C2185" s="47" t="n">
        <v>124.99</v>
      </c>
      <c r="D2185" s="48" t="n">
        <v>1699.39</v>
      </c>
      <c r="E2185" s="49" t="n">
        <f aca="false">D2185-cover</f>
        <v>1698.19</v>
      </c>
      <c r="F2185" s="50" t="n">
        <f aca="false">'Z6 Nkangamo-Uhuru'!S24-'Z6 Nkangamo-Uhuru'!P24*C2185/'Z6 Nkangamo-Uhuru'!G24</f>
        <v>1707.26808383486</v>
      </c>
      <c r="G2185" s="51" t="n">
        <f aca="false">'Z6 Nkangamo-Uhuru'!$B$8-E2185</f>
        <v>8.30999999999995</v>
      </c>
      <c r="H2185" s="52" t="n">
        <f aca="false">F2185-E2185</f>
        <v>9.07808383486076</v>
      </c>
      <c r="I2185" s="52" t="n">
        <f aca="false">MAX(H2185,G2185)</f>
        <v>9.07808383486076</v>
      </c>
      <c r="J2185" s="4" t="str">
        <f aca="false">IFERROR("PN"&amp;SMALL(PN_list,COUNTIF(PN_list,"&lt;"&amp;I2185*bar_per_m)+1),"&gt; max PN")</f>
        <v>PN10</v>
      </c>
      <c r="K2185" s="4" t="str">
        <f aca="false">IF(L2185="no","end at tank",IF(H2185&lt;0,"NEGATIVE",IF(H2185&lt;p_min-0.005,"low","OK")))</f>
        <v>OK</v>
      </c>
      <c r="L2185" s="4" t="s">
        <v>414</v>
      </c>
    </row>
    <row r="2186" customFormat="false" ht="15" hidden="false" customHeight="false" outlineLevel="0" collapsed="false">
      <c r="A2186" s="4" t="s">
        <v>44</v>
      </c>
      <c r="B2186" s="4" t="s">
        <v>382</v>
      </c>
      <c r="C2186" s="47" t="n">
        <v>144.99</v>
      </c>
      <c r="D2186" s="48" t="n">
        <v>1699.45</v>
      </c>
      <c r="E2186" s="49" t="n">
        <f aca="false">D2186-cover</f>
        <v>1698.25</v>
      </c>
      <c r="F2186" s="50" t="n">
        <f aca="false">'Z6 Nkangamo-Uhuru'!S24-'Z6 Nkangamo-Uhuru'!P24*C2186/'Z6 Nkangamo-Uhuru'!G24</f>
        <v>1707.22498171592</v>
      </c>
      <c r="G2186" s="51" t="n">
        <f aca="false">'Z6 Nkangamo-Uhuru'!$B$8-E2186</f>
        <v>8.25</v>
      </c>
      <c r="H2186" s="52" t="n">
        <f aca="false">F2186-E2186</f>
        <v>8.97498171591678</v>
      </c>
      <c r="I2186" s="52" t="n">
        <f aca="false">MAX(H2186,G2186)</f>
        <v>8.97498171591678</v>
      </c>
      <c r="J2186" s="4" t="str">
        <f aca="false">IFERROR("PN"&amp;SMALL(PN_list,COUNTIF(PN_list,"&lt;"&amp;I2186*bar_per_m)+1),"&gt; max PN")</f>
        <v>PN10</v>
      </c>
      <c r="K2186" s="4" t="str">
        <f aca="false">IF(L2186="no","end at tank",IF(H2186&lt;0,"NEGATIVE",IF(H2186&lt;p_min-0.005,"low","OK")))</f>
        <v>OK</v>
      </c>
      <c r="L2186" s="4" t="s">
        <v>414</v>
      </c>
    </row>
    <row r="2187" customFormat="false" ht="15" hidden="false" customHeight="false" outlineLevel="0" collapsed="false">
      <c r="A2187" s="4" t="s">
        <v>44</v>
      </c>
      <c r="B2187" s="4" t="s">
        <v>382</v>
      </c>
      <c r="C2187" s="47" t="n">
        <v>164.99</v>
      </c>
      <c r="D2187" s="48" t="n">
        <v>1699.32</v>
      </c>
      <c r="E2187" s="49" t="n">
        <f aca="false">D2187-cover</f>
        <v>1698.12</v>
      </c>
      <c r="F2187" s="50" t="n">
        <f aca="false">'Z6 Nkangamo-Uhuru'!S24-'Z6 Nkangamo-Uhuru'!P24*C2187/'Z6 Nkangamo-Uhuru'!G24</f>
        <v>1707.18187959697</v>
      </c>
      <c r="G2187" s="51" t="n">
        <f aca="false">'Z6 Nkangamo-Uhuru'!$B$8-E2187</f>
        <v>8.38000000000011</v>
      </c>
      <c r="H2187" s="52" t="n">
        <f aca="false">F2187-E2187</f>
        <v>9.06187959697286</v>
      </c>
      <c r="I2187" s="52" t="n">
        <f aca="false">MAX(H2187,G2187)</f>
        <v>9.06187959697286</v>
      </c>
      <c r="J2187" s="4" t="str">
        <f aca="false">IFERROR("PN"&amp;SMALL(PN_list,COUNTIF(PN_list,"&lt;"&amp;I2187*bar_per_m)+1),"&gt; max PN")</f>
        <v>PN10</v>
      </c>
      <c r="K2187" s="4" t="str">
        <f aca="false">IF(L2187="no","end at tank",IF(H2187&lt;0,"NEGATIVE",IF(H2187&lt;p_min-0.005,"low","OK")))</f>
        <v>OK</v>
      </c>
      <c r="L2187" s="4" t="s">
        <v>414</v>
      </c>
    </row>
    <row r="2188" customFormat="false" ht="15" hidden="false" customHeight="false" outlineLevel="0" collapsed="false">
      <c r="A2188" s="4" t="s">
        <v>44</v>
      </c>
      <c r="B2188" s="4" t="s">
        <v>382</v>
      </c>
      <c r="C2188" s="47" t="n">
        <v>296.09</v>
      </c>
      <c r="D2188" s="48" t="n">
        <v>1693.93</v>
      </c>
      <c r="E2188" s="49" t="n">
        <f aca="false">D2188-cover</f>
        <v>1692.73</v>
      </c>
      <c r="F2188" s="50" t="n">
        <f aca="false">'Z6 Nkangamo-Uhuru'!S24-'Z6 Nkangamo-Uhuru'!P24*C2188/'Z6 Nkangamo-Uhuru'!G24</f>
        <v>1706.89934520729</v>
      </c>
      <c r="G2188" s="51" t="n">
        <f aca="false">'Z6 Nkangamo-Uhuru'!$B$8-E2188</f>
        <v>13.77</v>
      </c>
      <c r="H2188" s="52" t="n">
        <f aca="false">F2188-E2188</f>
        <v>14.1693452072943</v>
      </c>
      <c r="I2188" s="52" t="n">
        <f aca="false">MAX(H2188,G2188)</f>
        <v>14.1693452072943</v>
      </c>
      <c r="J2188" s="4" t="str">
        <f aca="false">IFERROR("PN"&amp;SMALL(PN_list,COUNTIF(PN_list,"&lt;"&amp;I2188*bar_per_m)+1),"&gt; max PN")</f>
        <v>PN10</v>
      </c>
      <c r="K2188" s="4" t="str">
        <f aca="false">IF(L2188="no","end at tank",IF(H2188&lt;0,"NEGATIVE",IF(H2188&lt;p_min-0.005,"low","OK")))</f>
        <v>OK</v>
      </c>
      <c r="L2188" s="4" t="s">
        <v>414</v>
      </c>
    </row>
    <row r="2189" customFormat="false" ht="15" hidden="false" customHeight="false" outlineLevel="0" collapsed="false">
      <c r="A2189" s="4" t="s">
        <v>44</v>
      </c>
      <c r="B2189" s="4" t="s">
        <v>382</v>
      </c>
      <c r="C2189" s="47" t="n">
        <v>377.83</v>
      </c>
      <c r="D2189" s="48" t="n">
        <v>1685.01</v>
      </c>
      <c r="E2189" s="49" t="n">
        <f aca="false">D2189-cover</f>
        <v>1683.81</v>
      </c>
      <c r="F2189" s="50" t="n">
        <f aca="false">'Z6 Nkangamo-Uhuru'!S24-'Z6 Nkangamo-Uhuru'!P24*C2189/'Z6 Nkangamo-Uhuru'!G24</f>
        <v>1706.72318684717</v>
      </c>
      <c r="G2189" s="51" t="n">
        <f aca="false">'Z6 Nkangamo-Uhuru'!$B$8-E2189</f>
        <v>22.6900000000001</v>
      </c>
      <c r="H2189" s="52" t="n">
        <f aca="false">F2189-E2189</f>
        <v>22.9131868471702</v>
      </c>
      <c r="I2189" s="52" t="n">
        <f aca="false">MAX(H2189,G2189)</f>
        <v>22.9131868471702</v>
      </c>
      <c r="J2189" s="4" t="str">
        <f aca="false">IFERROR("PN"&amp;SMALL(PN_list,COUNTIF(PN_list,"&lt;"&amp;I2189*bar_per_m)+1),"&gt; max PN")</f>
        <v>PN10</v>
      </c>
      <c r="K2189" s="4" t="str">
        <f aca="false">IF(L2189="no","end at tank",IF(H2189&lt;0,"NEGATIVE",IF(H2189&lt;p_min-0.005,"low","OK")))</f>
        <v>OK</v>
      </c>
      <c r="L2189" s="4" t="s">
        <v>414</v>
      </c>
    </row>
    <row r="2190" customFormat="false" ht="15" hidden="false" customHeight="false" outlineLevel="0" collapsed="false">
      <c r="A2190" s="4" t="s">
        <v>44</v>
      </c>
      <c r="B2190" s="4" t="s">
        <v>382</v>
      </c>
      <c r="C2190" s="47" t="n">
        <v>424.97</v>
      </c>
      <c r="D2190" s="48" t="n">
        <v>1680.09</v>
      </c>
      <c r="E2190" s="49" t="n">
        <f aca="false">D2190-cover</f>
        <v>1678.89</v>
      </c>
      <c r="F2190" s="50" t="n">
        <f aca="false">'Z6 Nkangamo-Uhuru'!S24-'Z6 Nkangamo-Uhuru'!P24*C2190/'Z6 Nkangamo-Uhuru'!G24</f>
        <v>1706.62159515282</v>
      </c>
      <c r="G2190" s="51" t="n">
        <f aca="false">'Z6 Nkangamo-Uhuru'!$B$8-E2190</f>
        <v>27.6100000000001</v>
      </c>
      <c r="H2190" s="52" t="n">
        <f aca="false">F2190-E2190</f>
        <v>27.731595152819</v>
      </c>
      <c r="I2190" s="52" t="n">
        <f aca="false">MAX(H2190,G2190)</f>
        <v>27.731595152819</v>
      </c>
      <c r="J2190" s="4" t="str">
        <f aca="false">IFERROR("PN"&amp;SMALL(PN_list,COUNTIF(PN_list,"&lt;"&amp;I2190*bar_per_m)+1),"&gt; max PN")</f>
        <v>PN10</v>
      </c>
      <c r="K2190" s="4" t="str">
        <f aca="false">IF(L2190="no","end at tank",IF(H2190&lt;0,"NEGATIVE",IF(H2190&lt;p_min-0.005,"low","OK")))</f>
        <v>OK</v>
      </c>
      <c r="L2190" s="4" t="s">
        <v>414</v>
      </c>
    </row>
    <row r="2191" customFormat="false" ht="15" hidden="false" customHeight="false" outlineLevel="0" collapsed="false">
      <c r="A2191" s="4" t="s">
        <v>44</v>
      </c>
      <c r="B2191" s="4" t="s">
        <v>382</v>
      </c>
      <c r="C2191" s="47" t="n">
        <v>475.02</v>
      </c>
      <c r="D2191" s="48" t="n">
        <v>1682.41</v>
      </c>
      <c r="E2191" s="49" t="n">
        <f aca="false">D2191-cover</f>
        <v>1681.21</v>
      </c>
      <c r="F2191" s="50" t="n">
        <f aca="false">'Z6 Nkangamo-Uhuru'!S24-'Z6 Nkangamo-Uhuru'!P24*C2191/'Z6 Nkangamo-Uhuru'!G24</f>
        <v>1706.51373210016</v>
      </c>
      <c r="G2191" s="51" t="n">
        <f aca="false">'Z6 Nkangamo-Uhuru'!$B$8-E2191</f>
        <v>25.29</v>
      </c>
      <c r="H2191" s="52" t="n">
        <f aca="false">F2191-E2191</f>
        <v>25.3037321001614</v>
      </c>
      <c r="I2191" s="52" t="n">
        <f aca="false">MAX(H2191,G2191)</f>
        <v>25.3037321001614</v>
      </c>
      <c r="J2191" s="4" t="str">
        <f aca="false">IFERROR("PN"&amp;SMALL(PN_list,COUNTIF(PN_list,"&lt;"&amp;I2191*bar_per_m)+1),"&gt; max PN")</f>
        <v>PN10</v>
      </c>
      <c r="K2191" s="4" t="str">
        <f aca="false">IF(L2191="no","end at tank",IF(H2191&lt;0,"NEGATIVE",IF(H2191&lt;p_min-0.005,"low","OK")))</f>
        <v>OK</v>
      </c>
      <c r="L2191" s="4" t="s">
        <v>414</v>
      </c>
    </row>
    <row r="2192" customFormat="false" ht="15" hidden="false" customHeight="false" outlineLevel="0" collapsed="false">
      <c r="A2192" s="4" t="s">
        <v>44</v>
      </c>
      <c r="B2192" s="4" t="s">
        <v>382</v>
      </c>
      <c r="C2192" s="47" t="n">
        <v>525.03</v>
      </c>
      <c r="D2192" s="48" t="n">
        <v>1681.73</v>
      </c>
      <c r="E2192" s="49" t="n">
        <f aca="false">D2192-cover</f>
        <v>1680.53</v>
      </c>
      <c r="F2192" s="50" t="n">
        <f aca="false">'Z6 Nkangamo-Uhuru'!S24-'Z6 Nkangamo-Uhuru'!P24*C2192/'Z6 Nkangamo-Uhuru'!G24</f>
        <v>1706.40595525174</v>
      </c>
      <c r="G2192" s="51" t="n">
        <f aca="false">'Z6 Nkangamo-Uhuru'!$B$8-E2192</f>
        <v>25.97</v>
      </c>
      <c r="H2192" s="52" t="n">
        <f aca="false">F2192-E2192</f>
        <v>25.8759552517417</v>
      </c>
      <c r="I2192" s="52" t="n">
        <f aca="false">MAX(H2192,G2192)</f>
        <v>25.97</v>
      </c>
      <c r="J2192" s="4" t="str">
        <f aca="false">IFERROR("PN"&amp;SMALL(PN_list,COUNTIF(PN_list,"&lt;"&amp;I2192*bar_per_m)+1),"&gt; max PN")</f>
        <v>PN10</v>
      </c>
      <c r="K2192" s="4" t="str">
        <f aca="false">IF(L2192="no","end at tank",IF(H2192&lt;0,"NEGATIVE",IF(H2192&lt;p_min-0.005,"low","OK")))</f>
        <v>OK</v>
      </c>
      <c r="L2192" s="4" t="s">
        <v>414</v>
      </c>
    </row>
    <row r="2193" customFormat="false" ht="15" hidden="false" customHeight="false" outlineLevel="0" collapsed="false">
      <c r="A2193" s="4" t="s">
        <v>44</v>
      </c>
      <c r="B2193" s="4" t="s">
        <v>382</v>
      </c>
      <c r="C2193" s="47" t="n">
        <v>569.16</v>
      </c>
      <c r="D2193" s="48" t="n">
        <v>1679.04</v>
      </c>
      <c r="E2193" s="49" t="n">
        <f aca="false">D2193-cover</f>
        <v>1677.84</v>
      </c>
      <c r="F2193" s="50" t="n">
        <f aca="false">'Z6 Nkangamo-Uhuru'!S24-'Z6 Nkangamo-Uhuru'!P24*C2193/'Z6 Nkangamo-Uhuru'!G24</f>
        <v>1706.31085042629</v>
      </c>
      <c r="G2193" s="51" t="n">
        <f aca="false">'Z6 Nkangamo-Uhuru'!$B$8-E2193</f>
        <v>28.6600000000001</v>
      </c>
      <c r="H2193" s="52" t="n">
        <f aca="false">F2193-E2193</f>
        <v>28.4708504262917</v>
      </c>
      <c r="I2193" s="52" t="n">
        <f aca="false">MAX(H2193,G2193)</f>
        <v>28.6600000000001</v>
      </c>
      <c r="J2193" s="4" t="str">
        <f aca="false">IFERROR("PN"&amp;SMALL(PN_list,COUNTIF(PN_list,"&lt;"&amp;I2193*bar_per_m)+1),"&gt; max PN")</f>
        <v>PN10</v>
      </c>
      <c r="K2193" s="4" t="str">
        <f aca="false">IF(L2193="no","end at tank",IF(H2193&lt;0,"NEGATIVE",IF(H2193&lt;p_min-0.005,"low","OK")))</f>
        <v>OK</v>
      </c>
      <c r="L2193" s="4" t="s">
        <v>414</v>
      </c>
    </row>
    <row r="2194" customFormat="false" ht="15" hidden="false" customHeight="false" outlineLevel="0" collapsed="false">
      <c r="A2194" s="4" t="s">
        <v>44</v>
      </c>
      <c r="B2194" s="4" t="s">
        <v>382</v>
      </c>
      <c r="C2194" s="47" t="n">
        <v>619.25</v>
      </c>
      <c r="D2194" s="48" t="n">
        <v>1675.96</v>
      </c>
      <c r="E2194" s="49" t="n">
        <f aca="false">D2194-cover</f>
        <v>1674.76</v>
      </c>
      <c r="F2194" s="50" t="n">
        <f aca="false">'Z6 Nkangamo-Uhuru'!S24-'Z6 Nkangamo-Uhuru'!P24*C2194/'Z6 Nkangamo-Uhuru'!G24</f>
        <v>1706.2029011694</v>
      </c>
      <c r="G2194" s="51" t="n">
        <f aca="false">'Z6 Nkangamo-Uhuru'!$B$8-E2194</f>
        <v>31.74</v>
      </c>
      <c r="H2194" s="52" t="n">
        <f aca="false">F2194-E2194</f>
        <v>31.4429011693962</v>
      </c>
      <c r="I2194" s="52" t="n">
        <f aca="false">MAX(H2194,G2194)</f>
        <v>31.74</v>
      </c>
      <c r="J2194" s="4" t="str">
        <f aca="false">IFERROR("PN"&amp;SMALL(PN_list,COUNTIF(PN_list,"&lt;"&amp;I2194*bar_per_m)+1),"&gt; max PN")</f>
        <v>PN10</v>
      </c>
      <c r="K2194" s="4" t="str">
        <f aca="false">IF(L2194="no","end at tank",IF(H2194&lt;0,"NEGATIVE",IF(H2194&lt;p_min-0.005,"low","OK")))</f>
        <v>OK</v>
      </c>
      <c r="L2194" s="4" t="s">
        <v>414</v>
      </c>
    </row>
    <row r="2195" customFormat="false" ht="15" hidden="false" customHeight="false" outlineLevel="0" collapsed="false">
      <c r="A2195" s="4" t="s">
        <v>44</v>
      </c>
      <c r="B2195" s="4" t="s">
        <v>382</v>
      </c>
      <c r="C2195" s="47" t="n">
        <v>669.3</v>
      </c>
      <c r="D2195" s="48" t="n">
        <v>1673.81</v>
      </c>
      <c r="E2195" s="49" t="n">
        <f aca="false">D2195-cover</f>
        <v>1672.61</v>
      </c>
      <c r="F2195" s="50" t="n">
        <f aca="false">'Z6 Nkangamo-Uhuru'!S24-'Z6 Nkangamo-Uhuru'!P24*C2195/'Z6 Nkangamo-Uhuru'!G24</f>
        <v>1706.09503811674</v>
      </c>
      <c r="G2195" s="51" t="n">
        <f aca="false">'Z6 Nkangamo-Uhuru'!$B$8-E2195</f>
        <v>33.8900000000001</v>
      </c>
      <c r="H2195" s="52" t="n">
        <f aca="false">F2195-E2195</f>
        <v>33.4850381167389</v>
      </c>
      <c r="I2195" s="52" t="n">
        <f aca="false">MAX(H2195,G2195)</f>
        <v>33.8900000000001</v>
      </c>
      <c r="J2195" s="4" t="str">
        <f aca="false">IFERROR("PN"&amp;SMALL(PN_list,COUNTIF(PN_list,"&lt;"&amp;I2195*bar_per_m)+1),"&gt; max PN")</f>
        <v>PN10</v>
      </c>
      <c r="K2195" s="4" t="str">
        <f aca="false">IF(L2195="no","end at tank",IF(H2195&lt;0,"NEGATIVE",IF(H2195&lt;p_min-0.005,"low","OK")))</f>
        <v>OK</v>
      </c>
      <c r="L2195" s="4" t="s">
        <v>414</v>
      </c>
    </row>
    <row r="2196" customFormat="false" ht="15" hidden="false" customHeight="false" outlineLevel="0" collapsed="false">
      <c r="A2196" s="4" t="s">
        <v>44</v>
      </c>
      <c r="B2196" s="4" t="s">
        <v>382</v>
      </c>
      <c r="C2196" s="47" t="n">
        <v>719.31</v>
      </c>
      <c r="D2196" s="48" t="n">
        <v>1672.73</v>
      </c>
      <c r="E2196" s="49" t="n">
        <f aca="false">D2196-cover</f>
        <v>1671.53</v>
      </c>
      <c r="F2196" s="50" t="n">
        <f aca="false">'Z6 Nkangamo-Uhuru'!S24-'Z6 Nkangamo-Uhuru'!P24*C2196/'Z6 Nkangamo-Uhuru'!G24</f>
        <v>1705.98726126832</v>
      </c>
      <c r="G2196" s="51" t="n">
        <f aca="false">'Z6 Nkangamo-Uhuru'!$B$8-E2196</f>
        <v>34.97</v>
      </c>
      <c r="H2196" s="52" t="n">
        <f aca="false">F2196-E2196</f>
        <v>34.4572612683191</v>
      </c>
      <c r="I2196" s="52" t="n">
        <f aca="false">MAX(H2196,G2196)</f>
        <v>34.97</v>
      </c>
      <c r="J2196" s="4" t="str">
        <f aca="false">IFERROR("PN"&amp;SMALL(PN_list,COUNTIF(PN_list,"&lt;"&amp;I2196*bar_per_m)+1),"&gt; max PN")</f>
        <v>PN10</v>
      </c>
      <c r="K2196" s="4" t="str">
        <f aca="false">IF(L2196="no","end at tank",IF(H2196&lt;0,"NEGATIVE",IF(H2196&lt;p_min-0.005,"low","OK")))</f>
        <v>OK</v>
      </c>
      <c r="L2196" s="4" t="s">
        <v>414</v>
      </c>
    </row>
    <row r="2197" customFormat="false" ht="15" hidden="false" customHeight="false" outlineLevel="0" collapsed="false">
      <c r="A2197" s="4" t="s">
        <v>44</v>
      </c>
      <c r="B2197" s="4" t="s">
        <v>382</v>
      </c>
      <c r="C2197" s="47" t="n">
        <v>769.33</v>
      </c>
      <c r="D2197" s="48" t="n">
        <v>1671.5</v>
      </c>
      <c r="E2197" s="49" t="n">
        <f aca="false">D2197-cover</f>
        <v>1670.3</v>
      </c>
      <c r="F2197" s="50" t="n">
        <f aca="false">'Z6 Nkangamo-Uhuru'!S24-'Z6 Nkangamo-Uhuru'!P24*C2197/'Z6 Nkangamo-Uhuru'!G24</f>
        <v>1705.87946286884</v>
      </c>
      <c r="G2197" s="51" t="n">
        <f aca="false">'Z6 Nkangamo-Uhuru'!$B$8-E2197</f>
        <v>36.2</v>
      </c>
      <c r="H2197" s="52" t="n">
        <f aca="false">F2197-E2197</f>
        <v>35.57946286884</v>
      </c>
      <c r="I2197" s="52" t="n">
        <f aca="false">MAX(H2197,G2197)</f>
        <v>36.2</v>
      </c>
      <c r="J2197" s="4" t="str">
        <f aca="false">IFERROR("PN"&amp;SMALL(PN_list,COUNTIF(PN_list,"&lt;"&amp;I2197*bar_per_m)+1),"&gt; max PN")</f>
        <v>PN10</v>
      </c>
      <c r="K2197" s="4" t="str">
        <f aca="false">IF(L2197="no","end at tank",IF(H2197&lt;0,"NEGATIVE",IF(H2197&lt;p_min-0.005,"low","OK")))</f>
        <v>OK</v>
      </c>
      <c r="L2197" s="4" t="s">
        <v>414</v>
      </c>
    </row>
    <row r="2198" customFormat="false" ht="15" hidden="false" customHeight="false" outlineLevel="0" collapsed="false">
      <c r="A2198" s="4" t="s">
        <v>44</v>
      </c>
      <c r="B2198" s="4" t="s">
        <v>382</v>
      </c>
      <c r="C2198" s="47" t="n">
        <v>819.34</v>
      </c>
      <c r="D2198" s="48" t="n">
        <v>1670.35</v>
      </c>
      <c r="E2198" s="49" t="n">
        <f aca="false">D2198-cover</f>
        <v>1669.15</v>
      </c>
      <c r="F2198" s="50" t="n">
        <f aca="false">'Z6 Nkangamo-Uhuru'!S24-'Z6 Nkangamo-Uhuru'!P24*C2198/'Z6 Nkangamo-Uhuru'!G24</f>
        <v>1705.77168602042</v>
      </c>
      <c r="G2198" s="51" t="n">
        <f aca="false">'Z6 Nkangamo-Uhuru'!$B$8-E2198</f>
        <v>37.3500000000001</v>
      </c>
      <c r="H2198" s="52" t="n">
        <f aca="false">F2198-E2198</f>
        <v>36.6216860204206</v>
      </c>
      <c r="I2198" s="52" t="n">
        <f aca="false">MAX(H2198,G2198)</f>
        <v>37.3500000000001</v>
      </c>
      <c r="J2198" s="4" t="str">
        <f aca="false">IFERROR("PN"&amp;SMALL(PN_list,COUNTIF(PN_list,"&lt;"&amp;I2198*bar_per_m)+1),"&gt; max PN")</f>
        <v>PN10</v>
      </c>
      <c r="K2198" s="4" t="str">
        <f aca="false">IF(L2198="no","end at tank",IF(H2198&lt;0,"NEGATIVE",IF(H2198&lt;p_min-0.005,"low","OK")))</f>
        <v>OK</v>
      </c>
      <c r="L2198" s="4" t="s">
        <v>414</v>
      </c>
    </row>
    <row r="2199" customFormat="false" ht="15" hidden="false" customHeight="false" outlineLevel="0" collapsed="false">
      <c r="A2199" s="4" t="s">
        <v>44</v>
      </c>
      <c r="B2199" s="4" t="s">
        <v>382</v>
      </c>
      <c r="C2199" s="47" t="n">
        <v>869.35</v>
      </c>
      <c r="D2199" s="48" t="n">
        <v>1669.35</v>
      </c>
      <c r="E2199" s="49" t="n">
        <f aca="false">D2199-cover</f>
        <v>1668.15</v>
      </c>
      <c r="F2199" s="50" t="n">
        <f aca="false">'Z6 Nkangamo-Uhuru'!S24-'Z6 Nkangamo-Uhuru'!P24*C2199/'Z6 Nkangamo-Uhuru'!G24</f>
        <v>1705.663909172</v>
      </c>
      <c r="G2199" s="51" t="n">
        <f aca="false">'Z6 Nkangamo-Uhuru'!$B$8-E2199</f>
        <v>38.3500000000001</v>
      </c>
      <c r="H2199" s="52" t="n">
        <f aca="false">F2199-E2199</f>
        <v>37.5139091720009</v>
      </c>
      <c r="I2199" s="52" t="n">
        <f aca="false">MAX(H2199,G2199)</f>
        <v>38.3500000000001</v>
      </c>
      <c r="J2199" s="4" t="str">
        <f aca="false">IFERROR("PN"&amp;SMALL(PN_list,COUNTIF(PN_list,"&lt;"&amp;I2199*bar_per_m)+1),"&gt; max PN")</f>
        <v>PN10</v>
      </c>
      <c r="K2199" s="4" t="str">
        <f aca="false">IF(L2199="no","end at tank",IF(H2199&lt;0,"NEGATIVE",IF(H2199&lt;p_min-0.005,"low","OK")))</f>
        <v>OK</v>
      </c>
      <c r="L2199" s="4" t="s">
        <v>414</v>
      </c>
    </row>
    <row r="2200" customFormat="false" ht="15" hidden="false" customHeight="false" outlineLevel="0" collapsed="false">
      <c r="A2200" s="4" t="s">
        <v>44</v>
      </c>
      <c r="B2200" s="4" t="s">
        <v>382</v>
      </c>
      <c r="C2200" s="47" t="n">
        <v>919.35</v>
      </c>
      <c r="D2200" s="48" t="n">
        <v>1669.23</v>
      </c>
      <c r="E2200" s="49" t="n">
        <f aca="false">D2200-cover</f>
        <v>1668.03</v>
      </c>
      <c r="F2200" s="50" t="n">
        <f aca="false">'Z6 Nkangamo-Uhuru'!S24-'Z6 Nkangamo-Uhuru'!P24*C2200/'Z6 Nkangamo-Uhuru'!G24</f>
        <v>1705.55615387464</v>
      </c>
      <c r="G2200" s="51" t="n">
        <f aca="false">'Z6 Nkangamo-Uhuru'!$B$8-E2200</f>
        <v>38.47</v>
      </c>
      <c r="H2200" s="52" t="n">
        <f aca="false">F2200-E2200</f>
        <v>37.5261538746406</v>
      </c>
      <c r="I2200" s="52" t="n">
        <f aca="false">MAX(H2200,G2200)</f>
        <v>38.47</v>
      </c>
      <c r="J2200" s="4" t="str">
        <f aca="false">IFERROR("PN"&amp;SMALL(PN_list,COUNTIF(PN_list,"&lt;"&amp;I2200*bar_per_m)+1),"&gt; max PN")</f>
        <v>PN10</v>
      </c>
      <c r="K2200" s="4" t="str">
        <f aca="false">IF(L2200="no","end at tank",IF(H2200&lt;0,"NEGATIVE",IF(H2200&lt;p_min-0.005,"low","OK")))</f>
        <v>OK</v>
      </c>
      <c r="L2200" s="4" t="s">
        <v>414</v>
      </c>
    </row>
    <row r="2201" customFormat="false" ht="15" hidden="false" customHeight="false" outlineLevel="0" collapsed="false">
      <c r="A2201" s="4" t="s">
        <v>44</v>
      </c>
      <c r="B2201" s="4" t="s">
        <v>382</v>
      </c>
      <c r="C2201" s="47" t="n">
        <v>969.35</v>
      </c>
      <c r="D2201" s="48" t="n">
        <v>1669.51</v>
      </c>
      <c r="E2201" s="49" t="n">
        <f aca="false">D2201-cover</f>
        <v>1668.31</v>
      </c>
      <c r="F2201" s="50" t="n">
        <f aca="false">'Z6 Nkangamo-Uhuru'!S24-'Z6 Nkangamo-Uhuru'!P24*C2201/'Z6 Nkangamo-Uhuru'!G24</f>
        <v>1705.44839857728</v>
      </c>
      <c r="G2201" s="51" t="n">
        <f aca="false">'Z6 Nkangamo-Uhuru'!$B$8-E2201</f>
        <v>38.1900000000001</v>
      </c>
      <c r="H2201" s="52" t="n">
        <f aca="false">F2201-E2201</f>
        <v>37.1383985772804</v>
      </c>
      <c r="I2201" s="52" t="n">
        <f aca="false">MAX(H2201,G2201)</f>
        <v>38.1900000000001</v>
      </c>
      <c r="J2201" s="4" t="str">
        <f aca="false">IFERROR("PN"&amp;SMALL(PN_list,COUNTIF(PN_list,"&lt;"&amp;I2201*bar_per_m)+1),"&gt; max PN")</f>
        <v>PN10</v>
      </c>
      <c r="K2201" s="4" t="str">
        <f aca="false">IF(L2201="no","end at tank",IF(H2201&lt;0,"NEGATIVE",IF(H2201&lt;p_min-0.005,"low","OK")))</f>
        <v>OK</v>
      </c>
      <c r="L2201" s="4" t="s">
        <v>414</v>
      </c>
    </row>
    <row r="2202" customFormat="false" ht="15" hidden="false" customHeight="false" outlineLevel="0" collapsed="false">
      <c r="A2202" s="4" t="s">
        <v>44</v>
      </c>
      <c r="B2202" s="4" t="s">
        <v>382</v>
      </c>
      <c r="C2202" s="47" t="n">
        <v>1019.35</v>
      </c>
      <c r="D2202" s="48" t="n">
        <v>1669.95</v>
      </c>
      <c r="E2202" s="49" t="n">
        <f aca="false">D2202-cover</f>
        <v>1668.75</v>
      </c>
      <c r="F2202" s="50" t="n">
        <f aca="false">'Z6 Nkangamo-Uhuru'!S24-'Z6 Nkangamo-Uhuru'!P24*C2202/'Z6 Nkangamo-Uhuru'!G24</f>
        <v>1705.34064327992</v>
      </c>
      <c r="G2202" s="51" t="n">
        <f aca="false">'Z6 Nkangamo-Uhuru'!$B$8-E2202</f>
        <v>37.75</v>
      </c>
      <c r="H2202" s="52" t="n">
        <f aca="false">F2202-E2202</f>
        <v>36.5906432799204</v>
      </c>
      <c r="I2202" s="52" t="n">
        <f aca="false">MAX(H2202,G2202)</f>
        <v>37.75</v>
      </c>
      <c r="J2202" s="4" t="str">
        <f aca="false">IFERROR("PN"&amp;SMALL(PN_list,COUNTIF(PN_list,"&lt;"&amp;I2202*bar_per_m)+1),"&gt; max PN")</f>
        <v>PN10</v>
      </c>
      <c r="K2202" s="4" t="str">
        <f aca="false">IF(L2202="no","end at tank",IF(H2202&lt;0,"NEGATIVE",IF(H2202&lt;p_min-0.005,"low","OK")))</f>
        <v>OK</v>
      </c>
      <c r="L2202" s="4" t="s">
        <v>414</v>
      </c>
    </row>
    <row r="2203" customFormat="false" ht="15" hidden="false" customHeight="false" outlineLevel="0" collapsed="false">
      <c r="A2203" s="4" t="s">
        <v>44</v>
      </c>
      <c r="B2203" s="4" t="s">
        <v>382</v>
      </c>
      <c r="C2203" s="47" t="n">
        <v>1069.35</v>
      </c>
      <c r="D2203" s="48" t="n">
        <v>1669.65</v>
      </c>
      <c r="E2203" s="49" t="n">
        <f aca="false">D2203-cover</f>
        <v>1668.45</v>
      </c>
      <c r="F2203" s="50" t="n">
        <f aca="false">'Z6 Nkangamo-Uhuru'!S24-'Z6 Nkangamo-Uhuru'!P24*C2203/'Z6 Nkangamo-Uhuru'!G24</f>
        <v>1705.23288798256</v>
      </c>
      <c r="G2203" s="51" t="n">
        <f aca="false">'Z6 Nkangamo-Uhuru'!$B$8-E2203</f>
        <v>38.05</v>
      </c>
      <c r="H2203" s="52" t="n">
        <f aca="false">F2203-E2203</f>
        <v>36.7828879825602</v>
      </c>
      <c r="I2203" s="52" t="n">
        <f aca="false">MAX(H2203,G2203)</f>
        <v>38.05</v>
      </c>
      <c r="J2203" s="4" t="str">
        <f aca="false">IFERROR("PN"&amp;SMALL(PN_list,COUNTIF(PN_list,"&lt;"&amp;I2203*bar_per_m)+1),"&gt; max PN")</f>
        <v>PN10</v>
      </c>
      <c r="K2203" s="4" t="str">
        <f aca="false">IF(L2203="no","end at tank",IF(H2203&lt;0,"NEGATIVE",IF(H2203&lt;p_min-0.005,"low","OK")))</f>
        <v>OK</v>
      </c>
      <c r="L2203" s="4" t="s">
        <v>414</v>
      </c>
    </row>
    <row r="2204" customFormat="false" ht="15" hidden="false" customHeight="false" outlineLevel="0" collapsed="false">
      <c r="A2204" s="4" t="s">
        <v>44</v>
      </c>
      <c r="B2204" s="4" t="s">
        <v>382</v>
      </c>
      <c r="C2204" s="47" t="n">
        <v>1119.35</v>
      </c>
      <c r="D2204" s="48" t="n">
        <v>1669.8</v>
      </c>
      <c r="E2204" s="49" t="n">
        <f aca="false">D2204-cover</f>
        <v>1668.6</v>
      </c>
      <c r="F2204" s="50" t="n">
        <f aca="false">'Z6 Nkangamo-Uhuru'!S24-'Z6 Nkangamo-Uhuru'!P24*C2204/'Z6 Nkangamo-Uhuru'!G24</f>
        <v>1705.1251326852</v>
      </c>
      <c r="G2204" s="51" t="n">
        <f aca="false">'Z6 Nkangamo-Uhuru'!$B$8-E2204</f>
        <v>37.9000000000001</v>
      </c>
      <c r="H2204" s="52" t="n">
        <f aca="false">F2204-E2204</f>
        <v>36.5251326852001</v>
      </c>
      <c r="I2204" s="52" t="n">
        <f aca="false">MAX(H2204,G2204)</f>
        <v>37.9000000000001</v>
      </c>
      <c r="J2204" s="4" t="str">
        <f aca="false">IFERROR("PN"&amp;SMALL(PN_list,COUNTIF(PN_list,"&lt;"&amp;I2204*bar_per_m)+1),"&gt; max PN")</f>
        <v>PN10</v>
      </c>
      <c r="K2204" s="4" t="str">
        <f aca="false">IF(L2204="no","end at tank",IF(H2204&lt;0,"NEGATIVE",IF(H2204&lt;p_min-0.005,"low","OK")))</f>
        <v>OK</v>
      </c>
      <c r="L2204" s="4" t="s">
        <v>414</v>
      </c>
    </row>
    <row r="2205" customFormat="false" ht="15" hidden="false" customHeight="false" outlineLevel="0" collapsed="false">
      <c r="A2205" s="4" t="s">
        <v>44</v>
      </c>
      <c r="B2205" s="4" t="s">
        <v>382</v>
      </c>
      <c r="C2205" s="47" t="n">
        <v>1169.35</v>
      </c>
      <c r="D2205" s="48" t="n">
        <v>1669.49</v>
      </c>
      <c r="E2205" s="49" t="n">
        <f aca="false">D2205-cover</f>
        <v>1668.29</v>
      </c>
      <c r="F2205" s="50" t="n">
        <f aca="false">'Z6 Nkangamo-Uhuru'!S24-'Z6 Nkangamo-Uhuru'!P24*C2205/'Z6 Nkangamo-Uhuru'!G24</f>
        <v>1705.01737738784</v>
      </c>
      <c r="G2205" s="51" t="n">
        <f aca="false">'Z6 Nkangamo-Uhuru'!$B$8-E2205</f>
        <v>38.21</v>
      </c>
      <c r="H2205" s="52" t="n">
        <f aca="false">F2205-E2205</f>
        <v>36.7273773878399</v>
      </c>
      <c r="I2205" s="52" t="n">
        <f aca="false">MAX(H2205,G2205)</f>
        <v>38.21</v>
      </c>
      <c r="J2205" s="4" t="str">
        <f aca="false">IFERROR("PN"&amp;SMALL(PN_list,COUNTIF(PN_list,"&lt;"&amp;I2205*bar_per_m)+1),"&gt; max PN")</f>
        <v>PN10</v>
      </c>
      <c r="K2205" s="4" t="str">
        <f aca="false">IF(L2205="no","end at tank",IF(H2205&lt;0,"NEGATIVE",IF(H2205&lt;p_min-0.005,"low","OK")))</f>
        <v>OK</v>
      </c>
      <c r="L2205" s="4" t="s">
        <v>414</v>
      </c>
    </row>
    <row r="2206" customFormat="false" ht="15" hidden="false" customHeight="false" outlineLevel="0" collapsed="false">
      <c r="A2206" s="4" t="s">
        <v>44</v>
      </c>
      <c r="B2206" s="4" t="s">
        <v>382</v>
      </c>
      <c r="C2206" s="47" t="n">
        <v>1219.36</v>
      </c>
      <c r="D2206" s="48" t="n">
        <v>1668.84</v>
      </c>
      <c r="E2206" s="49" t="n">
        <f aca="false">D2206-cover</f>
        <v>1667.64</v>
      </c>
      <c r="F2206" s="50" t="n">
        <f aca="false">'Z6 Nkangamo-Uhuru'!S24-'Z6 Nkangamo-Uhuru'!P24*C2206/'Z6 Nkangamo-Uhuru'!G24</f>
        <v>1704.90960053942</v>
      </c>
      <c r="G2206" s="51" t="n">
        <f aca="false">'Z6 Nkangamo-Uhuru'!$B$8-E2206</f>
        <v>38.8600000000001</v>
      </c>
      <c r="H2206" s="52" t="n">
        <f aca="false">F2206-E2206</f>
        <v>37.2696005394203</v>
      </c>
      <c r="I2206" s="52" t="n">
        <f aca="false">MAX(H2206,G2206)</f>
        <v>38.8600000000001</v>
      </c>
      <c r="J2206" s="4" t="str">
        <f aca="false">IFERROR("PN"&amp;SMALL(PN_list,COUNTIF(PN_list,"&lt;"&amp;I2206*bar_per_m)+1),"&gt; max PN")</f>
        <v>PN10</v>
      </c>
      <c r="K2206" s="4" t="str">
        <f aca="false">IF(L2206="no","end at tank",IF(H2206&lt;0,"NEGATIVE",IF(H2206&lt;p_min-0.005,"low","OK")))</f>
        <v>OK</v>
      </c>
      <c r="L2206" s="4" t="s">
        <v>414</v>
      </c>
    </row>
    <row r="2207" customFormat="false" ht="15" hidden="false" customHeight="false" outlineLevel="0" collapsed="false">
      <c r="A2207" s="4" t="s">
        <v>44</v>
      </c>
      <c r="B2207" s="4" t="s">
        <v>382</v>
      </c>
      <c r="C2207" s="47" t="n">
        <v>1269.36</v>
      </c>
      <c r="D2207" s="48" t="n">
        <v>1668.49</v>
      </c>
      <c r="E2207" s="49" t="n">
        <f aca="false">D2207-cover</f>
        <v>1667.29</v>
      </c>
      <c r="F2207" s="50" t="n">
        <f aca="false">'Z6 Nkangamo-Uhuru'!S24-'Z6 Nkangamo-Uhuru'!P24*C2207/'Z6 Nkangamo-Uhuru'!G24</f>
        <v>1704.80184524206</v>
      </c>
      <c r="G2207" s="51" t="n">
        <f aca="false">'Z6 Nkangamo-Uhuru'!$B$8-E2207</f>
        <v>39.21</v>
      </c>
      <c r="H2207" s="52" t="n">
        <f aca="false">F2207-E2207</f>
        <v>37.5118452420602</v>
      </c>
      <c r="I2207" s="52" t="n">
        <f aca="false">MAX(H2207,G2207)</f>
        <v>39.21</v>
      </c>
      <c r="J2207" s="4" t="str">
        <f aca="false">IFERROR("PN"&amp;SMALL(PN_list,COUNTIF(PN_list,"&lt;"&amp;I2207*bar_per_m)+1),"&gt; max PN")</f>
        <v>PN10</v>
      </c>
      <c r="K2207" s="4" t="str">
        <f aca="false">IF(L2207="no","end at tank",IF(H2207&lt;0,"NEGATIVE",IF(H2207&lt;p_min-0.005,"low","OK")))</f>
        <v>OK</v>
      </c>
      <c r="L2207" s="4" t="s">
        <v>414</v>
      </c>
    </row>
    <row r="2208" customFormat="false" ht="15" hidden="false" customHeight="false" outlineLevel="0" collapsed="false">
      <c r="A2208" s="4" t="s">
        <v>44</v>
      </c>
      <c r="B2208" s="4" t="s">
        <v>382</v>
      </c>
      <c r="C2208" s="47" t="n">
        <v>1319.36</v>
      </c>
      <c r="D2208" s="48" t="n">
        <v>1668.45</v>
      </c>
      <c r="E2208" s="49" t="n">
        <f aca="false">D2208-cover</f>
        <v>1667.25</v>
      </c>
      <c r="F2208" s="50" t="n">
        <f aca="false">'Z6 Nkangamo-Uhuru'!S24-'Z6 Nkangamo-Uhuru'!P24*C2208/'Z6 Nkangamo-Uhuru'!G24</f>
        <v>1704.6940899447</v>
      </c>
      <c r="G2208" s="51" t="n">
        <f aca="false">'Z6 Nkangamo-Uhuru'!$B$8-E2208</f>
        <v>39.25</v>
      </c>
      <c r="H2208" s="52" t="n">
        <f aca="false">F2208-E2208</f>
        <v>37.4440899447</v>
      </c>
      <c r="I2208" s="52" t="n">
        <f aca="false">MAX(H2208,G2208)</f>
        <v>39.25</v>
      </c>
      <c r="J2208" s="4" t="str">
        <f aca="false">IFERROR("PN"&amp;SMALL(PN_list,COUNTIF(PN_list,"&lt;"&amp;I2208*bar_per_m)+1),"&gt; max PN")</f>
        <v>PN10</v>
      </c>
      <c r="K2208" s="4" t="str">
        <f aca="false">IF(L2208="no","end at tank",IF(H2208&lt;0,"NEGATIVE",IF(H2208&lt;p_min-0.005,"low","OK")))</f>
        <v>OK</v>
      </c>
      <c r="L2208" s="4" t="s">
        <v>414</v>
      </c>
    </row>
    <row r="2209" customFormat="false" ht="15" hidden="false" customHeight="false" outlineLevel="0" collapsed="false">
      <c r="A2209" s="4" t="s">
        <v>44</v>
      </c>
      <c r="B2209" s="4" t="s">
        <v>382</v>
      </c>
      <c r="C2209" s="47" t="n">
        <v>1369.36</v>
      </c>
      <c r="D2209" s="48" t="n">
        <v>1668.8</v>
      </c>
      <c r="E2209" s="49" t="n">
        <f aca="false">D2209-cover</f>
        <v>1667.6</v>
      </c>
      <c r="F2209" s="50" t="n">
        <f aca="false">'Z6 Nkangamo-Uhuru'!S24-'Z6 Nkangamo-Uhuru'!P24*C2209/'Z6 Nkangamo-Uhuru'!G24</f>
        <v>1704.58633464734</v>
      </c>
      <c r="G2209" s="51" t="n">
        <f aca="false">'Z6 Nkangamo-Uhuru'!$B$8-E2209</f>
        <v>38.9000000000001</v>
      </c>
      <c r="H2209" s="52" t="n">
        <f aca="false">F2209-E2209</f>
        <v>36.9863346473398</v>
      </c>
      <c r="I2209" s="52" t="n">
        <f aca="false">MAX(H2209,G2209)</f>
        <v>38.9000000000001</v>
      </c>
      <c r="J2209" s="4" t="str">
        <f aca="false">IFERROR("PN"&amp;SMALL(PN_list,COUNTIF(PN_list,"&lt;"&amp;I2209*bar_per_m)+1),"&gt; max PN")</f>
        <v>PN10</v>
      </c>
      <c r="K2209" s="4" t="str">
        <f aca="false">IF(L2209="no","end at tank",IF(H2209&lt;0,"NEGATIVE",IF(H2209&lt;p_min-0.005,"low","OK")))</f>
        <v>OK</v>
      </c>
      <c r="L2209" s="4" t="s">
        <v>414</v>
      </c>
    </row>
    <row r="2210" customFormat="false" ht="15" hidden="false" customHeight="false" outlineLevel="0" collapsed="false">
      <c r="A2210" s="4" t="s">
        <v>44</v>
      </c>
      <c r="B2210" s="4" t="s">
        <v>382</v>
      </c>
      <c r="C2210" s="47" t="n">
        <v>1419.36</v>
      </c>
      <c r="D2210" s="48" t="n">
        <v>1669.31</v>
      </c>
      <c r="E2210" s="49" t="n">
        <f aca="false">D2210-cover</f>
        <v>1668.11</v>
      </c>
      <c r="F2210" s="50" t="n">
        <f aca="false">'Z6 Nkangamo-Uhuru'!S24-'Z6 Nkangamo-Uhuru'!P24*C2210/'Z6 Nkangamo-Uhuru'!G24</f>
        <v>1704.47857934998</v>
      </c>
      <c r="G2210" s="51" t="n">
        <f aca="false">'Z6 Nkangamo-Uhuru'!$B$8-E2210</f>
        <v>38.3900000000001</v>
      </c>
      <c r="H2210" s="52" t="n">
        <f aca="false">F2210-E2210</f>
        <v>36.3685793499797</v>
      </c>
      <c r="I2210" s="52" t="n">
        <f aca="false">MAX(H2210,G2210)</f>
        <v>38.3900000000001</v>
      </c>
      <c r="J2210" s="4" t="str">
        <f aca="false">IFERROR("PN"&amp;SMALL(PN_list,COUNTIF(PN_list,"&lt;"&amp;I2210*bar_per_m)+1),"&gt; max PN")</f>
        <v>PN10</v>
      </c>
      <c r="K2210" s="4" t="str">
        <f aca="false">IF(L2210="no","end at tank",IF(H2210&lt;0,"NEGATIVE",IF(H2210&lt;p_min-0.005,"low","OK")))</f>
        <v>OK</v>
      </c>
      <c r="L2210" s="4" t="s">
        <v>414</v>
      </c>
    </row>
    <row r="2211" customFormat="false" ht="15" hidden="false" customHeight="false" outlineLevel="0" collapsed="false">
      <c r="A2211" s="4" t="s">
        <v>44</v>
      </c>
      <c r="B2211" s="4" t="s">
        <v>382</v>
      </c>
      <c r="C2211" s="47" t="n">
        <v>1469.36</v>
      </c>
      <c r="D2211" s="48" t="n">
        <v>1669.11</v>
      </c>
      <c r="E2211" s="49" t="n">
        <f aca="false">D2211-cover</f>
        <v>1667.91</v>
      </c>
      <c r="F2211" s="50" t="n">
        <f aca="false">'Z6 Nkangamo-Uhuru'!S24-'Z6 Nkangamo-Uhuru'!P24*C2211/'Z6 Nkangamo-Uhuru'!G24</f>
        <v>1704.37082405262</v>
      </c>
      <c r="G2211" s="51" t="n">
        <f aca="false">'Z6 Nkangamo-Uhuru'!$B$8-E2211</f>
        <v>38.5900000000001</v>
      </c>
      <c r="H2211" s="52" t="n">
        <f aca="false">F2211-E2211</f>
        <v>36.4608240526195</v>
      </c>
      <c r="I2211" s="52" t="n">
        <f aca="false">MAX(H2211,G2211)</f>
        <v>38.5900000000001</v>
      </c>
      <c r="J2211" s="4" t="str">
        <f aca="false">IFERROR("PN"&amp;SMALL(PN_list,COUNTIF(PN_list,"&lt;"&amp;I2211*bar_per_m)+1),"&gt; max PN")</f>
        <v>PN10</v>
      </c>
      <c r="K2211" s="4" t="str">
        <f aca="false">IF(L2211="no","end at tank",IF(H2211&lt;0,"NEGATIVE",IF(H2211&lt;p_min-0.005,"low","OK")))</f>
        <v>OK</v>
      </c>
      <c r="L2211" s="4" t="s">
        <v>414</v>
      </c>
    </row>
    <row r="2212" customFormat="false" ht="15" hidden="false" customHeight="false" outlineLevel="0" collapsed="false">
      <c r="A2212" s="4" t="s">
        <v>44</v>
      </c>
      <c r="B2212" s="4" t="s">
        <v>382</v>
      </c>
      <c r="C2212" s="47" t="n">
        <v>1519.37</v>
      </c>
      <c r="D2212" s="48" t="n">
        <v>1669.87</v>
      </c>
      <c r="E2212" s="49" t="n">
        <f aca="false">D2212-cover</f>
        <v>1668.67</v>
      </c>
      <c r="F2212" s="50" t="n">
        <f aca="false">'Z6 Nkangamo-Uhuru'!S24-'Z6 Nkangamo-Uhuru'!P24*C2212/'Z6 Nkangamo-Uhuru'!G24</f>
        <v>1704.2630472042</v>
      </c>
      <c r="G2212" s="51" t="n">
        <f aca="false">'Z6 Nkangamo-Uhuru'!$B$8-E2212</f>
        <v>37.8300000000002</v>
      </c>
      <c r="H2212" s="52" t="n">
        <f aca="false">F2212-E2212</f>
        <v>35.5930472042001</v>
      </c>
      <c r="I2212" s="52" t="n">
        <f aca="false">MAX(H2212,G2212)</f>
        <v>37.8300000000002</v>
      </c>
      <c r="J2212" s="4" t="str">
        <f aca="false">IFERROR("PN"&amp;SMALL(PN_list,COUNTIF(PN_list,"&lt;"&amp;I2212*bar_per_m)+1),"&gt; max PN")</f>
        <v>PN10</v>
      </c>
      <c r="K2212" s="4" t="str">
        <f aca="false">IF(L2212="no","end at tank",IF(H2212&lt;0,"NEGATIVE",IF(H2212&lt;p_min-0.005,"low","OK")))</f>
        <v>OK</v>
      </c>
      <c r="L2212" s="4" t="s">
        <v>414</v>
      </c>
    </row>
    <row r="2213" customFormat="false" ht="15" hidden="false" customHeight="false" outlineLevel="0" collapsed="false">
      <c r="A2213" s="4" t="s">
        <v>44</v>
      </c>
      <c r="B2213" s="4" t="s">
        <v>382</v>
      </c>
      <c r="C2213" s="47" t="n">
        <v>1569.37</v>
      </c>
      <c r="D2213" s="48" t="n">
        <v>1669.3</v>
      </c>
      <c r="E2213" s="49" t="n">
        <f aca="false">D2213-cover</f>
        <v>1668.1</v>
      </c>
      <c r="F2213" s="50" t="n">
        <f aca="false">'Z6 Nkangamo-Uhuru'!S24-'Z6 Nkangamo-Uhuru'!P24*C2213/'Z6 Nkangamo-Uhuru'!G24</f>
        <v>1704.15529190684</v>
      </c>
      <c r="G2213" s="51" t="n">
        <f aca="false">'Z6 Nkangamo-Uhuru'!$B$8-E2213</f>
        <v>38.4000000000001</v>
      </c>
      <c r="H2213" s="52" t="n">
        <f aca="false">F2213-E2213</f>
        <v>36.0552919068398</v>
      </c>
      <c r="I2213" s="52" t="n">
        <f aca="false">MAX(H2213,G2213)</f>
        <v>38.4000000000001</v>
      </c>
      <c r="J2213" s="4" t="str">
        <f aca="false">IFERROR("PN"&amp;SMALL(PN_list,COUNTIF(PN_list,"&lt;"&amp;I2213*bar_per_m)+1),"&gt; max PN")</f>
        <v>PN10</v>
      </c>
      <c r="K2213" s="4" t="str">
        <f aca="false">IF(L2213="no","end at tank",IF(H2213&lt;0,"NEGATIVE",IF(H2213&lt;p_min-0.005,"low","OK")))</f>
        <v>OK</v>
      </c>
      <c r="L2213" s="4" t="s">
        <v>414</v>
      </c>
    </row>
    <row r="2214" customFormat="false" ht="15" hidden="false" customHeight="false" outlineLevel="0" collapsed="false">
      <c r="A2214" s="4" t="s">
        <v>44</v>
      </c>
      <c r="B2214" s="4" t="s">
        <v>382</v>
      </c>
      <c r="C2214" s="47" t="n">
        <v>1612.23</v>
      </c>
      <c r="D2214" s="48" t="n">
        <v>1670.03</v>
      </c>
      <c r="E2214" s="49" t="n">
        <f aca="false">D2214-cover</f>
        <v>1668.83</v>
      </c>
      <c r="F2214" s="50" t="n">
        <f aca="false">'Z6 Nkangamo-Uhuru'!S24-'Z6 Nkangamo-Uhuru'!P24*C2214/'Z6 Nkangamo-Uhuru'!G24</f>
        <v>1704.06292406594</v>
      </c>
      <c r="G2214" s="51" t="n">
        <f aca="false">'Z6 Nkangamo-Uhuru'!$B$8-E2214</f>
        <v>37.6700000000001</v>
      </c>
      <c r="H2214" s="52" t="n">
        <f aca="false">F2214-E2214</f>
        <v>35.2329240659426</v>
      </c>
      <c r="I2214" s="52" t="n">
        <f aca="false">MAX(H2214,G2214)</f>
        <v>37.6700000000001</v>
      </c>
      <c r="J2214" s="4" t="str">
        <f aca="false">IFERROR("PN"&amp;SMALL(PN_list,COUNTIF(PN_list,"&lt;"&amp;I2214*bar_per_m)+1),"&gt; max PN")</f>
        <v>PN10</v>
      </c>
      <c r="K2214" s="4" t="str">
        <f aca="false">IF(L2214="no","end at tank",IF(H2214&lt;0,"NEGATIVE",IF(H2214&lt;p_min-0.005,"low","OK")))</f>
        <v>OK</v>
      </c>
      <c r="L2214" s="4" t="s">
        <v>414</v>
      </c>
    </row>
    <row r="2215" customFormat="false" ht="15" hidden="false" customHeight="false" outlineLevel="0" collapsed="false">
      <c r="A2215" s="4" t="s">
        <v>44</v>
      </c>
      <c r="B2215" s="4" t="s">
        <v>382</v>
      </c>
      <c r="C2215" s="47" t="n">
        <v>1662.23</v>
      </c>
      <c r="D2215" s="48" t="n">
        <v>1670.53</v>
      </c>
      <c r="E2215" s="49" t="n">
        <f aca="false">D2215-cover</f>
        <v>1669.33</v>
      </c>
      <c r="F2215" s="50" t="n">
        <f aca="false">'Z6 Nkangamo-Uhuru'!S24-'Z6 Nkangamo-Uhuru'!P24*C2215/'Z6 Nkangamo-Uhuru'!G24</f>
        <v>1703.95516876858</v>
      </c>
      <c r="G2215" s="51" t="n">
        <f aca="false">'Z6 Nkangamo-Uhuru'!$B$8-E2215</f>
        <v>37.1700000000001</v>
      </c>
      <c r="H2215" s="52" t="n">
        <f aca="false">F2215-E2215</f>
        <v>34.6251687685824</v>
      </c>
      <c r="I2215" s="52" t="n">
        <f aca="false">MAX(H2215,G2215)</f>
        <v>37.1700000000001</v>
      </c>
      <c r="J2215" s="4" t="str">
        <f aca="false">IFERROR("PN"&amp;SMALL(PN_list,COUNTIF(PN_list,"&lt;"&amp;I2215*bar_per_m)+1),"&gt; max PN")</f>
        <v>PN10</v>
      </c>
      <c r="K2215" s="4" t="str">
        <f aca="false">IF(L2215="no","end at tank",IF(H2215&lt;0,"NEGATIVE",IF(H2215&lt;p_min-0.005,"low","OK")))</f>
        <v>OK</v>
      </c>
      <c r="L2215" s="4" t="s">
        <v>414</v>
      </c>
    </row>
    <row r="2216" customFormat="false" ht="15" hidden="false" customHeight="false" outlineLevel="0" collapsed="false">
      <c r="A2216" s="4" t="s">
        <v>44</v>
      </c>
      <c r="B2216" s="4" t="s">
        <v>382</v>
      </c>
      <c r="C2216" s="47" t="n">
        <v>1712.24</v>
      </c>
      <c r="D2216" s="48" t="n">
        <v>1669.77</v>
      </c>
      <c r="E2216" s="49" t="n">
        <f aca="false">D2216-cover</f>
        <v>1668.57</v>
      </c>
      <c r="F2216" s="50" t="n">
        <f aca="false">'Z6 Nkangamo-Uhuru'!S24-'Z6 Nkangamo-Uhuru'!P24*C2216/'Z6 Nkangamo-Uhuru'!G24</f>
        <v>1703.84739192016</v>
      </c>
      <c r="G2216" s="51" t="n">
        <f aca="false">'Z6 Nkangamo-Uhuru'!$B$8-E2216</f>
        <v>37.9300000000001</v>
      </c>
      <c r="H2216" s="52" t="n">
        <f aca="false">F2216-E2216</f>
        <v>35.2773919201629</v>
      </c>
      <c r="I2216" s="52" t="n">
        <f aca="false">MAX(H2216,G2216)</f>
        <v>37.9300000000001</v>
      </c>
      <c r="J2216" s="4" t="str">
        <f aca="false">IFERROR("PN"&amp;SMALL(PN_list,COUNTIF(PN_list,"&lt;"&amp;I2216*bar_per_m)+1),"&gt; max PN")</f>
        <v>PN10</v>
      </c>
      <c r="K2216" s="4" t="str">
        <f aca="false">IF(L2216="no","end at tank",IF(H2216&lt;0,"NEGATIVE",IF(H2216&lt;p_min-0.005,"low","OK")))</f>
        <v>OK</v>
      </c>
      <c r="L2216" s="4" t="s">
        <v>414</v>
      </c>
    </row>
    <row r="2217" customFormat="false" ht="15" hidden="false" customHeight="false" outlineLevel="0" collapsed="false">
      <c r="A2217" s="4" t="s">
        <v>44</v>
      </c>
      <c r="B2217" s="4" t="s">
        <v>382</v>
      </c>
      <c r="C2217" s="47" t="n">
        <v>1753.71</v>
      </c>
      <c r="D2217" s="48" t="n">
        <v>1667.42</v>
      </c>
      <c r="E2217" s="49" t="n">
        <f aca="false">D2217-cover</f>
        <v>1666.22</v>
      </c>
      <c r="F2217" s="50" t="n">
        <f aca="false">'Z6 Nkangamo-Uhuru'!S24-'Z6 Nkangamo-Uhuru'!P24*C2217/'Z6 Nkangamo-Uhuru'!G24</f>
        <v>1703.75801967653</v>
      </c>
      <c r="G2217" s="51" t="n">
        <f aca="false">'Z6 Nkangamo-Uhuru'!$B$8-E2217</f>
        <v>40.28</v>
      </c>
      <c r="H2217" s="52" t="n">
        <f aca="false">F2217-E2217</f>
        <v>37.5380196765323</v>
      </c>
      <c r="I2217" s="52" t="n">
        <f aca="false">MAX(H2217,G2217)</f>
        <v>40.28</v>
      </c>
      <c r="J2217" s="4" t="str">
        <f aca="false">IFERROR("PN"&amp;SMALL(PN_list,COUNTIF(PN_list,"&lt;"&amp;I2217*bar_per_m)+1),"&gt; max PN")</f>
        <v>PN10</v>
      </c>
      <c r="K2217" s="4" t="str">
        <f aca="false">IF(L2217="no","end at tank",IF(H2217&lt;0,"NEGATIVE",IF(H2217&lt;p_min-0.005,"low","OK")))</f>
        <v>OK</v>
      </c>
      <c r="L2217" s="4" t="s">
        <v>414</v>
      </c>
    </row>
    <row r="2218" customFormat="false" ht="15" hidden="false" customHeight="false" outlineLevel="0" collapsed="false">
      <c r="A2218" s="4" t="s">
        <v>44</v>
      </c>
      <c r="B2218" s="4" t="s">
        <v>382</v>
      </c>
      <c r="C2218" s="47" t="n">
        <v>1803.72</v>
      </c>
      <c r="D2218" s="48" t="n">
        <v>1666.8</v>
      </c>
      <c r="E2218" s="49" t="n">
        <f aca="false">D2218-cover</f>
        <v>1665.6</v>
      </c>
      <c r="F2218" s="50" t="n">
        <f aca="false">'Z6 Nkangamo-Uhuru'!S24-'Z6 Nkangamo-Uhuru'!P24*C2218/'Z6 Nkangamo-Uhuru'!G24</f>
        <v>1703.65024282811</v>
      </c>
      <c r="G2218" s="51" t="n">
        <f aca="false">'Z6 Nkangamo-Uhuru'!$B$8-E2218</f>
        <v>40.9000000000001</v>
      </c>
      <c r="H2218" s="52" t="n">
        <f aca="false">F2218-E2218</f>
        <v>38.0502428281127</v>
      </c>
      <c r="I2218" s="52" t="n">
        <f aca="false">MAX(H2218,G2218)</f>
        <v>40.9000000000001</v>
      </c>
      <c r="J2218" s="4" t="str">
        <f aca="false">IFERROR("PN"&amp;SMALL(PN_list,COUNTIF(PN_list,"&lt;"&amp;I2218*bar_per_m)+1),"&gt; max PN")</f>
        <v>PN10</v>
      </c>
      <c r="K2218" s="4" t="str">
        <f aca="false">IF(L2218="no","end at tank",IF(H2218&lt;0,"NEGATIVE",IF(H2218&lt;p_min-0.005,"low","OK")))</f>
        <v>OK</v>
      </c>
      <c r="L2218" s="4" t="s">
        <v>414</v>
      </c>
    </row>
    <row r="2219" customFormat="false" ht="15" hidden="false" customHeight="false" outlineLevel="0" collapsed="false">
      <c r="A2219" s="4" t="s">
        <v>44</v>
      </c>
      <c r="B2219" s="4" t="s">
        <v>382</v>
      </c>
      <c r="C2219" s="47" t="n">
        <v>1853.66</v>
      </c>
      <c r="D2219" s="48" t="n">
        <v>1665.74</v>
      </c>
      <c r="E2219" s="49" t="n">
        <f aca="false">D2219-cover</f>
        <v>1664.54</v>
      </c>
      <c r="F2219" s="50" t="n">
        <f aca="false">'Z6 Nkangamo-Uhuru'!S24-'Z6 Nkangamo-Uhuru'!P24*C2219/'Z6 Nkangamo-Uhuru'!G24</f>
        <v>1703.54261683711</v>
      </c>
      <c r="G2219" s="51" t="n">
        <f aca="false">'Z6 Nkangamo-Uhuru'!$B$8-E2219</f>
        <v>41.96</v>
      </c>
      <c r="H2219" s="52" t="n">
        <f aca="false">F2219-E2219</f>
        <v>39.0026168371094</v>
      </c>
      <c r="I2219" s="52" t="n">
        <f aca="false">MAX(H2219,G2219)</f>
        <v>41.96</v>
      </c>
      <c r="J2219" s="4" t="str">
        <f aca="false">IFERROR("PN"&amp;SMALL(PN_list,COUNTIF(PN_list,"&lt;"&amp;I2219*bar_per_m)+1),"&gt; max PN")</f>
        <v>PN10</v>
      </c>
      <c r="K2219" s="4" t="str">
        <f aca="false">IF(L2219="no","end at tank",IF(H2219&lt;0,"NEGATIVE",IF(H2219&lt;p_min-0.005,"low","OK")))</f>
        <v>OK</v>
      </c>
      <c r="L2219" s="4" t="s">
        <v>414</v>
      </c>
    </row>
    <row r="2220" customFormat="false" ht="15" hidden="false" customHeight="false" outlineLevel="0" collapsed="false">
      <c r="A2220" s="4" t="s">
        <v>44</v>
      </c>
      <c r="B2220" s="4" t="s">
        <v>382</v>
      </c>
      <c r="C2220" s="47" t="n">
        <v>1903.67</v>
      </c>
      <c r="D2220" s="48" t="n">
        <v>1664.9</v>
      </c>
      <c r="E2220" s="49" t="n">
        <f aca="false">D2220-cover</f>
        <v>1663.7</v>
      </c>
      <c r="F2220" s="50" t="n">
        <f aca="false">'Z6 Nkangamo-Uhuru'!S24-'Z6 Nkangamo-Uhuru'!P24*C2220/'Z6 Nkangamo-Uhuru'!G24</f>
        <v>1703.43483998869</v>
      </c>
      <c r="G2220" s="51" t="n">
        <f aca="false">'Z6 Nkangamo-Uhuru'!$B$8-E2220</f>
        <v>42.8</v>
      </c>
      <c r="H2220" s="52" t="n">
        <f aca="false">F2220-E2220</f>
        <v>39.7348399886896</v>
      </c>
      <c r="I2220" s="52" t="n">
        <f aca="false">MAX(H2220,G2220)</f>
        <v>42.8</v>
      </c>
      <c r="J2220" s="4" t="str">
        <f aca="false">IFERROR("PN"&amp;SMALL(PN_list,COUNTIF(PN_list,"&lt;"&amp;I2220*bar_per_m)+1),"&gt; max PN")</f>
        <v>PN10</v>
      </c>
      <c r="K2220" s="4" t="str">
        <f aca="false">IF(L2220="no","end at tank",IF(H2220&lt;0,"NEGATIVE",IF(H2220&lt;p_min-0.005,"low","OK")))</f>
        <v>OK</v>
      </c>
      <c r="L2220" s="4" t="s">
        <v>414</v>
      </c>
    </row>
    <row r="2221" customFormat="false" ht="15" hidden="false" customHeight="false" outlineLevel="0" collapsed="false">
      <c r="A2221" s="4" t="s">
        <v>44</v>
      </c>
      <c r="B2221" s="4" t="s">
        <v>382</v>
      </c>
      <c r="C2221" s="47" t="n">
        <v>1953.73</v>
      </c>
      <c r="D2221" s="48" t="n">
        <v>1662.33</v>
      </c>
      <c r="E2221" s="49" t="n">
        <f aca="false">D2221-cover</f>
        <v>1661.13</v>
      </c>
      <c r="F2221" s="50" t="n">
        <f aca="false">'Z6 Nkangamo-Uhuru'!S24-'Z6 Nkangamo-Uhuru'!P24*C2221/'Z6 Nkangamo-Uhuru'!G24</f>
        <v>1703.32695538497</v>
      </c>
      <c r="G2221" s="51" t="n">
        <f aca="false">'Z6 Nkangamo-Uhuru'!$B$8-E2221</f>
        <v>45.3700000000001</v>
      </c>
      <c r="H2221" s="52" t="n">
        <f aca="false">F2221-E2221</f>
        <v>42.1969553849729</v>
      </c>
      <c r="I2221" s="52" t="n">
        <f aca="false">MAX(H2221,G2221)</f>
        <v>45.3700000000001</v>
      </c>
      <c r="J2221" s="4" t="str">
        <f aca="false">IFERROR("PN"&amp;SMALL(PN_list,COUNTIF(PN_list,"&lt;"&amp;I2221*bar_per_m)+1),"&gt; max PN")</f>
        <v>PN10</v>
      </c>
      <c r="K2221" s="4" t="str">
        <f aca="false">IF(L2221="no","end at tank",IF(H2221&lt;0,"NEGATIVE",IF(H2221&lt;p_min-0.005,"low","OK")))</f>
        <v>OK</v>
      </c>
      <c r="L2221" s="4" t="s">
        <v>414</v>
      </c>
    </row>
    <row r="2222" customFormat="false" ht="15" hidden="false" customHeight="false" outlineLevel="0" collapsed="false">
      <c r="A2222" s="4" t="s">
        <v>44</v>
      </c>
      <c r="B2222" s="4" t="s">
        <v>382</v>
      </c>
      <c r="C2222" s="47" t="n">
        <v>2003.88</v>
      </c>
      <c r="D2222" s="48" t="n">
        <v>1658.49</v>
      </c>
      <c r="E2222" s="49" t="n">
        <f aca="false">D2222-cover</f>
        <v>1657.29</v>
      </c>
      <c r="F2222" s="50" t="n">
        <f aca="false">'Z6 Nkangamo-Uhuru'!S24-'Z6 Nkangamo-Uhuru'!P24*C2222/'Z6 Nkangamo-Uhuru'!G24</f>
        <v>1703.21887682172</v>
      </c>
      <c r="G2222" s="51" t="n">
        <f aca="false">'Z6 Nkangamo-Uhuru'!$B$8-E2222</f>
        <v>49.21</v>
      </c>
      <c r="H2222" s="52" t="n">
        <f aca="false">F2222-E2222</f>
        <v>45.9288768217205</v>
      </c>
      <c r="I2222" s="52" t="n">
        <f aca="false">MAX(H2222,G2222)</f>
        <v>49.21</v>
      </c>
      <c r="J2222" s="4" t="str">
        <f aca="false">IFERROR("PN"&amp;SMALL(PN_list,COUNTIF(PN_list,"&lt;"&amp;I2222*bar_per_m)+1),"&gt; max PN")</f>
        <v>PN10</v>
      </c>
      <c r="K2222" s="4" t="str">
        <f aca="false">IF(L2222="no","end at tank",IF(H2222&lt;0,"NEGATIVE",IF(H2222&lt;p_min-0.005,"low","OK")))</f>
        <v>OK</v>
      </c>
      <c r="L2222" s="4" t="s">
        <v>414</v>
      </c>
    </row>
    <row r="2223" customFormat="false" ht="15" hidden="false" customHeight="false" outlineLevel="0" collapsed="false">
      <c r="A2223" s="4" t="s">
        <v>44</v>
      </c>
      <c r="B2223" s="4" t="s">
        <v>382</v>
      </c>
      <c r="C2223" s="47" t="n">
        <v>2054.14</v>
      </c>
      <c r="D2223" s="48" t="n">
        <v>1654.27</v>
      </c>
      <c r="E2223" s="49" t="n">
        <f aca="false">D2223-cover</f>
        <v>1653.07</v>
      </c>
      <c r="F2223" s="50" t="n">
        <f aca="false">'Z6 Nkangamo-Uhuru'!S24-'Z6 Nkangamo-Uhuru'!P24*C2223/'Z6 Nkangamo-Uhuru'!G24</f>
        <v>1703.11056119681</v>
      </c>
      <c r="G2223" s="51" t="n">
        <f aca="false">'Z6 Nkangamo-Uhuru'!$B$8-E2223</f>
        <v>53.4300000000001</v>
      </c>
      <c r="H2223" s="52" t="n">
        <f aca="false">F2223-E2223</f>
        <v>50.040561196814</v>
      </c>
      <c r="I2223" s="52" t="n">
        <f aca="false">MAX(H2223,G2223)</f>
        <v>53.4300000000001</v>
      </c>
      <c r="J2223" s="4" t="str">
        <f aca="false">IFERROR("PN"&amp;SMALL(PN_list,COUNTIF(PN_list,"&lt;"&amp;I2223*bar_per_m)+1),"&gt; max PN")</f>
        <v>PN10</v>
      </c>
      <c r="K2223" s="4" t="str">
        <f aca="false">IF(L2223="no","end at tank",IF(H2223&lt;0,"NEGATIVE",IF(H2223&lt;p_min-0.005,"low","OK")))</f>
        <v>OK</v>
      </c>
      <c r="L2223" s="4" t="s">
        <v>414</v>
      </c>
    </row>
    <row r="2224" customFormat="false" ht="15" hidden="false" customHeight="false" outlineLevel="0" collapsed="false">
      <c r="A2224" s="4" t="s">
        <v>44</v>
      </c>
      <c r="B2224" s="4" t="s">
        <v>382</v>
      </c>
      <c r="C2224" s="47" t="n">
        <v>2102.01</v>
      </c>
      <c r="D2224" s="48" t="n">
        <v>1651.9</v>
      </c>
      <c r="E2224" s="49" t="n">
        <f aca="false">D2224-cover</f>
        <v>1650.7</v>
      </c>
      <c r="F2224" s="50" t="n">
        <f aca="false">'Z6 Nkangamo-Uhuru'!S24-'Z6 Nkangamo-Uhuru'!P24*C2224/'Z6 Nkangamo-Uhuru'!G24</f>
        <v>1703.00739627512</v>
      </c>
      <c r="G2224" s="51" t="n">
        <f aca="false">'Z6 Nkangamo-Uhuru'!$B$8-E2224</f>
        <v>55.8</v>
      </c>
      <c r="H2224" s="52" t="n">
        <f aca="false">F2224-E2224</f>
        <v>52.3073962751214</v>
      </c>
      <c r="I2224" s="52" t="n">
        <f aca="false">MAX(H2224,G2224)</f>
        <v>55.8</v>
      </c>
      <c r="J2224" s="4" t="str">
        <f aca="false">IFERROR("PN"&amp;SMALL(PN_list,COUNTIF(PN_list,"&lt;"&amp;I2224*bar_per_m)+1),"&gt; max PN")</f>
        <v>PN10</v>
      </c>
      <c r="K2224" s="4" t="str">
        <f aca="false">IF(L2224="no","end at tank",IF(H2224&lt;0,"NEGATIVE",IF(H2224&lt;p_min-0.005,"low","OK")))</f>
        <v>OK</v>
      </c>
      <c r="L2224" s="4" t="s">
        <v>414</v>
      </c>
    </row>
    <row r="2225" customFormat="false" ht="15" hidden="false" customHeight="false" outlineLevel="0" collapsed="false">
      <c r="A2225" s="4" t="s">
        <v>44</v>
      </c>
      <c r="B2225" s="4" t="s">
        <v>382</v>
      </c>
      <c r="C2225" s="47" t="n">
        <v>2146.65</v>
      </c>
      <c r="D2225" s="48" t="n">
        <v>1648.95</v>
      </c>
      <c r="E2225" s="49" t="n">
        <f aca="false">D2225-cover</f>
        <v>1647.75</v>
      </c>
      <c r="F2225" s="50" t="n">
        <f aca="false">'Z6 Nkangamo-Uhuru'!S24-'Z6 Nkangamo-Uhuru'!P24*C2225/'Z6 Nkangamo-Uhuru'!G24</f>
        <v>1702.91119234564</v>
      </c>
      <c r="G2225" s="51" t="n">
        <f aca="false">'Z6 Nkangamo-Uhuru'!$B$8-E2225</f>
        <v>58.75</v>
      </c>
      <c r="H2225" s="52" t="n">
        <f aca="false">F2225-E2225</f>
        <v>55.1611923456383</v>
      </c>
      <c r="I2225" s="52" t="n">
        <f aca="false">MAX(H2225,G2225)</f>
        <v>58.75</v>
      </c>
      <c r="J2225" s="4" t="str">
        <f aca="false">IFERROR("PN"&amp;SMALL(PN_list,COUNTIF(PN_list,"&lt;"&amp;I2225*bar_per_m)+1),"&gt; max PN")</f>
        <v>PN10</v>
      </c>
      <c r="K2225" s="4" t="str">
        <f aca="false">IF(L2225="no","end at tank",IF(H2225&lt;0,"NEGATIVE",IF(H2225&lt;p_min-0.005,"low","OK")))</f>
        <v>OK</v>
      </c>
      <c r="L2225" s="4" t="s">
        <v>414</v>
      </c>
    </row>
    <row r="2226" customFormat="false" ht="15" hidden="false" customHeight="false" outlineLevel="0" collapsed="false">
      <c r="A2226" s="4" t="s">
        <v>44</v>
      </c>
      <c r="B2226" s="4" t="s">
        <v>382</v>
      </c>
      <c r="C2226" s="47" t="n">
        <v>2196.74</v>
      </c>
      <c r="D2226" s="48" t="n">
        <v>1645.98</v>
      </c>
      <c r="E2226" s="49" t="n">
        <f aca="false">D2226-cover</f>
        <v>1644.78</v>
      </c>
      <c r="F2226" s="50" t="n">
        <f aca="false">'Z6 Nkangamo-Uhuru'!S24-'Z6 Nkangamo-Uhuru'!P24*C2226/'Z6 Nkangamo-Uhuru'!G24</f>
        <v>1702.80324308874</v>
      </c>
      <c r="G2226" s="51" t="n">
        <f aca="false">'Z6 Nkangamo-Uhuru'!$B$8-E2226</f>
        <v>61.72</v>
      </c>
      <c r="H2226" s="52" t="n">
        <f aca="false">F2226-E2226</f>
        <v>58.0232430887429</v>
      </c>
      <c r="I2226" s="52" t="n">
        <f aca="false">MAX(H2226,G2226)</f>
        <v>61.72</v>
      </c>
      <c r="J2226" s="4" t="str">
        <f aca="false">IFERROR("PN"&amp;SMALL(PN_list,COUNTIF(PN_list,"&lt;"&amp;I2226*bar_per_m)+1),"&gt; max PN")</f>
        <v>PN10</v>
      </c>
      <c r="K2226" s="4" t="str">
        <f aca="false">IF(L2226="no","end at tank",IF(H2226&lt;0,"NEGATIVE",IF(H2226&lt;p_min-0.005,"low","OK")))</f>
        <v>OK</v>
      </c>
      <c r="L2226" s="4" t="s">
        <v>414</v>
      </c>
    </row>
    <row r="2227" customFormat="false" ht="15" hidden="false" customHeight="false" outlineLevel="0" collapsed="false">
      <c r="A2227" s="4" t="s">
        <v>44</v>
      </c>
      <c r="B2227" s="4" t="s">
        <v>382</v>
      </c>
      <c r="C2227" s="47" t="n">
        <v>2245.55</v>
      </c>
      <c r="D2227" s="48" t="n">
        <v>1642.84</v>
      </c>
      <c r="E2227" s="49" t="n">
        <f aca="false">D2227-cover</f>
        <v>1641.64</v>
      </c>
      <c r="F2227" s="50" t="n">
        <f aca="false">'Z6 Nkangamo-Uhuru'!S24-'Z6 Nkangamo-Uhuru'!P24*C2227/'Z6 Nkangamo-Uhuru'!G24</f>
        <v>1702.69805236746</v>
      </c>
      <c r="G2227" s="51" t="n">
        <f aca="false">'Z6 Nkangamo-Uhuru'!$B$8-E2227</f>
        <v>64.8600000000001</v>
      </c>
      <c r="H2227" s="52" t="n">
        <f aca="false">F2227-E2227</f>
        <v>61.0580523674601</v>
      </c>
      <c r="I2227" s="52" t="n">
        <f aca="false">MAX(H2227,G2227)</f>
        <v>64.8600000000001</v>
      </c>
      <c r="J2227" s="4" t="str">
        <f aca="false">IFERROR("PN"&amp;SMALL(PN_list,COUNTIF(PN_list,"&lt;"&amp;I2227*bar_per_m)+1),"&gt; max PN")</f>
        <v>PN10</v>
      </c>
      <c r="K2227" s="4" t="str">
        <f aca="false">IF(L2227="no","end at tank",IF(H2227&lt;0,"NEGATIVE",IF(H2227&lt;p_min-0.005,"low","OK")))</f>
        <v>OK</v>
      </c>
      <c r="L2227" s="4" t="s">
        <v>414</v>
      </c>
    </row>
    <row r="2228" customFormat="false" ht="15" hidden="false" customHeight="false" outlineLevel="0" collapsed="false">
      <c r="A2228" s="4" t="s">
        <v>44</v>
      </c>
      <c r="B2228" s="4" t="s">
        <v>382</v>
      </c>
      <c r="C2228" s="47" t="n">
        <v>2284.56</v>
      </c>
      <c r="D2228" s="48" t="n">
        <v>1639.88</v>
      </c>
      <c r="E2228" s="49" t="n">
        <f aca="false">D2228-cover</f>
        <v>1638.68</v>
      </c>
      <c r="F2228" s="50" t="n">
        <f aca="false">'Z6 Nkangamo-Uhuru'!S24-'Z6 Nkangamo-Uhuru'!P24*C2228/'Z6 Nkangamo-Uhuru'!G24</f>
        <v>1702.61398168446</v>
      </c>
      <c r="G2228" s="51" t="n">
        <f aca="false">'Z6 Nkangamo-Uhuru'!$B$8-E2228</f>
        <v>67.8199999999999</v>
      </c>
      <c r="H2228" s="52" t="n">
        <f aca="false">F2228-E2228</f>
        <v>63.9339816844595</v>
      </c>
      <c r="I2228" s="52" t="n">
        <f aca="false">MAX(H2228,G2228)</f>
        <v>67.8199999999999</v>
      </c>
      <c r="J2228" s="4" t="str">
        <f aca="false">IFERROR("PN"&amp;SMALL(PN_list,COUNTIF(PN_list,"&lt;"&amp;I2228*bar_per_m)+1),"&gt; max PN")</f>
        <v>PN10</v>
      </c>
      <c r="K2228" s="4" t="str">
        <f aca="false">IF(L2228="no","end at tank",IF(H2228&lt;0,"NEGATIVE",IF(H2228&lt;p_min-0.005,"low","OK")))</f>
        <v>OK</v>
      </c>
      <c r="L2228" s="4" t="s">
        <v>414</v>
      </c>
    </row>
    <row r="2229" customFormat="false" ht="15" hidden="false" customHeight="false" outlineLevel="0" collapsed="false">
      <c r="A2229" s="4" t="s">
        <v>44</v>
      </c>
      <c r="B2229" s="4" t="s">
        <v>382</v>
      </c>
      <c r="C2229" s="47" t="n">
        <v>2334.62</v>
      </c>
      <c r="D2229" s="48" t="n">
        <v>1637.6</v>
      </c>
      <c r="E2229" s="49" t="n">
        <f aca="false">D2229-cover</f>
        <v>1636.4</v>
      </c>
      <c r="F2229" s="50" t="n">
        <f aca="false">'Z6 Nkangamo-Uhuru'!S24-'Z6 Nkangamo-Uhuru'!P24*C2229/'Z6 Nkangamo-Uhuru'!G24</f>
        <v>1702.50609708074</v>
      </c>
      <c r="G2229" s="51" t="n">
        <f aca="false">'Z6 Nkangamo-Uhuru'!$B$8-E2229</f>
        <v>70.1000000000001</v>
      </c>
      <c r="H2229" s="52" t="n">
        <f aca="false">F2229-E2229</f>
        <v>66.1060970807425</v>
      </c>
      <c r="I2229" s="52" t="n">
        <f aca="false">MAX(H2229,G2229)</f>
        <v>70.1000000000001</v>
      </c>
      <c r="J2229" s="4" t="str">
        <f aca="false">IFERROR("PN"&amp;SMALL(PN_list,COUNTIF(PN_list,"&lt;"&amp;I2229*bar_per_m)+1),"&gt; max PN")</f>
        <v>PN10</v>
      </c>
      <c r="K2229" s="4" t="str">
        <f aca="false">IF(L2229="no","end at tank",IF(H2229&lt;0,"NEGATIVE",IF(H2229&lt;p_min-0.005,"low","OK")))</f>
        <v>OK</v>
      </c>
      <c r="L2229" s="4" t="s">
        <v>414</v>
      </c>
    </row>
    <row r="2230" customFormat="false" ht="15" hidden="false" customHeight="false" outlineLevel="0" collapsed="false">
      <c r="A2230" s="4" t="s">
        <v>44</v>
      </c>
      <c r="B2230" s="4" t="s">
        <v>382</v>
      </c>
      <c r="C2230" s="47" t="n">
        <v>2383.84</v>
      </c>
      <c r="D2230" s="48" t="n">
        <v>1632.79</v>
      </c>
      <c r="E2230" s="49" t="n">
        <f aca="false">D2230-cover</f>
        <v>1631.59</v>
      </c>
      <c r="F2230" s="50" t="n">
        <f aca="false">'Z6 Nkangamo-Uhuru'!S24-'Z6 Nkangamo-Uhuru'!P24*C2230/'Z6 Nkangamo-Uhuru'!G24</f>
        <v>1702.40002276602</v>
      </c>
      <c r="G2230" s="51" t="n">
        <f aca="false">'Z6 Nkangamo-Uhuru'!$B$8-E2230</f>
        <v>74.9100000000001</v>
      </c>
      <c r="H2230" s="52" t="n">
        <f aca="false">F2230-E2230</f>
        <v>70.8100227660211</v>
      </c>
      <c r="I2230" s="52" t="n">
        <f aca="false">MAX(H2230,G2230)</f>
        <v>74.9100000000001</v>
      </c>
      <c r="J2230" s="4" t="str">
        <f aca="false">IFERROR("PN"&amp;SMALL(PN_list,COUNTIF(PN_list,"&lt;"&amp;I2230*bar_per_m)+1),"&gt; max PN")</f>
        <v>PN10</v>
      </c>
      <c r="K2230" s="4" t="str">
        <f aca="false">IF(L2230="no","end at tank",IF(H2230&lt;0,"NEGATIVE",IF(H2230&lt;p_min-0.005,"low","OK")))</f>
        <v>OK</v>
      </c>
      <c r="L2230" s="4" t="s">
        <v>414</v>
      </c>
    </row>
    <row r="2231" customFormat="false" ht="15" hidden="false" customHeight="false" outlineLevel="0" collapsed="false">
      <c r="A2231" s="4" t="s">
        <v>44</v>
      </c>
      <c r="B2231" s="4" t="s">
        <v>382</v>
      </c>
      <c r="C2231" s="47" t="n">
        <v>2434.05</v>
      </c>
      <c r="D2231" s="48" t="n">
        <v>1629.07</v>
      </c>
      <c r="E2231" s="49" t="n">
        <f aca="false">D2231-cover</f>
        <v>1627.87</v>
      </c>
      <c r="F2231" s="50" t="n">
        <f aca="false">'Z6 Nkangamo-Uhuru'!S24-'Z6 Nkangamo-Uhuru'!P24*C2231/'Z6 Nkangamo-Uhuru'!G24</f>
        <v>1702.29181489641</v>
      </c>
      <c r="G2231" s="51" t="n">
        <f aca="false">'Z6 Nkangamo-Uhuru'!$B$8-E2231</f>
        <v>78.6300000000001</v>
      </c>
      <c r="H2231" s="52" t="n">
        <f aca="false">F2231-E2231</f>
        <v>74.4218148964121</v>
      </c>
      <c r="I2231" s="52" t="n">
        <f aca="false">MAX(H2231,G2231)</f>
        <v>78.6300000000001</v>
      </c>
      <c r="J2231" s="4" t="str">
        <f aca="false">IFERROR("PN"&amp;SMALL(PN_list,COUNTIF(PN_list,"&lt;"&amp;I2231*bar_per_m)+1),"&gt; max PN")</f>
        <v>PN10</v>
      </c>
      <c r="K2231" s="4" t="str">
        <f aca="false">IF(L2231="no","end at tank",IF(H2231&lt;0,"NEGATIVE",IF(H2231&lt;p_min-0.005,"low","OK")))</f>
        <v>OK</v>
      </c>
      <c r="L2231" s="4" t="s">
        <v>414</v>
      </c>
    </row>
    <row r="2232" customFormat="false" ht="15" hidden="false" customHeight="false" outlineLevel="0" collapsed="false">
      <c r="A2232" s="4" t="s">
        <v>44</v>
      </c>
      <c r="B2232" s="4" t="s">
        <v>382</v>
      </c>
      <c r="C2232" s="47" t="n">
        <v>2484.14</v>
      </c>
      <c r="D2232" s="48" t="n">
        <v>1626.04</v>
      </c>
      <c r="E2232" s="49" t="n">
        <f aca="false">D2232-cover</f>
        <v>1624.84</v>
      </c>
      <c r="F2232" s="50" t="n">
        <f aca="false">'Z6 Nkangamo-Uhuru'!S24-'Z6 Nkangamo-Uhuru'!P24*C2232/'Z6 Nkangamo-Uhuru'!G24</f>
        <v>1702.18386563952</v>
      </c>
      <c r="G2232" s="51" t="n">
        <f aca="false">'Z6 Nkangamo-Uhuru'!$B$8-E2232</f>
        <v>81.6600000000001</v>
      </c>
      <c r="H2232" s="52" t="n">
        <f aca="false">F2232-E2232</f>
        <v>77.3438656395167</v>
      </c>
      <c r="I2232" s="52" t="n">
        <f aca="false">MAX(H2232,G2232)</f>
        <v>81.6600000000001</v>
      </c>
      <c r="J2232" s="4" t="str">
        <f aca="false">IFERROR("PN"&amp;SMALL(PN_list,COUNTIF(PN_list,"&lt;"&amp;I2232*bar_per_m)+1),"&gt; max PN")</f>
        <v>PN10</v>
      </c>
      <c r="K2232" s="4" t="str">
        <f aca="false">IF(L2232="no","end at tank",IF(H2232&lt;0,"NEGATIVE",IF(H2232&lt;p_min-0.005,"low","OK")))</f>
        <v>OK</v>
      </c>
      <c r="L2232" s="4" t="s">
        <v>414</v>
      </c>
    </row>
    <row r="2233" customFormat="false" ht="15" hidden="false" customHeight="false" outlineLevel="0" collapsed="false">
      <c r="A2233" s="4" t="s">
        <v>44</v>
      </c>
      <c r="B2233" s="4" t="s">
        <v>382</v>
      </c>
      <c r="C2233" s="47" t="n">
        <v>2534.24</v>
      </c>
      <c r="D2233" s="48" t="n">
        <v>1622.91</v>
      </c>
      <c r="E2233" s="49" t="n">
        <f aca="false">D2233-cover</f>
        <v>1621.71</v>
      </c>
      <c r="F2233" s="50" t="n">
        <f aca="false">'Z6 Nkangamo-Uhuru'!S24-'Z6 Nkangamo-Uhuru'!P24*C2233/'Z6 Nkangamo-Uhuru'!G24</f>
        <v>1702.07589483156</v>
      </c>
      <c r="G2233" s="51" t="n">
        <f aca="false">'Z6 Nkangamo-Uhuru'!$B$8-E2233</f>
        <v>84.79</v>
      </c>
      <c r="H2233" s="52" t="n">
        <f aca="false">F2233-E2233</f>
        <v>80.3658948315617</v>
      </c>
      <c r="I2233" s="52" t="n">
        <f aca="false">MAX(H2233,G2233)</f>
        <v>84.79</v>
      </c>
      <c r="J2233" s="4" t="str">
        <f aca="false">IFERROR("PN"&amp;SMALL(PN_list,COUNTIF(PN_list,"&lt;"&amp;I2233*bar_per_m)+1),"&gt; max PN")</f>
        <v>PN10</v>
      </c>
      <c r="K2233" s="4" t="str">
        <f aca="false">IF(L2233="no","end at tank",IF(H2233&lt;0,"NEGATIVE",IF(H2233&lt;p_min-0.005,"low","OK")))</f>
        <v>OK</v>
      </c>
      <c r="L2233" s="4" t="s">
        <v>414</v>
      </c>
    </row>
    <row r="2234" customFormat="false" ht="15" hidden="false" customHeight="false" outlineLevel="0" collapsed="false">
      <c r="A2234" s="4" t="s">
        <v>44</v>
      </c>
      <c r="B2234" s="4" t="s">
        <v>382</v>
      </c>
      <c r="C2234" s="47" t="n">
        <v>2584.56</v>
      </c>
      <c r="D2234" s="48" t="n">
        <v>1617.27</v>
      </c>
      <c r="E2234" s="49" t="n">
        <f aca="false">D2234-cover</f>
        <v>1616.07</v>
      </c>
      <c r="F2234" s="50" t="n">
        <f aca="false">'Z6 Nkangamo-Uhuru'!S24-'Z6 Nkangamo-Uhuru'!P24*C2234/'Z6 Nkangamo-Uhuru'!G24</f>
        <v>1701.9674499003</v>
      </c>
      <c r="G2234" s="51" t="n">
        <f aca="false">'Z6 Nkangamo-Uhuru'!$B$8-E2234</f>
        <v>90.4300000000001</v>
      </c>
      <c r="H2234" s="52" t="n">
        <f aca="false">F2234-E2234</f>
        <v>85.8974499002986</v>
      </c>
      <c r="I2234" s="52" t="n">
        <f aca="false">MAX(H2234,G2234)</f>
        <v>90.4300000000001</v>
      </c>
      <c r="J2234" s="4" t="str">
        <f aca="false">IFERROR("PN"&amp;SMALL(PN_list,COUNTIF(PN_list,"&lt;"&amp;I2234*bar_per_m)+1),"&gt; max PN")</f>
        <v>PN10</v>
      </c>
      <c r="K2234" s="4" t="str">
        <f aca="false">IF(L2234="no","end at tank",IF(H2234&lt;0,"NEGATIVE",IF(H2234&lt;p_min-0.005,"low","OK")))</f>
        <v>OK</v>
      </c>
      <c r="L2234" s="4" t="s">
        <v>414</v>
      </c>
    </row>
    <row r="2235" customFormat="false" ht="15" hidden="false" customHeight="false" outlineLevel="0" collapsed="false">
      <c r="A2235" s="4" t="s">
        <v>44</v>
      </c>
      <c r="B2235" s="4" t="s">
        <v>382</v>
      </c>
      <c r="C2235" s="47" t="n">
        <v>2634.69</v>
      </c>
      <c r="D2235" s="48" t="n">
        <v>1613.55</v>
      </c>
      <c r="E2235" s="49" t="n">
        <f aca="false">D2235-cover</f>
        <v>1612.35</v>
      </c>
      <c r="F2235" s="50" t="n">
        <f aca="false">'Z6 Nkangamo-Uhuru'!S24-'Z6 Nkangamo-Uhuru'!P24*C2235/'Z6 Nkangamo-Uhuru'!G24</f>
        <v>1701.85941443917</v>
      </c>
      <c r="G2235" s="51" t="n">
        <f aca="false">'Z6 Nkangamo-Uhuru'!$B$8-E2235</f>
        <v>94.1500000000001</v>
      </c>
      <c r="H2235" s="52" t="n">
        <f aca="false">F2235-E2235</f>
        <v>89.5094144391653</v>
      </c>
      <c r="I2235" s="52" t="n">
        <f aca="false">MAX(H2235,G2235)</f>
        <v>94.1500000000001</v>
      </c>
      <c r="J2235" s="4" t="str">
        <f aca="false">IFERROR("PN"&amp;SMALL(PN_list,COUNTIF(PN_list,"&lt;"&amp;I2235*bar_per_m)+1),"&gt; max PN")</f>
        <v>PN10</v>
      </c>
      <c r="K2235" s="4" t="str">
        <f aca="false">IF(L2235="no","end at tank",IF(H2235&lt;0,"NEGATIVE",IF(H2235&lt;p_min-0.005,"low","OK")))</f>
        <v>OK</v>
      </c>
      <c r="L2235" s="4" t="s">
        <v>414</v>
      </c>
    </row>
    <row r="2236" customFormat="false" ht="15" hidden="false" customHeight="false" outlineLevel="0" collapsed="false">
      <c r="A2236" s="4" t="s">
        <v>44</v>
      </c>
      <c r="B2236" s="4" t="s">
        <v>382</v>
      </c>
      <c r="C2236" s="47" t="n">
        <v>2684.95</v>
      </c>
      <c r="D2236" s="48" t="n">
        <v>1608.53</v>
      </c>
      <c r="E2236" s="49" t="n">
        <f aca="false">D2236-cover</f>
        <v>1607.33</v>
      </c>
      <c r="F2236" s="50" t="n">
        <f aca="false">'Z6 Nkangamo-Uhuru'!S24-'Z6 Nkangamo-Uhuru'!P24*C2236/'Z6 Nkangamo-Uhuru'!G24</f>
        <v>1701.75109881426</v>
      </c>
      <c r="G2236" s="51" t="n">
        <f aca="false">'Z6 Nkangamo-Uhuru'!$B$8-E2236</f>
        <v>99.1700000000001</v>
      </c>
      <c r="H2236" s="52" t="n">
        <f aca="false">F2236-E2236</f>
        <v>94.4210988142588</v>
      </c>
      <c r="I2236" s="52" t="n">
        <f aca="false">MAX(H2236,G2236)</f>
        <v>99.1700000000001</v>
      </c>
      <c r="J2236" s="4" t="str">
        <f aca="false">IFERROR("PN"&amp;SMALL(PN_list,COUNTIF(PN_list,"&lt;"&amp;I2236*bar_per_m)+1),"&gt; max PN")</f>
        <v>PN10</v>
      </c>
      <c r="K2236" s="4" t="str">
        <f aca="false">IF(L2236="no","end at tank",IF(H2236&lt;0,"NEGATIVE",IF(H2236&lt;p_min-0.005,"low","OK")))</f>
        <v>OK</v>
      </c>
      <c r="L2236" s="4" t="s">
        <v>414</v>
      </c>
    </row>
    <row r="2237" customFormat="false" ht="15" hidden="false" customHeight="false" outlineLevel="0" collapsed="false">
      <c r="A2237" s="4" t="s">
        <v>44</v>
      </c>
      <c r="B2237" s="4" t="s">
        <v>382</v>
      </c>
      <c r="C2237" s="47" t="n">
        <v>2734.2</v>
      </c>
      <c r="D2237" s="48" t="n">
        <v>1605.94</v>
      </c>
      <c r="E2237" s="49" t="n">
        <f aca="false">D2237-cover</f>
        <v>1604.74</v>
      </c>
      <c r="F2237" s="50" t="n">
        <f aca="false">'Z6 Nkangamo-Uhuru'!S24-'Z6 Nkangamo-Uhuru'!P24*C2237/'Z6 Nkangamo-Uhuru'!G24</f>
        <v>1701.64495984636</v>
      </c>
      <c r="G2237" s="51" t="n">
        <f aca="false">'Z6 Nkangamo-Uhuru'!$B$8-E2237</f>
        <v>101.76</v>
      </c>
      <c r="H2237" s="52" t="n">
        <f aca="false">F2237-E2237</f>
        <v>96.9049598463591</v>
      </c>
      <c r="I2237" s="52" t="n">
        <f aca="false">MAX(H2237,G2237)</f>
        <v>101.76</v>
      </c>
      <c r="J2237" s="4" t="str">
        <f aca="false">IFERROR("PN"&amp;SMALL(PN_list,COUNTIF(PN_list,"&lt;"&amp;I2237*bar_per_m)+1),"&gt; max PN")</f>
        <v>PN10</v>
      </c>
      <c r="K2237" s="4" t="str">
        <f aca="false">IF(L2237="no","end at tank",IF(H2237&lt;0,"NEGATIVE",IF(H2237&lt;p_min-0.005,"low","OK")))</f>
        <v>OK</v>
      </c>
      <c r="L2237" s="4" t="s">
        <v>414</v>
      </c>
    </row>
    <row r="2238" customFormat="false" ht="15" hidden="false" customHeight="false" outlineLevel="0" collapsed="false">
      <c r="A2238" s="4" t="s">
        <v>44</v>
      </c>
      <c r="B2238" s="4" t="s">
        <v>382</v>
      </c>
      <c r="C2238" s="47" t="n">
        <v>2776.26</v>
      </c>
      <c r="D2238" s="48" t="n">
        <v>1605.36</v>
      </c>
      <c r="E2238" s="49" t="n">
        <f aca="false">D2238-cover</f>
        <v>1604.16</v>
      </c>
      <c r="F2238" s="50" t="n">
        <f aca="false">'Z6 Nkangamo-Uhuru'!S24-'Z6 Nkangamo-Uhuru'!P24*C2238/'Z6 Nkangamo-Uhuru'!G24</f>
        <v>1701.55431609022</v>
      </c>
      <c r="G2238" s="51" t="n">
        <f aca="false">'Z6 Nkangamo-Uhuru'!$B$8-E2238</f>
        <v>102.34</v>
      </c>
      <c r="H2238" s="52" t="n">
        <f aca="false">F2238-E2238</f>
        <v>97.3943160902197</v>
      </c>
      <c r="I2238" s="52" t="n">
        <f aca="false">MAX(H2238,G2238)</f>
        <v>102.34</v>
      </c>
      <c r="J2238" s="4" t="str">
        <f aca="false">IFERROR("PN"&amp;SMALL(PN_list,COUNTIF(PN_list,"&lt;"&amp;I2238*bar_per_m)+1),"&gt; max PN")</f>
        <v>PN16</v>
      </c>
      <c r="K2238" s="4" t="str">
        <f aca="false">IF(L2238="no","end at tank",IF(H2238&lt;0,"NEGATIVE",IF(H2238&lt;p_min-0.005,"low","OK")))</f>
        <v>OK</v>
      </c>
      <c r="L2238" s="4" t="s">
        <v>414</v>
      </c>
    </row>
    <row r="2239" customFormat="false" ht="15" hidden="false" customHeight="false" outlineLevel="0" collapsed="false">
      <c r="A2239" s="4" t="s">
        <v>44</v>
      </c>
      <c r="B2239" s="4" t="s">
        <v>382</v>
      </c>
      <c r="C2239" s="47" t="n">
        <v>2820.55</v>
      </c>
      <c r="D2239" s="48" t="n">
        <v>1604.81</v>
      </c>
      <c r="E2239" s="49" t="n">
        <f aca="false">D2239-cover</f>
        <v>1603.61</v>
      </c>
      <c r="F2239" s="50" t="n">
        <f aca="false">'Z6 Nkangamo-Uhuru'!S24-'Z6 Nkangamo-Uhuru'!P24*C2239/'Z6 Nkangamo-Uhuru'!G24</f>
        <v>1701.45886644782</v>
      </c>
      <c r="G2239" s="51" t="n">
        <f aca="false">'Z6 Nkangamo-Uhuru'!$B$8-E2239</f>
        <v>102.89</v>
      </c>
      <c r="H2239" s="52" t="n">
        <f aca="false">F2239-E2239</f>
        <v>97.8488664478182</v>
      </c>
      <c r="I2239" s="52" t="n">
        <f aca="false">MAX(H2239,G2239)</f>
        <v>102.89</v>
      </c>
      <c r="J2239" s="4" t="str">
        <f aca="false">IFERROR("PN"&amp;SMALL(PN_list,COUNTIF(PN_list,"&lt;"&amp;I2239*bar_per_m)+1),"&gt; max PN")</f>
        <v>PN16</v>
      </c>
      <c r="K2239" s="4" t="str">
        <f aca="false">IF(L2239="no","end at tank",IF(H2239&lt;0,"NEGATIVE",IF(H2239&lt;p_min-0.005,"low","OK")))</f>
        <v>OK</v>
      </c>
      <c r="L2239" s="4" t="s">
        <v>414</v>
      </c>
    </row>
    <row r="2240" customFormat="false" ht="15" hidden="false" customHeight="false" outlineLevel="0" collapsed="false">
      <c r="A2240" s="4" t="s">
        <v>44</v>
      </c>
      <c r="B2240" s="4" t="s">
        <v>382</v>
      </c>
      <c r="C2240" s="47" t="n">
        <v>2870.57</v>
      </c>
      <c r="D2240" s="48" t="n">
        <v>1606.17</v>
      </c>
      <c r="E2240" s="49" t="n">
        <f aca="false">D2240-cover</f>
        <v>1604.97</v>
      </c>
      <c r="F2240" s="50" t="n">
        <f aca="false">'Z6 Nkangamo-Uhuru'!S24-'Z6 Nkangamo-Uhuru'!P24*C2240/'Z6 Nkangamo-Uhuru'!G24</f>
        <v>1701.35106804834</v>
      </c>
      <c r="G2240" s="51" t="n">
        <f aca="false">'Z6 Nkangamo-Uhuru'!$B$8-E2240</f>
        <v>101.53</v>
      </c>
      <c r="H2240" s="52" t="n">
        <f aca="false">F2240-E2240</f>
        <v>96.3810680483389</v>
      </c>
      <c r="I2240" s="52" t="n">
        <f aca="false">MAX(H2240,G2240)</f>
        <v>101.53</v>
      </c>
      <c r="J2240" s="4" t="str">
        <f aca="false">IFERROR("PN"&amp;SMALL(PN_list,COUNTIF(PN_list,"&lt;"&amp;I2240*bar_per_m)+1),"&gt; max PN")</f>
        <v>PN10</v>
      </c>
      <c r="K2240" s="4" t="str">
        <f aca="false">IF(L2240="no","end at tank",IF(H2240&lt;0,"NEGATIVE",IF(H2240&lt;p_min-0.005,"low","OK")))</f>
        <v>OK</v>
      </c>
      <c r="L2240" s="4" t="s">
        <v>414</v>
      </c>
    </row>
    <row r="2241" customFormat="false" ht="15" hidden="false" customHeight="false" outlineLevel="0" collapsed="false">
      <c r="A2241" s="4" t="s">
        <v>44</v>
      </c>
      <c r="B2241" s="4" t="s">
        <v>382</v>
      </c>
      <c r="C2241" s="47" t="n">
        <v>2918.7</v>
      </c>
      <c r="D2241" s="48" t="n">
        <v>1606.52</v>
      </c>
      <c r="E2241" s="49" t="n">
        <f aca="false">D2241-cover</f>
        <v>1605.32</v>
      </c>
      <c r="F2241" s="50" t="n">
        <f aca="false">'Z6 Nkangamo-Uhuru'!S24-'Z6 Nkangamo-Uhuru'!P24*C2241/'Z6 Nkangamo-Uhuru'!G24</f>
        <v>1701.2473427991</v>
      </c>
      <c r="G2241" s="51" t="n">
        <f aca="false">'Z6 Nkangamo-Uhuru'!$B$8-E2241</f>
        <v>101.18</v>
      </c>
      <c r="H2241" s="52" t="n">
        <f aca="false">F2241-E2241</f>
        <v>95.9273427991002</v>
      </c>
      <c r="I2241" s="52" t="n">
        <f aca="false">MAX(H2241,G2241)</f>
        <v>101.18</v>
      </c>
      <c r="J2241" s="4" t="str">
        <f aca="false">IFERROR("PN"&amp;SMALL(PN_list,COUNTIF(PN_list,"&lt;"&amp;I2241*bar_per_m)+1),"&gt; max PN")</f>
        <v>PN10</v>
      </c>
      <c r="K2241" s="4" t="str">
        <f aca="false">IF(L2241="no","end at tank",IF(H2241&lt;0,"NEGATIVE",IF(H2241&lt;p_min-0.005,"low","OK")))</f>
        <v>OK</v>
      </c>
      <c r="L2241" s="4" t="s">
        <v>414</v>
      </c>
    </row>
    <row r="2242" customFormat="false" ht="15" hidden="false" customHeight="false" outlineLevel="0" collapsed="false">
      <c r="A2242" s="4" t="s">
        <v>44</v>
      </c>
      <c r="B2242" s="4" t="s">
        <v>382</v>
      </c>
      <c r="C2242" s="47" t="n">
        <v>2968.7</v>
      </c>
      <c r="D2242" s="48" t="n">
        <v>1606.54</v>
      </c>
      <c r="E2242" s="49" t="n">
        <f aca="false">D2242-cover</f>
        <v>1605.34</v>
      </c>
      <c r="F2242" s="50" t="n">
        <f aca="false">'Z6 Nkangamo-Uhuru'!S24-'Z6 Nkangamo-Uhuru'!P24*C2242/'Z6 Nkangamo-Uhuru'!G24</f>
        <v>1701.13958750174</v>
      </c>
      <c r="G2242" s="51" t="n">
        <f aca="false">'Z6 Nkangamo-Uhuru'!$B$8-E2242</f>
        <v>101.16</v>
      </c>
      <c r="H2242" s="52" t="n">
        <f aca="false">F2242-E2242</f>
        <v>95.79958750174</v>
      </c>
      <c r="I2242" s="52" t="n">
        <f aca="false">MAX(H2242,G2242)</f>
        <v>101.16</v>
      </c>
      <c r="J2242" s="4" t="str">
        <f aca="false">IFERROR("PN"&amp;SMALL(PN_list,COUNTIF(PN_list,"&lt;"&amp;I2242*bar_per_m)+1),"&gt; max PN")</f>
        <v>PN10</v>
      </c>
      <c r="K2242" s="4" t="str">
        <f aca="false">IF(L2242="no","end at tank",IF(H2242&lt;0,"NEGATIVE",IF(H2242&lt;p_min-0.005,"low","OK")))</f>
        <v>OK</v>
      </c>
      <c r="L2242" s="4" t="s">
        <v>414</v>
      </c>
    </row>
    <row r="2243" customFormat="false" ht="15" hidden="false" customHeight="false" outlineLevel="0" collapsed="false">
      <c r="A2243" s="4" t="s">
        <v>44</v>
      </c>
      <c r="B2243" s="4" t="s">
        <v>382</v>
      </c>
      <c r="C2243" s="47" t="n">
        <v>3018.7</v>
      </c>
      <c r="D2243" s="48" t="n">
        <v>1606.96</v>
      </c>
      <c r="E2243" s="49" t="n">
        <f aca="false">D2243-cover</f>
        <v>1605.76</v>
      </c>
      <c r="F2243" s="50" t="n">
        <f aca="false">'Z6 Nkangamo-Uhuru'!S24-'Z6 Nkangamo-Uhuru'!P24*C2243/'Z6 Nkangamo-Uhuru'!G24</f>
        <v>1701.03183220438</v>
      </c>
      <c r="G2243" s="51" t="n">
        <f aca="false">'Z6 Nkangamo-Uhuru'!$B$8-E2243</f>
        <v>100.74</v>
      </c>
      <c r="H2243" s="52" t="n">
        <f aca="false">F2243-E2243</f>
        <v>95.2718322043797</v>
      </c>
      <c r="I2243" s="52" t="n">
        <f aca="false">MAX(H2243,G2243)</f>
        <v>100.74</v>
      </c>
      <c r="J2243" s="4" t="str">
        <f aca="false">IFERROR("PN"&amp;SMALL(PN_list,COUNTIF(PN_list,"&lt;"&amp;I2243*bar_per_m)+1),"&gt; max PN")</f>
        <v>PN10</v>
      </c>
      <c r="K2243" s="4" t="str">
        <f aca="false">IF(L2243="no","end at tank",IF(H2243&lt;0,"NEGATIVE",IF(H2243&lt;p_min-0.005,"low","OK")))</f>
        <v>OK</v>
      </c>
      <c r="L2243" s="4" t="s">
        <v>414</v>
      </c>
    </row>
    <row r="2244" customFormat="false" ht="15" hidden="false" customHeight="false" outlineLevel="0" collapsed="false">
      <c r="A2244" s="4" t="s">
        <v>44</v>
      </c>
      <c r="B2244" s="4" t="s">
        <v>382</v>
      </c>
      <c r="C2244" s="47" t="n">
        <v>3068.76</v>
      </c>
      <c r="D2244" s="48" t="n">
        <v>1609.35</v>
      </c>
      <c r="E2244" s="49" t="n">
        <f aca="false">D2244-cover</f>
        <v>1608.15</v>
      </c>
      <c r="F2244" s="50" t="n">
        <f aca="false">'Z6 Nkangamo-Uhuru'!S24-'Z6 Nkangamo-Uhuru'!P24*C2244/'Z6 Nkangamo-Uhuru'!G24</f>
        <v>1700.92394760066</v>
      </c>
      <c r="G2244" s="51" t="n">
        <f aca="false">'Z6 Nkangamo-Uhuru'!$B$8-E2244</f>
        <v>98.3500000000001</v>
      </c>
      <c r="H2244" s="52" t="n">
        <f aca="false">F2244-E2244</f>
        <v>92.773947600663</v>
      </c>
      <c r="I2244" s="52" t="n">
        <f aca="false">MAX(H2244,G2244)</f>
        <v>98.3500000000001</v>
      </c>
      <c r="J2244" s="4" t="str">
        <f aca="false">IFERROR("PN"&amp;SMALL(PN_list,COUNTIF(PN_list,"&lt;"&amp;I2244*bar_per_m)+1),"&gt; max PN")</f>
        <v>PN10</v>
      </c>
      <c r="K2244" s="4" t="str">
        <f aca="false">IF(L2244="no","end at tank",IF(H2244&lt;0,"NEGATIVE",IF(H2244&lt;p_min-0.005,"low","OK")))</f>
        <v>OK</v>
      </c>
      <c r="L2244" s="4" t="s">
        <v>414</v>
      </c>
    </row>
    <row r="2245" customFormat="false" ht="15" hidden="false" customHeight="false" outlineLevel="0" collapsed="false">
      <c r="A2245" s="4" t="s">
        <v>44</v>
      </c>
      <c r="B2245" s="4" t="s">
        <v>382</v>
      </c>
      <c r="C2245" s="47" t="n">
        <v>3118.24</v>
      </c>
      <c r="D2245" s="48" t="n">
        <v>1610.13</v>
      </c>
      <c r="E2245" s="49" t="n">
        <f aca="false">D2245-cover</f>
        <v>1608.93</v>
      </c>
      <c r="F2245" s="50" t="n">
        <f aca="false">'Z6 Nkangamo-Uhuru'!S24-'Z6 Nkangamo-Uhuru'!P24*C2245/'Z6 Nkangamo-Uhuru'!G24</f>
        <v>1700.8173129584</v>
      </c>
      <c r="G2245" s="51" t="n">
        <f aca="false">'Z6 Nkangamo-Uhuru'!$B$8-E2245</f>
        <v>97.5699999999999</v>
      </c>
      <c r="H2245" s="52" t="n">
        <f aca="false">F2245-E2245</f>
        <v>91.8873129583951</v>
      </c>
      <c r="I2245" s="52" t="n">
        <f aca="false">MAX(H2245,G2245)</f>
        <v>97.5699999999999</v>
      </c>
      <c r="J2245" s="4" t="str">
        <f aca="false">IFERROR("PN"&amp;SMALL(PN_list,COUNTIF(PN_list,"&lt;"&amp;I2245*bar_per_m)+1),"&gt; max PN")</f>
        <v>PN10</v>
      </c>
      <c r="K2245" s="4" t="str">
        <f aca="false">IF(L2245="no","end at tank",IF(H2245&lt;0,"NEGATIVE",IF(H2245&lt;p_min-0.005,"low","OK")))</f>
        <v>OK</v>
      </c>
      <c r="L2245" s="4" t="s">
        <v>414</v>
      </c>
    </row>
    <row r="2246" customFormat="false" ht="15" hidden="false" customHeight="false" outlineLevel="0" collapsed="false">
      <c r="A2246" s="4" t="s">
        <v>44</v>
      </c>
      <c r="B2246" s="4" t="s">
        <v>382</v>
      </c>
      <c r="C2246" s="47" t="n">
        <v>3168.43</v>
      </c>
      <c r="D2246" s="48" t="n">
        <v>1611.18</v>
      </c>
      <c r="E2246" s="49" t="n">
        <f aca="false">D2246-cover</f>
        <v>1609.98</v>
      </c>
      <c r="F2246" s="50" t="n">
        <f aca="false">'Z6 Nkangamo-Uhuru'!S24-'Z6 Nkangamo-Uhuru'!P24*C2246/'Z6 Nkangamo-Uhuru'!G24</f>
        <v>1700.70914819091</v>
      </c>
      <c r="G2246" s="51" t="n">
        <f aca="false">'Z6 Nkangamo-Uhuru'!$B$8-E2246</f>
        <v>96.52</v>
      </c>
      <c r="H2246" s="52" t="n">
        <f aca="false">F2246-E2246</f>
        <v>90.7291481909051</v>
      </c>
      <c r="I2246" s="52" t="n">
        <f aca="false">MAX(H2246,G2246)</f>
        <v>96.52</v>
      </c>
      <c r="J2246" s="4" t="str">
        <f aca="false">IFERROR("PN"&amp;SMALL(PN_list,COUNTIF(PN_list,"&lt;"&amp;I2246*bar_per_m)+1),"&gt; max PN")</f>
        <v>PN10</v>
      </c>
      <c r="K2246" s="4" t="str">
        <f aca="false">IF(L2246="no","end at tank",IF(H2246&lt;0,"NEGATIVE",IF(H2246&lt;p_min-0.005,"low","OK")))</f>
        <v>OK</v>
      </c>
      <c r="L2246" s="4" t="s">
        <v>414</v>
      </c>
    </row>
    <row r="2247" customFormat="false" ht="15" hidden="false" customHeight="false" outlineLevel="0" collapsed="false">
      <c r="A2247" s="4" t="s">
        <v>44</v>
      </c>
      <c r="B2247" s="4" t="s">
        <v>382</v>
      </c>
      <c r="C2247" s="47" t="n">
        <v>3218.43</v>
      </c>
      <c r="D2247" s="48" t="n">
        <v>1611.45</v>
      </c>
      <c r="E2247" s="49" t="n">
        <f aca="false">D2247-cover</f>
        <v>1610.25</v>
      </c>
      <c r="F2247" s="50" t="n">
        <f aca="false">'Z6 Nkangamo-Uhuru'!S24-'Z6 Nkangamo-Uhuru'!P24*C2247/'Z6 Nkangamo-Uhuru'!G24</f>
        <v>1700.60139289355</v>
      </c>
      <c r="G2247" s="51" t="n">
        <f aca="false">'Z6 Nkangamo-Uhuru'!$B$8-E2247</f>
        <v>96.25</v>
      </c>
      <c r="H2247" s="52" t="n">
        <f aca="false">F2247-E2247</f>
        <v>90.3513928935449</v>
      </c>
      <c r="I2247" s="52" t="n">
        <f aca="false">MAX(H2247,G2247)</f>
        <v>96.25</v>
      </c>
      <c r="J2247" s="4" t="str">
        <f aca="false">IFERROR("PN"&amp;SMALL(PN_list,COUNTIF(PN_list,"&lt;"&amp;I2247*bar_per_m)+1),"&gt; max PN")</f>
        <v>PN10</v>
      </c>
      <c r="K2247" s="4" t="str">
        <f aca="false">IF(L2247="no","end at tank",IF(H2247&lt;0,"NEGATIVE",IF(H2247&lt;p_min-0.005,"low","OK")))</f>
        <v>OK</v>
      </c>
      <c r="L2247" s="4" t="s">
        <v>414</v>
      </c>
    </row>
    <row r="2248" customFormat="false" ht="15" hidden="false" customHeight="false" outlineLevel="0" collapsed="false">
      <c r="A2248" s="4" t="s">
        <v>44</v>
      </c>
      <c r="B2248" s="4" t="s">
        <v>382</v>
      </c>
      <c r="C2248" s="47" t="n">
        <v>3267.65</v>
      </c>
      <c r="D2248" s="48" t="n">
        <v>1607.28</v>
      </c>
      <c r="E2248" s="49" t="n">
        <f aca="false">D2248-cover</f>
        <v>1606.08</v>
      </c>
      <c r="F2248" s="50" t="n">
        <f aca="false">'Z6 Nkangamo-Uhuru'!S24-'Z6 Nkangamo-Uhuru'!P24*C2248/'Z6 Nkangamo-Uhuru'!G24</f>
        <v>1700.49531857882</v>
      </c>
      <c r="G2248" s="51" t="n">
        <f aca="false">'Z6 Nkangamo-Uhuru'!$B$8-E2248</f>
        <v>100.42</v>
      </c>
      <c r="H2248" s="52" t="n">
        <f aca="false">F2248-E2248</f>
        <v>94.4153185788236</v>
      </c>
      <c r="I2248" s="52" t="n">
        <f aca="false">MAX(H2248,G2248)</f>
        <v>100.42</v>
      </c>
      <c r="J2248" s="4" t="str">
        <f aca="false">IFERROR("PN"&amp;SMALL(PN_list,COUNTIF(PN_list,"&lt;"&amp;I2248*bar_per_m)+1),"&gt; max PN")</f>
        <v>PN10</v>
      </c>
      <c r="K2248" s="4" t="str">
        <f aca="false">IF(L2248="no","end at tank",IF(H2248&lt;0,"NEGATIVE",IF(H2248&lt;p_min-0.005,"low","OK")))</f>
        <v>OK</v>
      </c>
      <c r="L2248" s="4" t="s">
        <v>414</v>
      </c>
    </row>
    <row r="2249" customFormat="false" ht="15" hidden="false" customHeight="false" outlineLevel="0" collapsed="false">
      <c r="A2249" s="4" t="s">
        <v>44</v>
      </c>
      <c r="B2249" s="4" t="s">
        <v>382</v>
      </c>
      <c r="C2249" s="47" t="n">
        <v>3317.79</v>
      </c>
      <c r="D2249" s="48" t="n">
        <v>1603.64</v>
      </c>
      <c r="E2249" s="49" t="n">
        <f aca="false">D2249-cover</f>
        <v>1602.44</v>
      </c>
      <c r="F2249" s="50" t="n">
        <f aca="false">'Z6 Nkangamo-Uhuru'!S24-'Z6 Nkangamo-Uhuru'!P24*C2249/'Z6 Nkangamo-Uhuru'!G24</f>
        <v>1700.38726156663</v>
      </c>
      <c r="G2249" s="51" t="n">
        <f aca="false">'Z6 Nkangamo-Uhuru'!$B$8-E2249</f>
        <v>104.06</v>
      </c>
      <c r="H2249" s="52" t="n">
        <f aca="false">F2249-E2249</f>
        <v>97.9472615666307</v>
      </c>
      <c r="I2249" s="52" t="n">
        <f aca="false">MAX(H2249,G2249)</f>
        <v>104.06</v>
      </c>
      <c r="J2249" s="4" t="str">
        <f aca="false">IFERROR("PN"&amp;SMALL(PN_list,COUNTIF(PN_list,"&lt;"&amp;I2249*bar_per_m)+1),"&gt; max PN")</f>
        <v>PN16</v>
      </c>
      <c r="K2249" s="4" t="str">
        <f aca="false">IF(L2249="no","end at tank",IF(H2249&lt;0,"NEGATIVE",IF(H2249&lt;p_min-0.005,"low","OK")))</f>
        <v>OK</v>
      </c>
      <c r="L2249" s="4" t="s">
        <v>414</v>
      </c>
    </row>
    <row r="2250" customFormat="false" ht="15" hidden="false" customHeight="false" outlineLevel="0" collapsed="false">
      <c r="A2250" s="4" t="s">
        <v>44</v>
      </c>
      <c r="B2250" s="4" t="s">
        <v>382</v>
      </c>
      <c r="C2250" s="47" t="n">
        <v>3365.71</v>
      </c>
      <c r="D2250" s="48" t="n">
        <v>1606.93</v>
      </c>
      <c r="E2250" s="49" t="n">
        <f aca="false">D2250-cover</f>
        <v>1605.73</v>
      </c>
      <c r="F2250" s="50" t="n">
        <f aca="false">'Z6 Nkangamo-Uhuru'!S24-'Z6 Nkangamo-Uhuru'!P24*C2250/'Z6 Nkangamo-Uhuru'!G24</f>
        <v>1700.28398888964</v>
      </c>
      <c r="G2250" s="51" t="n">
        <f aca="false">'Z6 Nkangamo-Uhuru'!$B$8-E2250</f>
        <v>100.77</v>
      </c>
      <c r="H2250" s="52" t="n">
        <f aca="false">F2250-E2250</f>
        <v>94.5539888896408</v>
      </c>
      <c r="I2250" s="52" t="n">
        <f aca="false">MAX(H2250,G2250)</f>
        <v>100.77</v>
      </c>
      <c r="J2250" s="4" t="str">
        <f aca="false">IFERROR("PN"&amp;SMALL(PN_list,COUNTIF(PN_list,"&lt;"&amp;I2250*bar_per_m)+1),"&gt; max PN")</f>
        <v>PN10</v>
      </c>
      <c r="K2250" s="4" t="str">
        <f aca="false">IF(L2250="no","end at tank",IF(H2250&lt;0,"NEGATIVE",IF(H2250&lt;p_min-0.005,"low","OK")))</f>
        <v>OK</v>
      </c>
      <c r="L2250" s="4" t="s">
        <v>414</v>
      </c>
    </row>
    <row r="2251" customFormat="false" ht="15" hidden="false" customHeight="false" outlineLevel="0" collapsed="false">
      <c r="A2251" s="4" t="s">
        <v>44</v>
      </c>
      <c r="B2251" s="4" t="s">
        <v>382</v>
      </c>
      <c r="C2251" s="47" t="n">
        <v>3415.85</v>
      </c>
      <c r="D2251" s="48" t="n">
        <v>1610.66</v>
      </c>
      <c r="E2251" s="49" t="n">
        <f aca="false">D2251-cover</f>
        <v>1609.46</v>
      </c>
      <c r="F2251" s="50" t="n">
        <f aca="false">'Z6 Nkangamo-Uhuru'!S24-'Z6 Nkangamo-Uhuru'!P24*C2251/'Z6 Nkangamo-Uhuru'!G24</f>
        <v>1700.17593187745</v>
      </c>
      <c r="G2251" s="51" t="n">
        <f aca="false">'Z6 Nkangamo-Uhuru'!$B$8-E2251</f>
        <v>97.04</v>
      </c>
      <c r="H2251" s="52" t="n">
        <f aca="false">F2251-E2251</f>
        <v>90.7159318774479</v>
      </c>
      <c r="I2251" s="52" t="n">
        <f aca="false">MAX(H2251,G2251)</f>
        <v>97.04</v>
      </c>
      <c r="J2251" s="4" t="str">
        <f aca="false">IFERROR("PN"&amp;SMALL(PN_list,COUNTIF(PN_list,"&lt;"&amp;I2251*bar_per_m)+1),"&gt; max PN")</f>
        <v>PN10</v>
      </c>
      <c r="K2251" s="4" t="str">
        <f aca="false">IF(L2251="no","end at tank",IF(H2251&lt;0,"NEGATIVE",IF(H2251&lt;p_min-0.005,"low","OK")))</f>
        <v>OK</v>
      </c>
      <c r="L2251" s="4" t="s">
        <v>414</v>
      </c>
    </row>
    <row r="2252" customFormat="false" ht="15" hidden="false" customHeight="false" outlineLevel="0" collapsed="false">
      <c r="A2252" s="4" t="s">
        <v>44</v>
      </c>
      <c r="B2252" s="4" t="s">
        <v>382</v>
      </c>
      <c r="C2252" s="47" t="n">
        <v>3466.25</v>
      </c>
      <c r="D2252" s="48" t="n">
        <v>1613.69</v>
      </c>
      <c r="E2252" s="49" t="n">
        <f aca="false">D2252-cover</f>
        <v>1612.49</v>
      </c>
      <c r="F2252" s="50" t="n">
        <f aca="false">'Z6 Nkangamo-Uhuru'!S24-'Z6 Nkangamo-Uhuru'!P24*C2252/'Z6 Nkangamo-Uhuru'!G24</f>
        <v>1700.06731453771</v>
      </c>
      <c r="G2252" s="51" t="n">
        <f aca="false">'Z6 Nkangamo-Uhuru'!$B$8-E2252</f>
        <v>94.01</v>
      </c>
      <c r="H2252" s="52" t="n">
        <f aca="false">F2252-E2252</f>
        <v>87.5773145377091</v>
      </c>
      <c r="I2252" s="52" t="n">
        <f aca="false">MAX(H2252,G2252)</f>
        <v>94.01</v>
      </c>
      <c r="J2252" s="4" t="str">
        <f aca="false">IFERROR("PN"&amp;SMALL(PN_list,COUNTIF(PN_list,"&lt;"&amp;I2252*bar_per_m)+1),"&gt; max PN")</f>
        <v>PN10</v>
      </c>
      <c r="K2252" s="4" t="str">
        <f aca="false">IF(L2252="no","end at tank",IF(H2252&lt;0,"NEGATIVE",IF(H2252&lt;p_min-0.005,"low","OK")))</f>
        <v>OK</v>
      </c>
      <c r="L2252" s="4" t="s">
        <v>414</v>
      </c>
    </row>
    <row r="2253" customFormat="false" ht="15" hidden="false" customHeight="false" outlineLevel="0" collapsed="false">
      <c r="A2253" s="4" t="s">
        <v>44</v>
      </c>
      <c r="B2253" s="4" t="s">
        <v>382</v>
      </c>
      <c r="C2253" s="47" t="n">
        <v>3516.25</v>
      </c>
      <c r="D2253" s="48" t="n">
        <v>1613.59</v>
      </c>
      <c r="E2253" s="49" t="n">
        <f aca="false">D2253-cover</f>
        <v>1612.39</v>
      </c>
      <c r="F2253" s="50" t="n">
        <f aca="false">'Z6 Nkangamo-Uhuru'!S24-'Z6 Nkangamo-Uhuru'!P24*C2253/'Z6 Nkangamo-Uhuru'!G24</f>
        <v>1699.95955924035</v>
      </c>
      <c r="G2253" s="51" t="n">
        <f aca="false">'Z6 Nkangamo-Uhuru'!$B$8-E2253</f>
        <v>94.1100000000001</v>
      </c>
      <c r="H2253" s="52" t="n">
        <f aca="false">F2253-E2253</f>
        <v>87.569559240349</v>
      </c>
      <c r="I2253" s="52" t="n">
        <f aca="false">MAX(H2253,G2253)</f>
        <v>94.1100000000001</v>
      </c>
      <c r="J2253" s="4" t="str">
        <f aca="false">IFERROR("PN"&amp;SMALL(PN_list,COUNTIF(PN_list,"&lt;"&amp;I2253*bar_per_m)+1),"&gt; max PN")</f>
        <v>PN10</v>
      </c>
      <c r="K2253" s="4" t="str">
        <f aca="false">IF(L2253="no","end at tank",IF(H2253&lt;0,"NEGATIVE",IF(H2253&lt;p_min-0.005,"low","OK")))</f>
        <v>OK</v>
      </c>
      <c r="L2253" s="4" t="s">
        <v>414</v>
      </c>
    </row>
    <row r="2254" customFormat="false" ht="15" hidden="false" customHeight="false" outlineLevel="0" collapsed="false">
      <c r="A2254" s="4" t="s">
        <v>44</v>
      </c>
      <c r="B2254" s="4" t="s">
        <v>382</v>
      </c>
      <c r="C2254" s="47" t="n">
        <v>3566.25</v>
      </c>
      <c r="D2254" s="48" t="n">
        <v>1613.36</v>
      </c>
      <c r="E2254" s="49" t="n">
        <f aca="false">D2254-cover</f>
        <v>1612.16</v>
      </c>
      <c r="F2254" s="50" t="n">
        <f aca="false">'Z6 Nkangamo-Uhuru'!S24-'Z6 Nkangamo-Uhuru'!P24*C2254/'Z6 Nkangamo-Uhuru'!G24</f>
        <v>1699.85180394299</v>
      </c>
      <c r="G2254" s="51" t="n">
        <f aca="false">'Z6 Nkangamo-Uhuru'!$B$8-E2254</f>
        <v>94.3400000000002</v>
      </c>
      <c r="H2254" s="52" t="n">
        <f aca="false">F2254-E2254</f>
        <v>87.6918039429888</v>
      </c>
      <c r="I2254" s="52" t="n">
        <f aca="false">MAX(H2254,G2254)</f>
        <v>94.3400000000002</v>
      </c>
      <c r="J2254" s="4" t="str">
        <f aca="false">IFERROR("PN"&amp;SMALL(PN_list,COUNTIF(PN_list,"&lt;"&amp;I2254*bar_per_m)+1),"&gt; max PN")</f>
        <v>PN10</v>
      </c>
      <c r="K2254" s="4" t="str">
        <f aca="false">IF(L2254="no","end at tank",IF(H2254&lt;0,"NEGATIVE",IF(H2254&lt;p_min-0.005,"low","OK")))</f>
        <v>OK</v>
      </c>
      <c r="L2254" s="4" t="s">
        <v>414</v>
      </c>
    </row>
    <row r="2255" customFormat="false" ht="15" hidden="false" customHeight="false" outlineLevel="0" collapsed="false">
      <c r="A2255" s="4" t="s">
        <v>44</v>
      </c>
      <c r="B2255" s="4" t="s">
        <v>382</v>
      </c>
      <c r="C2255" s="47" t="n">
        <v>3613.63</v>
      </c>
      <c r="D2255" s="48" t="n">
        <v>1612.62</v>
      </c>
      <c r="E2255" s="49" t="n">
        <f aca="false">D2255-cover</f>
        <v>1611.42</v>
      </c>
      <c r="F2255" s="50" t="n">
        <f aca="false">'Z6 Nkangamo-Uhuru'!S24-'Z6 Nkangamo-Uhuru'!P24*C2255/'Z6 Nkangamo-Uhuru'!G24</f>
        <v>1699.74969502321</v>
      </c>
      <c r="G2255" s="51" t="n">
        <f aca="false">'Z6 Nkangamo-Uhuru'!$B$8-E2255</f>
        <v>95.0800000000002</v>
      </c>
      <c r="H2255" s="52" t="n">
        <f aca="false">F2255-E2255</f>
        <v>88.3296950232104</v>
      </c>
      <c r="I2255" s="52" t="n">
        <f aca="false">MAX(H2255,G2255)</f>
        <v>95.0800000000002</v>
      </c>
      <c r="J2255" s="4" t="str">
        <f aca="false">IFERROR("PN"&amp;SMALL(PN_list,COUNTIF(PN_list,"&lt;"&amp;I2255*bar_per_m)+1),"&gt; max PN")</f>
        <v>PN10</v>
      </c>
      <c r="K2255" s="4" t="str">
        <f aca="false">IF(L2255="no","end at tank",IF(H2255&lt;0,"NEGATIVE",IF(H2255&lt;p_min-0.005,"low","OK")))</f>
        <v>OK</v>
      </c>
      <c r="L2255" s="4" t="s">
        <v>414</v>
      </c>
    </row>
    <row r="2256" customFormat="false" ht="15" hidden="false" customHeight="false" outlineLevel="0" collapsed="false">
      <c r="A2256" s="4" t="s">
        <v>44</v>
      </c>
      <c r="B2256" s="4" t="s">
        <v>382</v>
      </c>
      <c r="C2256" s="47" t="n">
        <v>3656.26</v>
      </c>
      <c r="D2256" s="48" t="n">
        <v>1618.81</v>
      </c>
      <c r="E2256" s="49" t="n">
        <f aca="false">D2256-cover</f>
        <v>1617.61</v>
      </c>
      <c r="F2256" s="50" t="n">
        <f aca="false">'Z6 Nkangamo-Uhuru'!S24-'Z6 Nkangamo-Uhuru'!P24*C2256/'Z6 Nkangamo-Uhuru'!G24</f>
        <v>1699.65782285668</v>
      </c>
      <c r="G2256" s="51" t="n">
        <f aca="false">'Z6 Nkangamo-Uhuru'!$B$8-E2256</f>
        <v>88.8900000000001</v>
      </c>
      <c r="H2256" s="52" t="n">
        <f aca="false">F2256-E2256</f>
        <v>82.047822856681</v>
      </c>
      <c r="I2256" s="52" t="n">
        <f aca="false">MAX(H2256,G2256)</f>
        <v>88.8900000000001</v>
      </c>
      <c r="J2256" s="4" t="str">
        <f aca="false">IFERROR("PN"&amp;SMALL(PN_list,COUNTIF(PN_list,"&lt;"&amp;I2256*bar_per_m)+1),"&gt; max PN")</f>
        <v>PN10</v>
      </c>
      <c r="K2256" s="4" t="str">
        <f aca="false">IF(L2256="no","end at tank",IF(H2256&lt;0,"NEGATIVE",IF(H2256&lt;p_min-0.005,"low","OK")))</f>
        <v>OK</v>
      </c>
      <c r="L2256" s="4" t="s">
        <v>414</v>
      </c>
    </row>
    <row r="2257" customFormat="false" ht="15" hidden="false" customHeight="false" outlineLevel="0" collapsed="false">
      <c r="A2257" s="4" t="s">
        <v>44</v>
      </c>
      <c r="B2257" s="4" t="s">
        <v>382</v>
      </c>
      <c r="C2257" s="47" t="n">
        <v>3703.37</v>
      </c>
      <c r="D2257" s="48" t="n">
        <v>1625.04</v>
      </c>
      <c r="E2257" s="49" t="n">
        <f aca="false">D2257-cover</f>
        <v>1623.84</v>
      </c>
      <c r="F2257" s="50" t="n">
        <f aca="false">'Z6 Nkangamo-Uhuru'!S24-'Z6 Nkangamo-Uhuru'!P24*C2257/'Z6 Nkangamo-Uhuru'!G24</f>
        <v>1699.55629581551</v>
      </c>
      <c r="G2257" s="51" t="n">
        <f aca="false">'Z6 Nkangamo-Uhuru'!$B$8-E2257</f>
        <v>82.6600000000001</v>
      </c>
      <c r="H2257" s="52" t="n">
        <f aca="false">F2257-E2257</f>
        <v>75.7162958155084</v>
      </c>
      <c r="I2257" s="52" t="n">
        <f aca="false">MAX(H2257,G2257)</f>
        <v>82.6600000000001</v>
      </c>
      <c r="J2257" s="4" t="str">
        <f aca="false">IFERROR("PN"&amp;SMALL(PN_list,COUNTIF(PN_list,"&lt;"&amp;I2257*bar_per_m)+1),"&gt; max PN")</f>
        <v>PN10</v>
      </c>
      <c r="K2257" s="4" t="str">
        <f aca="false">IF(L2257="no","end at tank",IF(H2257&lt;0,"NEGATIVE",IF(H2257&lt;p_min-0.005,"low","OK")))</f>
        <v>OK</v>
      </c>
      <c r="L2257" s="4" t="s">
        <v>414</v>
      </c>
    </row>
    <row r="2258" customFormat="false" ht="15" hidden="false" customHeight="false" outlineLevel="0" collapsed="false">
      <c r="A2258" s="4" t="s">
        <v>44</v>
      </c>
      <c r="B2258" s="4" t="s">
        <v>382</v>
      </c>
      <c r="C2258" s="47" t="n">
        <v>3742.55</v>
      </c>
      <c r="D2258" s="48" t="n">
        <v>1628.49</v>
      </c>
      <c r="E2258" s="49" t="n">
        <f aca="false">D2258-cover</f>
        <v>1627.29</v>
      </c>
      <c r="F2258" s="50" t="n">
        <f aca="false">'Z6 Nkangamo-Uhuru'!S24-'Z6 Nkangamo-Uhuru'!P24*C2258/'Z6 Nkangamo-Uhuru'!G24</f>
        <v>1699.4718587645</v>
      </c>
      <c r="G2258" s="51" t="n">
        <f aca="false">'Z6 Nkangamo-Uhuru'!$B$8-E2258</f>
        <v>79.21</v>
      </c>
      <c r="H2258" s="52" t="n">
        <f aca="false">F2258-E2258</f>
        <v>72.1818587644968</v>
      </c>
      <c r="I2258" s="52" t="n">
        <f aca="false">MAX(H2258,G2258)</f>
        <v>79.21</v>
      </c>
      <c r="J2258" s="4" t="str">
        <f aca="false">IFERROR("PN"&amp;SMALL(PN_list,COUNTIF(PN_list,"&lt;"&amp;I2258*bar_per_m)+1),"&gt; max PN")</f>
        <v>PN10</v>
      </c>
      <c r="K2258" s="4" t="str">
        <f aca="false">IF(L2258="no","end at tank",IF(H2258&lt;0,"NEGATIVE",IF(H2258&lt;p_min-0.005,"low","OK")))</f>
        <v>OK</v>
      </c>
      <c r="L2258" s="4" t="s">
        <v>414</v>
      </c>
    </row>
    <row r="2259" customFormat="false" ht="15" hidden="false" customHeight="false" outlineLevel="0" collapsed="false">
      <c r="A2259" s="4" t="s">
        <v>44</v>
      </c>
      <c r="B2259" s="4" t="s">
        <v>382</v>
      </c>
      <c r="C2259" s="47" t="n">
        <v>3792.59</v>
      </c>
      <c r="D2259" s="48" t="n">
        <v>1634.14</v>
      </c>
      <c r="E2259" s="49" t="n">
        <f aca="false">D2259-cover</f>
        <v>1632.94</v>
      </c>
      <c r="F2259" s="50" t="n">
        <f aca="false">'Z6 Nkangamo-Uhuru'!S24-'Z6 Nkangamo-Uhuru'!P24*C2259/'Z6 Nkangamo-Uhuru'!G24</f>
        <v>1699.3640172629</v>
      </c>
      <c r="G2259" s="51" t="n">
        <f aca="false">'Z6 Nkangamo-Uhuru'!$B$8-E2259</f>
        <v>73.56</v>
      </c>
      <c r="H2259" s="52" t="n">
        <f aca="false">F2259-E2259</f>
        <v>66.4240172628986</v>
      </c>
      <c r="I2259" s="52" t="n">
        <f aca="false">MAX(H2259,G2259)</f>
        <v>73.56</v>
      </c>
      <c r="J2259" s="4" t="str">
        <f aca="false">IFERROR("PN"&amp;SMALL(PN_list,COUNTIF(PN_list,"&lt;"&amp;I2259*bar_per_m)+1),"&gt; max PN")</f>
        <v>PN10</v>
      </c>
      <c r="K2259" s="4" t="str">
        <f aca="false">IF(L2259="no","end at tank",IF(H2259&lt;0,"NEGATIVE",IF(H2259&lt;p_min-0.005,"low","OK")))</f>
        <v>OK</v>
      </c>
      <c r="L2259" s="4" t="s">
        <v>414</v>
      </c>
    </row>
    <row r="2260" customFormat="false" ht="15" hidden="false" customHeight="false" outlineLevel="0" collapsed="false">
      <c r="A2260" s="4" t="s">
        <v>44</v>
      </c>
      <c r="B2260" s="4" t="s">
        <v>382</v>
      </c>
      <c r="C2260" s="47" t="n">
        <v>3842.83</v>
      </c>
      <c r="D2260" s="48" t="n">
        <v>1636.75</v>
      </c>
      <c r="E2260" s="49" t="n">
        <f aca="false">D2260-cover</f>
        <v>1635.55</v>
      </c>
      <c r="F2260" s="50" t="n">
        <f aca="false">'Z6 Nkangamo-Uhuru'!S24-'Z6 Nkangamo-Uhuru'!P24*C2260/'Z6 Nkangamo-Uhuru'!G24</f>
        <v>1699.25574474011</v>
      </c>
      <c r="G2260" s="51" t="n">
        <f aca="false">'Z6 Nkangamo-Uhuru'!$B$8-E2260</f>
        <v>70.9500000000001</v>
      </c>
      <c r="H2260" s="52" t="n">
        <f aca="false">F2260-E2260</f>
        <v>63.7057447401112</v>
      </c>
      <c r="I2260" s="52" t="n">
        <f aca="false">MAX(H2260,G2260)</f>
        <v>70.9500000000001</v>
      </c>
      <c r="J2260" s="4" t="str">
        <f aca="false">IFERROR("PN"&amp;SMALL(PN_list,COUNTIF(PN_list,"&lt;"&amp;I2260*bar_per_m)+1),"&gt; max PN")</f>
        <v>PN10</v>
      </c>
      <c r="K2260" s="4" t="str">
        <f aca="false">IF(L2260="no","end at tank",IF(H2260&lt;0,"NEGATIVE",IF(H2260&lt;p_min-0.005,"low","OK")))</f>
        <v>OK</v>
      </c>
      <c r="L2260" s="4" t="s">
        <v>414</v>
      </c>
    </row>
    <row r="2261" customFormat="false" ht="15" hidden="false" customHeight="false" outlineLevel="0" collapsed="false">
      <c r="A2261" s="4" t="s">
        <v>44</v>
      </c>
      <c r="B2261" s="4" t="s">
        <v>382</v>
      </c>
      <c r="C2261" s="47" t="n">
        <v>3879.56</v>
      </c>
      <c r="D2261" s="48" t="n">
        <v>1640.56</v>
      </c>
      <c r="E2261" s="49" t="n">
        <f aca="false">D2261-cover</f>
        <v>1639.36</v>
      </c>
      <c r="F2261" s="50" t="n">
        <f aca="false">'Z6 Nkangamo-Uhuru'!S24-'Z6 Nkangamo-Uhuru'!P24*C2261/'Z6 Nkangamo-Uhuru'!G24</f>
        <v>1699.17658769867</v>
      </c>
      <c r="G2261" s="51" t="n">
        <f aca="false">'Z6 Nkangamo-Uhuru'!$B$8-E2261</f>
        <v>67.1400000000001</v>
      </c>
      <c r="H2261" s="52" t="n">
        <f aca="false">F2261-E2261</f>
        <v>59.8165876986707</v>
      </c>
      <c r="I2261" s="52" t="n">
        <f aca="false">MAX(H2261,G2261)</f>
        <v>67.1400000000001</v>
      </c>
      <c r="J2261" s="4" t="str">
        <f aca="false">IFERROR("PN"&amp;SMALL(PN_list,COUNTIF(PN_list,"&lt;"&amp;I2261*bar_per_m)+1),"&gt; max PN")</f>
        <v>PN10</v>
      </c>
      <c r="K2261" s="4" t="str">
        <f aca="false">IF(L2261="no","end at tank",IF(H2261&lt;0,"NEGATIVE",IF(H2261&lt;p_min-0.005,"low","OK")))</f>
        <v>OK</v>
      </c>
      <c r="L2261" s="4" t="s">
        <v>414</v>
      </c>
    </row>
    <row r="2262" customFormat="false" ht="15" hidden="false" customHeight="false" outlineLevel="0" collapsed="false">
      <c r="A2262" s="4" t="s">
        <v>44</v>
      </c>
      <c r="B2262" s="4" t="s">
        <v>382</v>
      </c>
      <c r="C2262" s="47" t="n">
        <v>3929.46</v>
      </c>
      <c r="D2262" s="48" t="n">
        <v>1645.45</v>
      </c>
      <c r="E2262" s="49" t="n">
        <f aca="false">D2262-cover</f>
        <v>1644.25</v>
      </c>
      <c r="F2262" s="50" t="n">
        <f aca="false">'Z6 Nkangamo-Uhuru'!S24-'Z6 Nkangamo-Uhuru'!P24*C2262/'Z6 Nkangamo-Uhuru'!G24</f>
        <v>1699.06904791191</v>
      </c>
      <c r="G2262" s="51" t="n">
        <f aca="false">'Z6 Nkangamo-Uhuru'!$B$8-E2262</f>
        <v>62.25</v>
      </c>
      <c r="H2262" s="52" t="n">
        <f aca="false">F2262-E2262</f>
        <v>54.819047911905</v>
      </c>
      <c r="I2262" s="52" t="n">
        <f aca="false">MAX(H2262,G2262)</f>
        <v>62.25</v>
      </c>
      <c r="J2262" s="4" t="str">
        <f aca="false">IFERROR("PN"&amp;SMALL(PN_list,COUNTIF(PN_list,"&lt;"&amp;I2262*bar_per_m)+1),"&gt; max PN")</f>
        <v>PN10</v>
      </c>
      <c r="K2262" s="4" t="str">
        <f aca="false">IF(L2262="no","end at tank",IF(H2262&lt;0,"NEGATIVE",IF(H2262&lt;p_min-0.005,"low","OK")))</f>
        <v>OK</v>
      </c>
      <c r="L2262" s="4" t="s">
        <v>414</v>
      </c>
    </row>
    <row r="2263" customFormat="false" ht="15" hidden="false" customHeight="false" outlineLevel="0" collapsed="false">
      <c r="A2263" s="4" t="s">
        <v>44</v>
      </c>
      <c r="B2263" s="4" t="s">
        <v>382</v>
      </c>
      <c r="C2263" s="47" t="n">
        <v>3978.69</v>
      </c>
      <c r="D2263" s="48" t="n">
        <v>1652.18</v>
      </c>
      <c r="E2263" s="49" t="n">
        <f aca="false">D2263-cover</f>
        <v>1650.98</v>
      </c>
      <c r="F2263" s="50" t="n">
        <f aca="false">'Z6 Nkangamo-Uhuru'!S24-'Z6 Nkangamo-Uhuru'!P24*C2263/'Z6 Nkangamo-Uhuru'!G24</f>
        <v>1698.96295204612</v>
      </c>
      <c r="G2263" s="51" t="n">
        <f aca="false">'Z6 Nkangamo-Uhuru'!$B$8-E2263</f>
        <v>55.52</v>
      </c>
      <c r="H2263" s="52" t="n">
        <f aca="false">F2263-E2263</f>
        <v>47.9829520461242</v>
      </c>
      <c r="I2263" s="52" t="n">
        <f aca="false">MAX(H2263,G2263)</f>
        <v>55.52</v>
      </c>
      <c r="J2263" s="4" t="str">
        <f aca="false">IFERROR("PN"&amp;SMALL(PN_list,COUNTIF(PN_list,"&lt;"&amp;I2263*bar_per_m)+1),"&gt; max PN")</f>
        <v>PN10</v>
      </c>
      <c r="K2263" s="4" t="str">
        <f aca="false">IF(L2263="no","end at tank",IF(H2263&lt;0,"NEGATIVE",IF(H2263&lt;p_min-0.005,"low","OK")))</f>
        <v>OK</v>
      </c>
      <c r="L2263" s="4" t="s">
        <v>414</v>
      </c>
    </row>
    <row r="2264" customFormat="false" ht="15" hidden="false" customHeight="false" outlineLevel="0" collapsed="false">
      <c r="A2264" s="4" t="s">
        <v>44</v>
      </c>
      <c r="B2264" s="4" t="s">
        <v>382</v>
      </c>
      <c r="C2264" s="47" t="n">
        <v>4024.59</v>
      </c>
      <c r="D2264" s="48" t="n">
        <v>1657.81</v>
      </c>
      <c r="E2264" s="49" t="n">
        <f aca="false">D2264-cover</f>
        <v>1656.61</v>
      </c>
      <c r="F2264" s="50" t="n">
        <f aca="false">'Z6 Nkangamo-Uhuru'!S24-'Z6 Nkangamo-Uhuru'!P24*C2264/'Z6 Nkangamo-Uhuru'!G24</f>
        <v>1698.86403268315</v>
      </c>
      <c r="G2264" s="51" t="n">
        <f aca="false">'Z6 Nkangamo-Uhuru'!$B$8-E2264</f>
        <v>49.8900000000001</v>
      </c>
      <c r="H2264" s="52" t="n">
        <f aca="false">F2264-E2264</f>
        <v>42.2540326831477</v>
      </c>
      <c r="I2264" s="52" t="n">
        <f aca="false">MAX(H2264,G2264)</f>
        <v>49.8900000000001</v>
      </c>
      <c r="J2264" s="4" t="str">
        <f aca="false">IFERROR("PN"&amp;SMALL(PN_list,COUNTIF(PN_list,"&lt;"&amp;I2264*bar_per_m)+1),"&gt; max PN")</f>
        <v>PN10</v>
      </c>
      <c r="K2264" s="4" t="str">
        <f aca="false">IF(L2264="no","end at tank",IF(H2264&lt;0,"NEGATIVE",IF(H2264&lt;p_min-0.005,"low","OK")))</f>
        <v>OK</v>
      </c>
      <c r="L2264" s="4" t="s">
        <v>414</v>
      </c>
    </row>
    <row r="2265" customFormat="false" ht="15" hidden="false" customHeight="false" outlineLevel="0" collapsed="false">
      <c r="A2265" s="4" t="s">
        <v>44</v>
      </c>
      <c r="B2265" s="4" t="s">
        <v>382</v>
      </c>
      <c r="C2265" s="47" t="n">
        <v>4075.79</v>
      </c>
      <c r="D2265" s="48" t="n">
        <v>1668.81</v>
      </c>
      <c r="E2265" s="49" t="n">
        <f aca="false">D2265-cover</f>
        <v>1667.61</v>
      </c>
      <c r="F2265" s="50" t="n">
        <f aca="false">'Z6 Nkangamo-Uhuru'!S24-'Z6 Nkangamo-Uhuru'!P24*C2265/'Z6 Nkangamo-Uhuru'!G24</f>
        <v>1698.75369125865</v>
      </c>
      <c r="G2265" s="51" t="n">
        <f aca="false">'Z6 Nkangamo-Uhuru'!$B$8-E2265</f>
        <v>38.8900000000001</v>
      </c>
      <c r="H2265" s="52" t="n">
        <f aca="false">F2265-E2265</f>
        <v>31.143691258651</v>
      </c>
      <c r="I2265" s="52" t="n">
        <f aca="false">MAX(H2265,G2265)</f>
        <v>38.8900000000001</v>
      </c>
      <c r="J2265" s="4" t="str">
        <f aca="false">IFERROR("PN"&amp;SMALL(PN_list,COUNTIF(PN_list,"&lt;"&amp;I2265*bar_per_m)+1),"&gt; max PN")</f>
        <v>PN10</v>
      </c>
      <c r="K2265" s="4" t="str">
        <f aca="false">IF(L2265="no","end at tank",IF(H2265&lt;0,"NEGATIVE",IF(H2265&lt;p_min-0.005,"low","OK")))</f>
        <v>OK</v>
      </c>
      <c r="L2265" s="4" t="s">
        <v>414</v>
      </c>
    </row>
    <row r="2266" customFormat="false" ht="15" hidden="false" customHeight="false" outlineLevel="0" collapsed="false">
      <c r="A2266" s="4" t="s">
        <v>44</v>
      </c>
      <c r="B2266" s="4" t="s">
        <v>382</v>
      </c>
      <c r="C2266" s="47" t="n">
        <v>4126.78</v>
      </c>
      <c r="D2266" s="48" t="n">
        <v>1676.83</v>
      </c>
      <c r="E2266" s="49" t="n">
        <f aca="false">D2266-cover</f>
        <v>1675.63</v>
      </c>
      <c r="F2266" s="50" t="n">
        <f aca="false">'Z6 Nkangamo-Uhuru'!S24-'Z6 Nkangamo-Uhuru'!P24*C2266/'Z6 Nkangamo-Uhuru'!G24</f>
        <v>1698.6438024064</v>
      </c>
      <c r="G2266" s="51" t="n">
        <f aca="false">'Z6 Nkangamo-Uhuru'!$B$8-E2266</f>
        <v>30.8700000000001</v>
      </c>
      <c r="H2266" s="52" t="n">
        <f aca="false">F2266-E2266</f>
        <v>23.0138024064031</v>
      </c>
      <c r="I2266" s="52" t="n">
        <f aca="false">MAX(H2266,G2266)</f>
        <v>30.8700000000001</v>
      </c>
      <c r="J2266" s="4" t="str">
        <f aca="false">IFERROR("PN"&amp;SMALL(PN_list,COUNTIF(PN_list,"&lt;"&amp;I2266*bar_per_m)+1),"&gt; max PN")</f>
        <v>PN10</v>
      </c>
      <c r="K2266" s="4" t="str">
        <f aca="false">IF(L2266="no","end at tank",IF(H2266&lt;0,"NEGATIVE",IF(H2266&lt;p_min-0.005,"low","OK")))</f>
        <v>OK</v>
      </c>
      <c r="L2266" s="4" t="s">
        <v>414</v>
      </c>
    </row>
    <row r="2267" customFormat="false" ht="15" hidden="false" customHeight="false" outlineLevel="0" collapsed="false">
      <c r="A2267" s="4" t="s">
        <v>44</v>
      </c>
      <c r="B2267" s="4" t="s">
        <v>382</v>
      </c>
      <c r="C2267" s="47" t="n">
        <v>4169.11</v>
      </c>
      <c r="D2267" s="48" t="n">
        <v>1679.38</v>
      </c>
      <c r="E2267" s="49" t="n">
        <f aca="false">D2267-cover</f>
        <v>1678.18</v>
      </c>
      <c r="F2267" s="50" t="n">
        <f aca="false">'Z6 Nkangamo-Uhuru'!S24-'Z6 Nkangamo-Uhuru'!P24*C2267/'Z6 Nkangamo-Uhuru'!G24</f>
        <v>1698.55257677166</v>
      </c>
      <c r="G2267" s="51" t="n">
        <f aca="false">'Z6 Nkangamo-Uhuru'!$B$8-E2267</f>
        <v>28.3199999999999</v>
      </c>
      <c r="H2267" s="52" t="n">
        <f aca="false">F2267-E2267</f>
        <v>20.3725767716578</v>
      </c>
      <c r="I2267" s="52" t="n">
        <f aca="false">MAX(H2267,G2267)</f>
        <v>28.3199999999999</v>
      </c>
      <c r="J2267" s="4" t="str">
        <f aca="false">IFERROR("PN"&amp;SMALL(PN_list,COUNTIF(PN_list,"&lt;"&amp;I2267*bar_per_m)+1),"&gt; max PN")</f>
        <v>PN10</v>
      </c>
      <c r="K2267" s="4" t="str">
        <f aca="false">IF(L2267="no","end at tank",IF(H2267&lt;0,"NEGATIVE",IF(H2267&lt;p_min-0.005,"low","OK")))</f>
        <v>OK</v>
      </c>
      <c r="L2267" s="4" t="s">
        <v>414</v>
      </c>
    </row>
    <row r="2268" customFormat="false" ht="15" hidden="false" customHeight="false" outlineLevel="0" collapsed="false">
      <c r="A2268" s="4" t="s">
        <v>44</v>
      </c>
      <c r="B2268" s="4" t="s">
        <v>382</v>
      </c>
      <c r="C2268" s="47" t="n">
        <v>4217.54</v>
      </c>
      <c r="D2268" s="48" t="n">
        <v>1684.62</v>
      </c>
      <c r="E2268" s="49" t="n">
        <f aca="false">D2268-cover</f>
        <v>1683.42</v>
      </c>
      <c r="F2268" s="50" t="n">
        <f aca="false">'Z6 Nkangamo-Uhuru'!S24-'Z6 Nkangamo-Uhuru'!P24*C2268/'Z6 Nkangamo-Uhuru'!G24</f>
        <v>1698.44820499063</v>
      </c>
      <c r="G2268" s="51" t="n">
        <f aca="false">'Z6 Nkangamo-Uhuru'!$B$8-E2268</f>
        <v>23.0800000000002</v>
      </c>
      <c r="H2268" s="52" t="n">
        <f aca="false">F2268-E2268</f>
        <v>15.028204990635</v>
      </c>
      <c r="I2268" s="52" t="n">
        <f aca="false">MAX(H2268,G2268)</f>
        <v>23.0800000000002</v>
      </c>
      <c r="J2268" s="4" t="str">
        <f aca="false">IFERROR("PN"&amp;SMALL(PN_list,COUNTIF(PN_list,"&lt;"&amp;I2268*bar_per_m)+1),"&gt; max PN")</f>
        <v>PN10</v>
      </c>
      <c r="K2268" s="4" t="str">
        <f aca="false">IF(L2268="no","end at tank",IF(H2268&lt;0,"NEGATIVE",IF(H2268&lt;p_min-0.005,"low","OK")))</f>
        <v>OK</v>
      </c>
      <c r="L2268" s="4" t="s">
        <v>414</v>
      </c>
    </row>
    <row r="2269" customFormat="false" ht="15" hidden="false" customHeight="false" outlineLevel="0" collapsed="false">
      <c r="A2269" s="4" t="s">
        <v>44</v>
      </c>
      <c r="B2269" s="4" t="s">
        <v>382</v>
      </c>
      <c r="C2269" s="47" t="n">
        <v>4220.82</v>
      </c>
      <c r="D2269" s="48" t="n">
        <v>1684.57</v>
      </c>
      <c r="E2269" s="49" t="n">
        <f aca="false">D2269-cover</f>
        <v>1683.37</v>
      </c>
      <c r="F2269" s="50" t="n">
        <f aca="false">'Z6 Nkangamo-Uhuru'!S24-'Z6 Nkangamo-Uhuru'!P24*C2269/'Z6 Nkangamo-Uhuru'!G24</f>
        <v>1698.44113624313</v>
      </c>
      <c r="G2269" s="51" t="n">
        <f aca="false">'Z6 Nkangamo-Uhuru'!$B$8-E2269</f>
        <v>23.1300000000001</v>
      </c>
      <c r="H2269" s="52" t="n">
        <f aca="false">F2269-E2269</f>
        <v>15.071136243128</v>
      </c>
      <c r="I2269" s="52" t="n">
        <f aca="false">MAX(H2269,G2269)</f>
        <v>23.1300000000001</v>
      </c>
      <c r="J2269" s="4" t="str">
        <f aca="false">IFERROR("PN"&amp;SMALL(PN_list,COUNTIF(PN_list,"&lt;"&amp;I2269*bar_per_m)+1),"&gt; max PN")</f>
        <v>PN10</v>
      </c>
      <c r="K2269" s="4" t="str">
        <f aca="false">IF(L2269="no","end at tank",IF(H2269&lt;0,"NEGATIVE",IF(H2269&lt;p_min-0.005,"low","OK")))</f>
        <v>end at tank</v>
      </c>
      <c r="L2269" s="4" t="s">
        <v>413</v>
      </c>
    </row>
    <row r="2270" customFormat="false" ht="15" hidden="false" customHeight="false" outlineLevel="0" collapsed="false">
      <c r="A2270" s="4" t="s">
        <v>46</v>
      </c>
      <c r="B2270" s="4" t="s">
        <v>393</v>
      </c>
      <c r="C2270" s="47" t="n">
        <v>0</v>
      </c>
      <c r="D2270" s="48" t="n">
        <v>1699.34</v>
      </c>
      <c r="E2270" s="49" t="n">
        <f aca="false">D2270-cover</f>
        <v>1698.14</v>
      </c>
      <c r="F2270" s="50" t="n">
        <f aca="false">'Z7 Uhuru-Chapwa'!S12-'Z7 Uhuru-Chapwa'!P12*C2270/'Z7 Uhuru-Chapwa'!G12</f>
        <v>1697.6</v>
      </c>
      <c r="G2270" s="51" t="n">
        <f aca="false">'Z7 Uhuru-Chapwa'!$B$8-E2270</f>
        <v>4.16000000000008</v>
      </c>
      <c r="H2270" s="52" t="n">
        <f aca="false">F2270-E2270</f>
        <v>-0.539999999999964</v>
      </c>
      <c r="I2270" s="52" t="n">
        <f aca="false">MAX(H2270,G2270)</f>
        <v>4.16000000000008</v>
      </c>
      <c r="J2270" s="4" t="str">
        <f aca="false">IFERROR("PN"&amp;SMALL(PN_list,COUNTIF(PN_list,"&lt;"&amp;I2270*bar_per_m)+1),"&gt; max PN")</f>
        <v>PN10</v>
      </c>
      <c r="K2270" s="4" t="str">
        <f aca="false">IF(L2270="no","end at tank",IF(H2270&lt;0,"NEGATIVE",IF(H2270&lt;p_min-0.005,"low","OK")))</f>
        <v>end at tank</v>
      </c>
      <c r="L2270" s="4" t="s">
        <v>413</v>
      </c>
    </row>
    <row r="2271" customFormat="false" ht="15" hidden="false" customHeight="false" outlineLevel="0" collapsed="false">
      <c r="A2271" s="4" t="s">
        <v>46</v>
      </c>
      <c r="B2271" s="4" t="s">
        <v>393</v>
      </c>
      <c r="C2271" s="47" t="n">
        <v>97.19</v>
      </c>
      <c r="D2271" s="48" t="n">
        <v>1699.05</v>
      </c>
      <c r="E2271" s="49" t="n">
        <f aca="false">D2271-cover</f>
        <v>1697.85</v>
      </c>
      <c r="F2271" s="50" t="n">
        <f aca="false">'Z7 Uhuru-Chapwa'!S12-'Z7 Uhuru-Chapwa'!P12*C2271/'Z7 Uhuru-Chapwa'!G12</f>
        <v>1696.95640398748</v>
      </c>
      <c r="G2271" s="51" t="n">
        <f aca="false">'Z7 Uhuru-Chapwa'!$B$8-E2271</f>
        <v>4.45000000000005</v>
      </c>
      <c r="H2271" s="52" t="n">
        <f aca="false">F2271-E2271</f>
        <v>-0.893596012519083</v>
      </c>
      <c r="I2271" s="52" t="n">
        <f aca="false">MAX(H2271,G2271)</f>
        <v>4.45000000000005</v>
      </c>
      <c r="J2271" s="4" t="str">
        <f aca="false">IFERROR("PN"&amp;SMALL(PN_list,COUNTIF(PN_list,"&lt;"&amp;I2271*bar_per_m)+1),"&gt; max PN")</f>
        <v>PN10</v>
      </c>
      <c r="K2271" s="4" t="str">
        <f aca="false">IF(L2271="no","end at tank",IF(H2271&lt;0,"NEGATIVE",IF(H2271&lt;p_min-0.005,"low","OK")))</f>
        <v>NEGATIVE</v>
      </c>
      <c r="L2271" s="4" t="s">
        <v>414</v>
      </c>
    </row>
    <row r="2272" customFormat="false" ht="15" hidden="false" customHeight="false" outlineLevel="0" collapsed="false">
      <c r="A2272" s="4" t="s">
        <v>46</v>
      </c>
      <c r="B2272" s="4" t="s">
        <v>393</v>
      </c>
      <c r="C2272" s="47" t="n">
        <v>139.33</v>
      </c>
      <c r="D2272" s="48" t="n">
        <v>1698.85</v>
      </c>
      <c r="E2272" s="49" t="n">
        <f aca="false">D2272-cover</f>
        <v>1697.65</v>
      </c>
      <c r="F2272" s="50" t="n">
        <f aca="false">'Z7 Uhuru-Chapwa'!S12-'Z7 Uhuru-Chapwa'!P12*C2272/'Z7 Uhuru-Chapwa'!G12</f>
        <v>1696.67735124576</v>
      </c>
      <c r="G2272" s="51" t="n">
        <f aca="false">'Z7 Uhuru-Chapwa'!$B$8-E2272</f>
        <v>4.65000000000009</v>
      </c>
      <c r="H2272" s="52" t="n">
        <f aca="false">F2272-E2272</f>
        <v>-0.972648754236616</v>
      </c>
      <c r="I2272" s="52" t="n">
        <f aca="false">MAX(H2272,G2272)</f>
        <v>4.65000000000009</v>
      </c>
      <c r="J2272" s="4" t="str">
        <f aca="false">IFERROR("PN"&amp;SMALL(PN_list,COUNTIF(PN_list,"&lt;"&amp;I2272*bar_per_m)+1),"&gt; max PN")</f>
        <v>PN10</v>
      </c>
      <c r="K2272" s="4" t="str">
        <f aca="false">IF(L2272="no","end at tank",IF(H2272&lt;0,"NEGATIVE",IF(H2272&lt;p_min-0.005,"low","OK")))</f>
        <v>NEGATIVE</v>
      </c>
      <c r="L2272" s="4" t="s">
        <v>414</v>
      </c>
    </row>
    <row r="2273" customFormat="false" ht="15" hidden="false" customHeight="false" outlineLevel="0" collapsed="false">
      <c r="A2273" s="4" t="s">
        <v>46</v>
      </c>
      <c r="B2273" s="4" t="s">
        <v>393</v>
      </c>
      <c r="C2273" s="47" t="n">
        <v>159.33</v>
      </c>
      <c r="D2273" s="48" t="n">
        <v>1699.12</v>
      </c>
      <c r="E2273" s="49" t="n">
        <f aca="false">D2273-cover</f>
        <v>1697.92</v>
      </c>
      <c r="F2273" s="50" t="n">
        <f aca="false">'Z7 Uhuru-Chapwa'!S12-'Z7 Uhuru-Chapwa'!P12*C2273/'Z7 Uhuru-Chapwa'!G12</f>
        <v>1696.5449104571</v>
      </c>
      <c r="G2273" s="51" t="n">
        <f aca="false">'Z7 Uhuru-Chapwa'!$B$8-E2273</f>
        <v>4.38000000000011</v>
      </c>
      <c r="H2273" s="52" t="n">
        <f aca="false">F2273-E2273</f>
        <v>-1.37508954290206</v>
      </c>
      <c r="I2273" s="52" t="n">
        <f aca="false">MAX(H2273,G2273)</f>
        <v>4.38000000000011</v>
      </c>
      <c r="J2273" s="4" t="str">
        <f aca="false">IFERROR("PN"&amp;SMALL(PN_list,COUNTIF(PN_list,"&lt;"&amp;I2273*bar_per_m)+1),"&gt; max PN")</f>
        <v>PN10</v>
      </c>
      <c r="K2273" s="4" t="str">
        <f aca="false">IF(L2273="no","end at tank",IF(H2273&lt;0,"NEGATIVE",IF(H2273&lt;p_min-0.005,"low","OK")))</f>
        <v>NEGATIVE</v>
      </c>
      <c r="L2273" s="4" t="s">
        <v>414</v>
      </c>
    </row>
    <row r="2274" customFormat="false" ht="15" hidden="false" customHeight="false" outlineLevel="0" collapsed="false">
      <c r="A2274" s="4" t="s">
        <v>46</v>
      </c>
      <c r="B2274" s="4" t="s">
        <v>393</v>
      </c>
      <c r="C2274" s="47" t="n">
        <v>179.34</v>
      </c>
      <c r="D2274" s="48" t="n">
        <v>1699.52</v>
      </c>
      <c r="E2274" s="49" t="n">
        <f aca="false">D2274-cover</f>
        <v>1698.32</v>
      </c>
      <c r="F2274" s="50" t="n">
        <f aca="false">'Z7 Uhuru-Chapwa'!S12-'Z7 Uhuru-Chapwa'!P12*C2274/'Z7 Uhuru-Chapwa'!G12</f>
        <v>1696.41240344804</v>
      </c>
      <c r="G2274" s="51" t="n">
        <f aca="false">'Z7 Uhuru-Chapwa'!$B$8-E2274</f>
        <v>3.98000000000002</v>
      </c>
      <c r="H2274" s="52" t="n">
        <f aca="false">F2274-E2274</f>
        <v>-1.90759655196166</v>
      </c>
      <c r="I2274" s="52" t="n">
        <f aca="false">MAX(H2274,G2274)</f>
        <v>3.98000000000002</v>
      </c>
      <c r="J2274" s="4" t="str">
        <f aca="false">IFERROR("PN"&amp;SMALL(PN_list,COUNTIF(PN_list,"&lt;"&amp;I2274*bar_per_m)+1),"&gt; max PN")</f>
        <v>PN10</v>
      </c>
      <c r="K2274" s="4" t="str">
        <f aca="false">IF(L2274="no","end at tank",IF(H2274&lt;0,"NEGATIVE",IF(H2274&lt;p_min-0.005,"low","OK")))</f>
        <v>NEGATIVE</v>
      </c>
      <c r="L2274" s="4" t="s">
        <v>414</v>
      </c>
    </row>
    <row r="2275" customFormat="false" ht="15" hidden="false" customHeight="false" outlineLevel="0" collapsed="false">
      <c r="A2275" s="4" t="s">
        <v>46</v>
      </c>
      <c r="B2275" s="4" t="s">
        <v>393</v>
      </c>
      <c r="C2275" s="47" t="n">
        <v>252.76</v>
      </c>
      <c r="D2275" s="48" t="n">
        <v>1697.64</v>
      </c>
      <c r="E2275" s="49" t="n">
        <f aca="false">D2275-cover</f>
        <v>1696.44</v>
      </c>
      <c r="F2275" s="50" t="n">
        <f aca="false">'Z7 Uhuru-Chapwa'!S12-'Z7 Uhuru-Chapwa'!P12*C2275/'Z7 Uhuru-Chapwa'!G12</f>
        <v>1695.92621331285</v>
      </c>
      <c r="G2275" s="51" t="n">
        <f aca="false">'Z7 Uhuru-Chapwa'!$B$8-E2275</f>
        <v>5.8599999999999</v>
      </c>
      <c r="H2275" s="52" t="n">
        <f aca="false">F2275-E2275</f>
        <v>-0.513786687152106</v>
      </c>
      <c r="I2275" s="52" t="n">
        <f aca="false">MAX(H2275,G2275)</f>
        <v>5.8599999999999</v>
      </c>
      <c r="J2275" s="4" t="str">
        <f aca="false">IFERROR("PN"&amp;SMALL(PN_list,COUNTIF(PN_list,"&lt;"&amp;I2275*bar_per_m)+1),"&gt; max PN")</f>
        <v>PN10</v>
      </c>
      <c r="K2275" s="4" t="str">
        <f aca="false">IF(L2275="no","end at tank",IF(H2275&lt;0,"NEGATIVE",IF(H2275&lt;p_min-0.005,"low","OK")))</f>
        <v>NEGATIVE</v>
      </c>
      <c r="L2275" s="4" t="s">
        <v>414</v>
      </c>
    </row>
    <row r="2276" customFormat="false" ht="15" hidden="false" customHeight="false" outlineLevel="0" collapsed="false">
      <c r="A2276" s="4" t="s">
        <v>46</v>
      </c>
      <c r="B2276" s="4" t="s">
        <v>393</v>
      </c>
      <c r="C2276" s="47" t="n">
        <v>367.16</v>
      </c>
      <c r="D2276" s="48" t="n">
        <v>1691.16</v>
      </c>
      <c r="E2276" s="49" t="n">
        <f aca="false">D2276-cover</f>
        <v>1689.96</v>
      </c>
      <c r="F2276" s="50" t="n">
        <f aca="false">'Z7 Uhuru-Chapwa'!S12-'Z7 Uhuru-Chapwa'!P12*C2276/'Z7 Uhuru-Chapwa'!G12</f>
        <v>1695.16865200168</v>
      </c>
      <c r="G2276" s="51" t="n">
        <f aca="false">'Z7 Uhuru-Chapwa'!$B$8-E2276</f>
        <v>12.3399999999999</v>
      </c>
      <c r="H2276" s="52" t="n">
        <f aca="false">F2276-E2276</f>
        <v>5.20865200168237</v>
      </c>
      <c r="I2276" s="52" t="n">
        <f aca="false">MAX(H2276,G2276)</f>
        <v>12.3399999999999</v>
      </c>
      <c r="J2276" s="4" t="str">
        <f aca="false">IFERROR("PN"&amp;SMALL(PN_list,COUNTIF(PN_list,"&lt;"&amp;I2276*bar_per_m)+1),"&gt; max PN")</f>
        <v>PN10</v>
      </c>
      <c r="K2276" s="4" t="str">
        <f aca="false">IF(L2276="no","end at tank",IF(H2276&lt;0,"NEGATIVE",IF(H2276&lt;p_min-0.005,"low","OK")))</f>
        <v>OK</v>
      </c>
      <c r="L2276" s="4" t="s">
        <v>414</v>
      </c>
    </row>
    <row r="2277" customFormat="false" ht="15" hidden="false" customHeight="false" outlineLevel="0" collapsed="false">
      <c r="A2277" s="4" t="s">
        <v>46</v>
      </c>
      <c r="B2277" s="4" t="s">
        <v>393</v>
      </c>
      <c r="C2277" s="47" t="n">
        <v>416.63</v>
      </c>
      <c r="D2277" s="48" t="n">
        <v>1688.29</v>
      </c>
      <c r="E2277" s="49" t="n">
        <f aca="false">D2277-cover</f>
        <v>1687.09</v>
      </c>
      <c r="F2277" s="50" t="n">
        <f aca="false">'Z7 Uhuru-Chapwa'!S12-'Z7 Uhuru-Chapwa'!P12*C2277/'Z7 Uhuru-Chapwa'!G12</f>
        <v>1694.84105971092</v>
      </c>
      <c r="G2277" s="51" t="n">
        <f aca="false">'Z7 Uhuru-Chapwa'!$B$8-E2277</f>
        <v>15.21</v>
      </c>
      <c r="H2277" s="52" t="n">
        <f aca="false">F2277-E2277</f>
        <v>7.75105971091898</v>
      </c>
      <c r="I2277" s="52" t="n">
        <f aca="false">MAX(H2277,G2277)</f>
        <v>15.21</v>
      </c>
      <c r="J2277" s="4" t="str">
        <f aca="false">IFERROR("PN"&amp;SMALL(PN_list,COUNTIF(PN_list,"&lt;"&amp;I2277*bar_per_m)+1),"&gt; max PN")</f>
        <v>PN10</v>
      </c>
      <c r="K2277" s="4" t="str">
        <f aca="false">IF(L2277="no","end at tank",IF(H2277&lt;0,"NEGATIVE",IF(H2277&lt;p_min-0.005,"low","OK")))</f>
        <v>OK</v>
      </c>
      <c r="L2277" s="4" t="s">
        <v>414</v>
      </c>
    </row>
    <row r="2278" customFormat="false" ht="15" hidden="false" customHeight="false" outlineLevel="0" collapsed="false">
      <c r="A2278" s="4" t="s">
        <v>46</v>
      </c>
      <c r="B2278" s="4" t="s">
        <v>393</v>
      </c>
      <c r="C2278" s="47" t="n">
        <v>466.72</v>
      </c>
      <c r="D2278" s="48" t="n">
        <v>1685.26</v>
      </c>
      <c r="E2278" s="49" t="n">
        <f aca="false">D2278-cover</f>
        <v>1684.06</v>
      </c>
      <c r="F2278" s="50" t="n">
        <f aca="false">'Z7 Uhuru-Chapwa'!S12-'Z7 Uhuru-Chapwa'!P12*C2278/'Z7 Uhuru-Chapwa'!G12</f>
        <v>1694.50936175571</v>
      </c>
      <c r="G2278" s="51" t="n">
        <f aca="false">'Z7 Uhuru-Chapwa'!$B$8-E2278</f>
        <v>18.24</v>
      </c>
      <c r="H2278" s="52" t="n">
        <f aca="false">F2278-E2278</f>
        <v>10.4493617557066</v>
      </c>
      <c r="I2278" s="52" t="n">
        <f aca="false">MAX(H2278,G2278)</f>
        <v>18.24</v>
      </c>
      <c r="J2278" s="4" t="str">
        <f aca="false">IFERROR("PN"&amp;SMALL(PN_list,COUNTIF(PN_list,"&lt;"&amp;I2278*bar_per_m)+1),"&gt; max PN")</f>
        <v>PN10</v>
      </c>
      <c r="K2278" s="4" t="str">
        <f aca="false">IF(L2278="no","end at tank",IF(H2278&lt;0,"NEGATIVE",IF(H2278&lt;p_min-0.005,"low","OK")))</f>
        <v>OK</v>
      </c>
      <c r="L2278" s="4" t="s">
        <v>414</v>
      </c>
    </row>
    <row r="2279" customFormat="false" ht="15" hidden="false" customHeight="false" outlineLevel="0" collapsed="false">
      <c r="A2279" s="4" t="s">
        <v>46</v>
      </c>
      <c r="B2279" s="4" t="s">
        <v>393</v>
      </c>
      <c r="C2279" s="47" t="n">
        <v>516.78</v>
      </c>
      <c r="D2279" s="48" t="n">
        <v>1682.85</v>
      </c>
      <c r="E2279" s="49" t="n">
        <f aca="false">D2279-cover</f>
        <v>1681.65</v>
      </c>
      <c r="F2279" s="50" t="n">
        <f aca="false">'Z7 Uhuru-Chapwa'!S12-'Z7 Uhuru-Chapwa'!P12*C2279/'Z7 Uhuru-Chapwa'!G12</f>
        <v>1694.17786246168</v>
      </c>
      <c r="G2279" s="51" t="n">
        <f aca="false">'Z7 Uhuru-Chapwa'!$B$8-E2279</f>
        <v>20.6500000000001</v>
      </c>
      <c r="H2279" s="52" t="n">
        <f aca="false">F2279-E2279</f>
        <v>12.5278624616776</v>
      </c>
      <c r="I2279" s="52" t="n">
        <f aca="false">MAX(H2279,G2279)</f>
        <v>20.6500000000001</v>
      </c>
      <c r="J2279" s="4" t="str">
        <f aca="false">IFERROR("PN"&amp;SMALL(PN_list,COUNTIF(PN_list,"&lt;"&amp;I2279*bar_per_m)+1),"&gt; max PN")</f>
        <v>PN10</v>
      </c>
      <c r="K2279" s="4" t="str">
        <f aca="false">IF(L2279="no","end at tank",IF(H2279&lt;0,"NEGATIVE",IF(H2279&lt;p_min-0.005,"low","OK")))</f>
        <v>OK</v>
      </c>
      <c r="L2279" s="4" t="s">
        <v>414</v>
      </c>
    </row>
    <row r="2280" customFormat="false" ht="15" hidden="false" customHeight="false" outlineLevel="0" collapsed="false">
      <c r="A2280" s="4" t="s">
        <v>46</v>
      </c>
      <c r="B2280" s="4" t="s">
        <v>393</v>
      </c>
      <c r="C2280" s="47" t="n">
        <v>566.37</v>
      </c>
      <c r="D2280" s="48" t="n">
        <v>1679.71</v>
      </c>
      <c r="E2280" s="49" t="n">
        <f aca="false">D2280-cover</f>
        <v>1678.51</v>
      </c>
      <c r="F2280" s="50" t="n">
        <f aca="false">'Z7 Uhuru-Chapwa'!S12-'Z7 Uhuru-Chapwa'!P12*C2280/'Z7 Uhuru-Chapwa'!G12</f>
        <v>1693.84947552618</v>
      </c>
      <c r="G2280" s="51" t="n">
        <f aca="false">'Z7 Uhuru-Chapwa'!$B$8-E2280</f>
        <v>23.79</v>
      </c>
      <c r="H2280" s="52" t="n">
        <f aca="false">F2280-E2280</f>
        <v>15.3394755261818</v>
      </c>
      <c r="I2280" s="52" t="n">
        <f aca="false">MAX(H2280,G2280)</f>
        <v>23.79</v>
      </c>
      <c r="J2280" s="4" t="str">
        <f aca="false">IFERROR("PN"&amp;SMALL(PN_list,COUNTIF(PN_list,"&lt;"&amp;I2280*bar_per_m)+1),"&gt; max PN")</f>
        <v>PN10</v>
      </c>
      <c r="K2280" s="4" t="str">
        <f aca="false">IF(L2280="no","end at tank",IF(H2280&lt;0,"NEGATIVE",IF(H2280&lt;p_min-0.005,"low","OK")))</f>
        <v>OK</v>
      </c>
      <c r="L2280" s="4" t="s">
        <v>414</v>
      </c>
    </row>
    <row r="2281" customFormat="false" ht="15" hidden="false" customHeight="false" outlineLevel="0" collapsed="false">
      <c r="A2281" s="4" t="s">
        <v>46</v>
      </c>
      <c r="B2281" s="4" t="s">
        <v>393</v>
      </c>
      <c r="C2281" s="47" t="n">
        <v>616.45</v>
      </c>
      <c r="D2281" s="48" t="n">
        <v>1676.76</v>
      </c>
      <c r="E2281" s="49" t="n">
        <f aca="false">D2281-cover</f>
        <v>1675.56</v>
      </c>
      <c r="F2281" s="50" t="n">
        <f aca="false">'Z7 Uhuru-Chapwa'!S12-'Z7 Uhuru-Chapwa'!P12*C2281/'Z7 Uhuru-Chapwa'!G12</f>
        <v>1693.51784379136</v>
      </c>
      <c r="G2281" s="51" t="n">
        <f aca="false">'Z7 Uhuru-Chapwa'!$B$8-E2281</f>
        <v>26.74</v>
      </c>
      <c r="H2281" s="52" t="n">
        <f aca="false">F2281-E2281</f>
        <v>17.957843791364</v>
      </c>
      <c r="I2281" s="52" t="n">
        <f aca="false">MAX(H2281,G2281)</f>
        <v>26.74</v>
      </c>
      <c r="J2281" s="4" t="str">
        <f aca="false">IFERROR("PN"&amp;SMALL(PN_list,COUNTIF(PN_list,"&lt;"&amp;I2281*bar_per_m)+1),"&gt; max PN")</f>
        <v>PN10</v>
      </c>
      <c r="K2281" s="4" t="str">
        <f aca="false">IF(L2281="no","end at tank",IF(H2281&lt;0,"NEGATIVE",IF(H2281&lt;p_min-0.005,"low","OK")))</f>
        <v>OK</v>
      </c>
      <c r="L2281" s="4" t="s">
        <v>414</v>
      </c>
    </row>
    <row r="2282" customFormat="false" ht="15" hidden="false" customHeight="false" outlineLevel="0" collapsed="false">
      <c r="A2282" s="4" t="s">
        <v>46</v>
      </c>
      <c r="B2282" s="4" t="s">
        <v>393</v>
      </c>
      <c r="C2282" s="47" t="n">
        <v>666.25</v>
      </c>
      <c r="D2282" s="48" t="n">
        <v>1674.36</v>
      </c>
      <c r="E2282" s="49" t="n">
        <f aca="false">D2282-cover</f>
        <v>1673.16</v>
      </c>
      <c r="F2282" s="50" t="n">
        <f aca="false">'Z7 Uhuru-Chapwa'!S12-'Z7 Uhuru-Chapwa'!P12*C2282/'Z7 Uhuru-Chapwa'!G12</f>
        <v>1693.18806622759</v>
      </c>
      <c r="G2282" s="51" t="n">
        <f aca="false">'Z7 Uhuru-Chapwa'!$B$8-E2282</f>
        <v>29.1400000000001</v>
      </c>
      <c r="H2282" s="52" t="n">
        <f aca="false">F2282-E2282</f>
        <v>20.0280662275875</v>
      </c>
      <c r="I2282" s="52" t="n">
        <f aca="false">MAX(H2282,G2282)</f>
        <v>29.1400000000001</v>
      </c>
      <c r="J2282" s="4" t="str">
        <f aca="false">IFERROR("PN"&amp;SMALL(PN_list,COUNTIF(PN_list,"&lt;"&amp;I2282*bar_per_m)+1),"&gt; max PN")</f>
        <v>PN10</v>
      </c>
      <c r="K2282" s="4" t="str">
        <f aca="false">IF(L2282="no","end at tank",IF(H2282&lt;0,"NEGATIVE",IF(H2282&lt;p_min-0.005,"low","OK")))</f>
        <v>OK</v>
      </c>
      <c r="L2282" s="4" t="s">
        <v>414</v>
      </c>
    </row>
    <row r="2283" customFormat="false" ht="15" hidden="false" customHeight="false" outlineLevel="0" collapsed="false">
      <c r="A2283" s="4" t="s">
        <v>46</v>
      </c>
      <c r="B2283" s="4" t="s">
        <v>393</v>
      </c>
      <c r="C2283" s="47" t="n">
        <v>716.37</v>
      </c>
      <c r="D2283" s="48" t="n">
        <v>1670.92</v>
      </c>
      <c r="E2283" s="49" t="n">
        <f aca="false">D2283-cover</f>
        <v>1669.72</v>
      </c>
      <c r="F2283" s="50" t="n">
        <f aca="false">'Z7 Uhuru-Chapwa'!S12-'Z7 Uhuru-Chapwa'!P12*C2283/'Z7 Uhuru-Chapwa'!G12</f>
        <v>1692.85616961119</v>
      </c>
      <c r="G2283" s="51" t="n">
        <f aca="false">'Z7 Uhuru-Chapwa'!$B$8-E2283</f>
        <v>32.5799999999999</v>
      </c>
      <c r="H2283" s="52" t="n">
        <f aca="false">F2283-E2283</f>
        <v>23.1361696111921</v>
      </c>
      <c r="I2283" s="52" t="n">
        <f aca="false">MAX(H2283,G2283)</f>
        <v>32.5799999999999</v>
      </c>
      <c r="J2283" s="4" t="str">
        <f aca="false">IFERROR("PN"&amp;SMALL(PN_list,COUNTIF(PN_list,"&lt;"&amp;I2283*bar_per_m)+1),"&gt; max PN")</f>
        <v>PN10</v>
      </c>
      <c r="K2283" s="4" t="str">
        <f aca="false">IF(L2283="no","end at tank",IF(H2283&lt;0,"NEGATIVE",IF(H2283&lt;p_min-0.005,"low","OK")))</f>
        <v>OK</v>
      </c>
      <c r="L2283" s="4" t="s">
        <v>414</v>
      </c>
    </row>
    <row r="2284" customFormat="false" ht="15" hidden="false" customHeight="false" outlineLevel="0" collapsed="false">
      <c r="A2284" s="4" t="s">
        <v>46</v>
      </c>
      <c r="B2284" s="4" t="s">
        <v>393</v>
      </c>
      <c r="C2284" s="47" t="n">
        <v>765.46</v>
      </c>
      <c r="D2284" s="48" t="n">
        <v>1668.95</v>
      </c>
      <c r="E2284" s="49" t="n">
        <f aca="false">D2284-cover</f>
        <v>1667.75</v>
      </c>
      <c r="F2284" s="50" t="n">
        <f aca="false">'Z7 Uhuru-Chapwa'!S12-'Z7 Uhuru-Chapwa'!P12*C2284/'Z7 Uhuru-Chapwa'!G12</f>
        <v>1692.53109369541</v>
      </c>
      <c r="G2284" s="51" t="n">
        <f aca="false">'Z7 Uhuru-Chapwa'!$B$8-E2284</f>
        <v>34.55</v>
      </c>
      <c r="H2284" s="52" t="n">
        <f aca="false">F2284-E2284</f>
        <v>24.7810936954131</v>
      </c>
      <c r="I2284" s="52" t="n">
        <f aca="false">MAX(H2284,G2284)</f>
        <v>34.55</v>
      </c>
      <c r="J2284" s="4" t="str">
        <f aca="false">IFERROR("PN"&amp;SMALL(PN_list,COUNTIF(PN_list,"&lt;"&amp;I2284*bar_per_m)+1),"&gt; max PN")</f>
        <v>PN10</v>
      </c>
      <c r="K2284" s="4" t="str">
        <f aca="false">IF(L2284="no","end at tank",IF(H2284&lt;0,"NEGATIVE",IF(H2284&lt;p_min-0.005,"low","OK")))</f>
        <v>OK</v>
      </c>
      <c r="L2284" s="4" t="s">
        <v>414</v>
      </c>
    </row>
    <row r="2285" customFormat="false" ht="15" hidden="false" customHeight="false" outlineLevel="0" collapsed="false">
      <c r="A2285" s="4" t="s">
        <v>46</v>
      </c>
      <c r="B2285" s="4" t="s">
        <v>393</v>
      </c>
      <c r="C2285" s="47" t="n">
        <v>815.3</v>
      </c>
      <c r="D2285" s="48" t="n">
        <v>1665.91</v>
      </c>
      <c r="E2285" s="49" t="n">
        <f aca="false">D2285-cover</f>
        <v>1664.71</v>
      </c>
      <c r="F2285" s="50" t="n">
        <f aca="false">'Z7 Uhuru-Chapwa'!S12-'Z7 Uhuru-Chapwa'!P12*C2285/'Z7 Uhuru-Chapwa'!G12</f>
        <v>1692.20105125006</v>
      </c>
      <c r="G2285" s="51" t="n">
        <f aca="false">'Z7 Uhuru-Chapwa'!$B$8-E2285</f>
        <v>37.5899999999999</v>
      </c>
      <c r="H2285" s="52" t="n">
        <f aca="false">F2285-E2285</f>
        <v>27.4910512500592</v>
      </c>
      <c r="I2285" s="52" t="n">
        <f aca="false">MAX(H2285,G2285)</f>
        <v>37.5899999999999</v>
      </c>
      <c r="J2285" s="4" t="str">
        <f aca="false">IFERROR("PN"&amp;SMALL(PN_list,COUNTIF(PN_list,"&lt;"&amp;I2285*bar_per_m)+1),"&gt; max PN")</f>
        <v>PN10</v>
      </c>
      <c r="K2285" s="4" t="str">
        <f aca="false">IF(L2285="no","end at tank",IF(H2285&lt;0,"NEGATIVE",IF(H2285&lt;p_min-0.005,"low","OK")))</f>
        <v>OK</v>
      </c>
      <c r="L2285" s="4" t="s">
        <v>414</v>
      </c>
    </row>
    <row r="2286" customFormat="false" ht="15" hidden="false" customHeight="false" outlineLevel="0" collapsed="false">
      <c r="A2286" s="4" t="s">
        <v>46</v>
      </c>
      <c r="B2286" s="4" t="s">
        <v>393</v>
      </c>
      <c r="C2286" s="47" t="n">
        <v>865</v>
      </c>
      <c r="D2286" s="48" t="n">
        <v>1663.08</v>
      </c>
      <c r="E2286" s="49" t="n">
        <f aca="false">D2286-cover</f>
        <v>1661.88</v>
      </c>
      <c r="F2286" s="50" t="n">
        <f aca="false">'Z7 Uhuru-Chapwa'!S12-'Z7 Uhuru-Chapwa'!P12*C2286/'Z7 Uhuru-Chapwa'!G12</f>
        <v>1691.87193589023</v>
      </c>
      <c r="G2286" s="51" t="n">
        <f aca="false">'Z7 Uhuru-Chapwa'!$B$8-E2286</f>
        <v>40.4200000000001</v>
      </c>
      <c r="H2286" s="52" t="n">
        <f aca="false">F2286-E2286</f>
        <v>29.9919358902262</v>
      </c>
      <c r="I2286" s="52" t="n">
        <f aca="false">MAX(H2286,G2286)</f>
        <v>40.4200000000001</v>
      </c>
      <c r="J2286" s="4" t="str">
        <f aca="false">IFERROR("PN"&amp;SMALL(PN_list,COUNTIF(PN_list,"&lt;"&amp;I2286*bar_per_m)+1),"&gt; max PN")</f>
        <v>PN10</v>
      </c>
      <c r="K2286" s="4" t="str">
        <f aca="false">IF(L2286="no","end at tank",IF(H2286&lt;0,"NEGATIVE",IF(H2286&lt;p_min-0.005,"low","OK")))</f>
        <v>OK</v>
      </c>
      <c r="L2286" s="4" t="s">
        <v>414</v>
      </c>
    </row>
    <row r="2287" customFormat="false" ht="15" hidden="false" customHeight="false" outlineLevel="0" collapsed="false">
      <c r="A2287" s="4" t="s">
        <v>46</v>
      </c>
      <c r="B2287" s="4" t="s">
        <v>393</v>
      </c>
      <c r="C2287" s="47" t="n">
        <v>915.09</v>
      </c>
      <c r="D2287" s="48" t="n">
        <v>1660.12</v>
      </c>
      <c r="E2287" s="49" t="n">
        <f aca="false">D2287-cover</f>
        <v>1658.92</v>
      </c>
      <c r="F2287" s="50" t="n">
        <f aca="false">'Z7 Uhuru-Chapwa'!S12-'Z7 Uhuru-Chapwa'!P12*C2287/'Z7 Uhuru-Chapwa'!G12</f>
        <v>1691.54023793501</v>
      </c>
      <c r="G2287" s="51" t="n">
        <f aca="false">'Z7 Uhuru-Chapwa'!$B$8-E2287</f>
        <v>43.3800000000001</v>
      </c>
      <c r="H2287" s="52" t="n">
        <f aca="false">F2287-E2287</f>
        <v>32.6202379350139</v>
      </c>
      <c r="I2287" s="52" t="n">
        <f aca="false">MAX(H2287,G2287)</f>
        <v>43.3800000000001</v>
      </c>
      <c r="J2287" s="4" t="str">
        <f aca="false">IFERROR("PN"&amp;SMALL(PN_list,COUNTIF(PN_list,"&lt;"&amp;I2287*bar_per_m)+1),"&gt; max PN")</f>
        <v>PN10</v>
      </c>
      <c r="K2287" s="4" t="str">
        <f aca="false">IF(L2287="no","end at tank",IF(H2287&lt;0,"NEGATIVE",IF(H2287&lt;p_min-0.005,"low","OK")))</f>
        <v>OK</v>
      </c>
      <c r="L2287" s="4" t="s">
        <v>414</v>
      </c>
    </row>
    <row r="2288" customFormat="false" ht="15" hidden="false" customHeight="false" outlineLevel="0" collapsed="false">
      <c r="A2288" s="4" t="s">
        <v>46</v>
      </c>
      <c r="B2288" s="4" t="s">
        <v>393</v>
      </c>
      <c r="C2288" s="47" t="n">
        <v>964.33</v>
      </c>
      <c r="D2288" s="48" t="n">
        <v>1656.85</v>
      </c>
      <c r="E2288" s="49" t="n">
        <f aca="false">D2288-cover</f>
        <v>1655.65</v>
      </c>
      <c r="F2288" s="50" t="n">
        <f aca="false">'Z7 Uhuru-Chapwa'!S12-'Z7 Uhuru-Chapwa'!P12*C2288/'Z7 Uhuru-Chapwa'!G12</f>
        <v>1691.21416871332</v>
      </c>
      <c r="G2288" s="51" t="n">
        <f aca="false">'Z7 Uhuru-Chapwa'!$B$8-E2288</f>
        <v>46.6500000000001</v>
      </c>
      <c r="H2288" s="52" t="n">
        <f aca="false">F2288-E2288</f>
        <v>35.56416871332</v>
      </c>
      <c r="I2288" s="52" t="n">
        <f aca="false">MAX(H2288,G2288)</f>
        <v>46.6500000000001</v>
      </c>
      <c r="J2288" s="4" t="str">
        <f aca="false">IFERROR("PN"&amp;SMALL(PN_list,COUNTIF(PN_list,"&lt;"&amp;I2288*bar_per_m)+1),"&gt; max PN")</f>
        <v>PN10</v>
      </c>
      <c r="K2288" s="4" t="str">
        <f aca="false">IF(L2288="no","end at tank",IF(H2288&lt;0,"NEGATIVE",IF(H2288&lt;p_min-0.005,"low","OK")))</f>
        <v>OK</v>
      </c>
      <c r="L2288" s="4" t="s">
        <v>414</v>
      </c>
    </row>
    <row r="2289" customFormat="false" ht="15" hidden="false" customHeight="false" outlineLevel="0" collapsed="false">
      <c r="A2289" s="4" t="s">
        <v>46</v>
      </c>
      <c r="B2289" s="4" t="s">
        <v>393</v>
      </c>
      <c r="C2289" s="47" t="n">
        <v>1014.44</v>
      </c>
      <c r="D2289" s="48" t="n">
        <v>1653.52</v>
      </c>
      <c r="E2289" s="49" t="n">
        <f aca="false">D2289-cover</f>
        <v>1652.32</v>
      </c>
      <c r="F2289" s="50" t="n">
        <f aca="false">'Z7 Uhuru-Chapwa'!S12-'Z7 Uhuru-Chapwa'!P12*C2289/'Z7 Uhuru-Chapwa'!G12</f>
        <v>1690.88233831732</v>
      </c>
      <c r="G2289" s="51" t="n">
        <f aca="false">'Z7 Uhuru-Chapwa'!$B$8-E2289</f>
        <v>49.98</v>
      </c>
      <c r="H2289" s="52" t="n">
        <f aca="false">F2289-E2289</f>
        <v>38.562338317319</v>
      </c>
      <c r="I2289" s="52" t="n">
        <f aca="false">MAX(H2289,G2289)</f>
        <v>49.98</v>
      </c>
      <c r="J2289" s="4" t="str">
        <f aca="false">IFERROR("PN"&amp;SMALL(PN_list,COUNTIF(PN_list,"&lt;"&amp;I2289*bar_per_m)+1),"&gt; max PN")</f>
        <v>PN10</v>
      </c>
      <c r="K2289" s="4" t="str">
        <f aca="false">IF(L2289="no","end at tank",IF(H2289&lt;0,"NEGATIVE",IF(H2289&lt;p_min-0.005,"low","OK")))</f>
        <v>OK</v>
      </c>
      <c r="L2289" s="4" t="s">
        <v>414</v>
      </c>
    </row>
    <row r="2290" customFormat="false" ht="15" hidden="false" customHeight="false" outlineLevel="0" collapsed="false">
      <c r="A2290" s="4" t="s">
        <v>46</v>
      </c>
      <c r="B2290" s="4" t="s">
        <v>393</v>
      </c>
      <c r="C2290" s="47" t="n">
        <v>1064.64</v>
      </c>
      <c r="D2290" s="48" t="n">
        <v>1650.16</v>
      </c>
      <c r="E2290" s="49" t="n">
        <f aca="false">D2290-cover</f>
        <v>1648.96</v>
      </c>
      <c r="F2290" s="50" t="n">
        <f aca="false">'Z7 Uhuru-Chapwa'!S12-'Z7 Uhuru-Chapwa'!P12*C2290/'Z7 Uhuru-Chapwa'!G12</f>
        <v>1690.54991193777</v>
      </c>
      <c r="G2290" s="51" t="n">
        <f aca="false">'Z7 Uhuru-Chapwa'!$B$8-E2290</f>
        <v>53.3399999999999</v>
      </c>
      <c r="H2290" s="52" t="n">
        <f aca="false">F2290-E2290</f>
        <v>41.5899119377689</v>
      </c>
      <c r="I2290" s="52" t="n">
        <f aca="false">MAX(H2290,G2290)</f>
        <v>53.3399999999999</v>
      </c>
      <c r="J2290" s="4" t="str">
        <f aca="false">IFERROR("PN"&amp;SMALL(PN_list,COUNTIF(PN_list,"&lt;"&amp;I2290*bar_per_m)+1),"&gt; max PN")</f>
        <v>PN10</v>
      </c>
      <c r="K2290" s="4" t="str">
        <f aca="false">IF(L2290="no","end at tank",IF(H2290&lt;0,"NEGATIVE",IF(H2290&lt;p_min-0.005,"low","OK")))</f>
        <v>OK</v>
      </c>
      <c r="L2290" s="4" t="s">
        <v>414</v>
      </c>
    </row>
    <row r="2291" customFormat="false" ht="15" hidden="false" customHeight="false" outlineLevel="0" collapsed="false">
      <c r="A2291" s="4" t="s">
        <v>46</v>
      </c>
      <c r="B2291" s="4" t="s">
        <v>393</v>
      </c>
      <c r="C2291" s="47" t="n">
        <v>1114.74</v>
      </c>
      <c r="D2291" s="48" t="n">
        <v>1646.97</v>
      </c>
      <c r="E2291" s="49" t="n">
        <f aca="false">D2291-cover</f>
        <v>1645.77</v>
      </c>
      <c r="F2291" s="50" t="n">
        <f aca="false">'Z7 Uhuru-Chapwa'!S12-'Z7 Uhuru-Chapwa'!P12*C2291/'Z7 Uhuru-Chapwa'!G12</f>
        <v>1690.21814776216</v>
      </c>
      <c r="G2291" s="51" t="n">
        <f aca="false">'Z7 Uhuru-Chapwa'!$B$8-E2291</f>
        <v>56.53</v>
      </c>
      <c r="H2291" s="52" t="n">
        <f aca="false">F2291-E2291</f>
        <v>44.4481477621625</v>
      </c>
      <c r="I2291" s="52" t="n">
        <f aca="false">MAX(H2291,G2291)</f>
        <v>56.53</v>
      </c>
      <c r="J2291" s="4" t="str">
        <f aca="false">IFERROR("PN"&amp;SMALL(PN_list,COUNTIF(PN_list,"&lt;"&amp;I2291*bar_per_m)+1),"&gt; max PN")</f>
        <v>PN10</v>
      </c>
      <c r="K2291" s="4" t="str">
        <f aca="false">IF(L2291="no","end at tank",IF(H2291&lt;0,"NEGATIVE",IF(H2291&lt;p_min-0.005,"low","OK")))</f>
        <v>OK</v>
      </c>
      <c r="L2291" s="4" t="s">
        <v>414</v>
      </c>
    </row>
    <row r="2292" customFormat="false" ht="15" hidden="false" customHeight="false" outlineLevel="0" collapsed="false">
      <c r="A2292" s="4" t="s">
        <v>46</v>
      </c>
      <c r="B2292" s="4" t="s">
        <v>393</v>
      </c>
      <c r="C2292" s="47" t="n">
        <v>1165.13</v>
      </c>
      <c r="D2292" s="48" t="n">
        <v>1644.55</v>
      </c>
      <c r="E2292" s="49" t="n">
        <f aca="false">D2292-cover</f>
        <v>1643.35</v>
      </c>
      <c r="F2292" s="50" t="n">
        <f aca="false">'Z7 Uhuru-Chapwa'!S12-'Z7 Uhuru-Chapwa'!P12*C2292/'Z7 Uhuru-Chapwa'!G12</f>
        <v>1689.88446319512</v>
      </c>
      <c r="G2292" s="51" t="n">
        <f aca="false">'Z7 Uhuru-Chapwa'!$B$8-E2292</f>
        <v>58.95</v>
      </c>
      <c r="H2292" s="52" t="n">
        <f aca="false">F2292-E2292</f>
        <v>46.5344631951202</v>
      </c>
      <c r="I2292" s="52" t="n">
        <f aca="false">MAX(H2292,G2292)</f>
        <v>58.95</v>
      </c>
      <c r="J2292" s="4" t="str">
        <f aca="false">IFERROR("PN"&amp;SMALL(PN_list,COUNTIF(PN_list,"&lt;"&amp;I2292*bar_per_m)+1),"&gt; max PN")</f>
        <v>PN10</v>
      </c>
      <c r="K2292" s="4" t="str">
        <f aca="false">IF(L2292="no","end at tank",IF(H2292&lt;0,"NEGATIVE",IF(H2292&lt;p_min-0.005,"low","OK")))</f>
        <v>OK</v>
      </c>
      <c r="L2292" s="4" t="s">
        <v>414</v>
      </c>
    </row>
    <row r="2293" customFormat="false" ht="15" hidden="false" customHeight="false" outlineLevel="0" collapsed="false">
      <c r="A2293" s="4" t="s">
        <v>46</v>
      </c>
      <c r="B2293" s="4" t="s">
        <v>393</v>
      </c>
      <c r="C2293" s="47" t="n">
        <v>1215.41</v>
      </c>
      <c r="D2293" s="48" t="n">
        <v>1641.32</v>
      </c>
      <c r="E2293" s="49" t="n">
        <f aca="false">D2293-cover</f>
        <v>1640.12</v>
      </c>
      <c r="F2293" s="50" t="n">
        <f aca="false">'Z7 Uhuru-Chapwa'!S12-'Z7 Uhuru-Chapwa'!P12*C2293/'Z7 Uhuru-Chapwa'!G12</f>
        <v>1689.55150705242</v>
      </c>
      <c r="G2293" s="51" t="n">
        <f aca="false">'Z7 Uhuru-Chapwa'!$B$8-E2293</f>
        <v>62.1800000000001</v>
      </c>
      <c r="H2293" s="52" t="n">
        <f aca="false">F2293-E2293</f>
        <v>49.4315070524158</v>
      </c>
      <c r="I2293" s="52" t="n">
        <f aca="false">MAX(H2293,G2293)</f>
        <v>62.1800000000001</v>
      </c>
      <c r="J2293" s="4" t="str">
        <f aca="false">IFERROR("PN"&amp;SMALL(PN_list,COUNTIF(PN_list,"&lt;"&amp;I2293*bar_per_m)+1),"&gt; max PN")</f>
        <v>PN10</v>
      </c>
      <c r="K2293" s="4" t="str">
        <f aca="false">IF(L2293="no","end at tank",IF(H2293&lt;0,"NEGATIVE",IF(H2293&lt;p_min-0.005,"low","OK")))</f>
        <v>OK</v>
      </c>
      <c r="L2293" s="4" t="s">
        <v>414</v>
      </c>
    </row>
    <row r="2294" customFormat="false" ht="15" hidden="false" customHeight="false" outlineLevel="0" collapsed="false">
      <c r="A2294" s="4" t="s">
        <v>46</v>
      </c>
      <c r="B2294" s="4" t="s">
        <v>393</v>
      </c>
      <c r="C2294" s="47" t="n">
        <v>1265.59</v>
      </c>
      <c r="D2294" s="48" t="n">
        <v>1639.86</v>
      </c>
      <c r="E2294" s="49" t="n">
        <f aca="false">D2294-cover</f>
        <v>1638.66</v>
      </c>
      <c r="F2294" s="50" t="n">
        <f aca="false">'Z7 Uhuru-Chapwa'!S12-'Z7 Uhuru-Chapwa'!P12*C2294/'Z7 Uhuru-Chapwa'!G12</f>
        <v>1689.21921311365</v>
      </c>
      <c r="G2294" s="51" t="n">
        <f aca="false">'Z7 Uhuru-Chapwa'!$B$8-E2294</f>
        <v>63.6400000000001</v>
      </c>
      <c r="H2294" s="52" t="n">
        <f aca="false">F2294-E2294</f>
        <v>50.5592131136546</v>
      </c>
      <c r="I2294" s="52" t="n">
        <f aca="false">MAX(H2294,G2294)</f>
        <v>63.6400000000001</v>
      </c>
      <c r="J2294" s="4" t="str">
        <f aca="false">IFERROR("PN"&amp;SMALL(PN_list,COUNTIF(PN_list,"&lt;"&amp;I2294*bar_per_m)+1),"&gt; max PN")</f>
        <v>PN10</v>
      </c>
      <c r="K2294" s="4" t="str">
        <f aca="false">IF(L2294="no","end at tank",IF(H2294&lt;0,"NEGATIVE",IF(H2294&lt;p_min-0.005,"low","OK")))</f>
        <v>OK</v>
      </c>
      <c r="L2294" s="4" t="s">
        <v>414</v>
      </c>
    </row>
    <row r="2295" customFormat="false" ht="15" hidden="false" customHeight="false" outlineLevel="0" collapsed="false">
      <c r="A2295" s="4" t="s">
        <v>46</v>
      </c>
      <c r="B2295" s="4" t="s">
        <v>393</v>
      </c>
      <c r="C2295" s="47" t="n">
        <v>1315.31</v>
      </c>
      <c r="D2295" s="48" t="n">
        <v>1637.92</v>
      </c>
      <c r="E2295" s="49" t="n">
        <f aca="false">D2295-cover</f>
        <v>1636.72</v>
      </c>
      <c r="F2295" s="50" t="n">
        <f aca="false">'Z7 Uhuru-Chapwa'!S12-'Z7 Uhuru-Chapwa'!P12*C2295/'Z7 Uhuru-Chapwa'!G12</f>
        <v>1688.88996531303</v>
      </c>
      <c r="G2295" s="51" t="n">
        <f aca="false">'Z7 Uhuru-Chapwa'!$B$8-E2295</f>
        <v>65.5799999999999</v>
      </c>
      <c r="H2295" s="52" t="n">
        <f aca="false">F2295-E2295</f>
        <v>52.1699653130324</v>
      </c>
      <c r="I2295" s="52" t="n">
        <f aca="false">MAX(H2295,G2295)</f>
        <v>65.5799999999999</v>
      </c>
      <c r="J2295" s="4" t="str">
        <f aca="false">IFERROR("PN"&amp;SMALL(PN_list,COUNTIF(PN_list,"&lt;"&amp;I2295*bar_per_m)+1),"&gt; max PN")</f>
        <v>PN10</v>
      </c>
      <c r="K2295" s="4" t="str">
        <f aca="false">IF(L2295="no","end at tank",IF(H2295&lt;0,"NEGATIVE",IF(H2295&lt;p_min-0.005,"low","OK")))</f>
        <v>OK</v>
      </c>
      <c r="L2295" s="4" t="s">
        <v>414</v>
      </c>
    </row>
    <row r="2296" customFormat="false" ht="15" hidden="false" customHeight="false" outlineLevel="0" collapsed="false">
      <c r="A2296" s="4" t="s">
        <v>46</v>
      </c>
      <c r="B2296" s="4" t="s">
        <v>393</v>
      </c>
      <c r="C2296" s="47" t="n">
        <v>1365.32</v>
      </c>
      <c r="D2296" s="48" t="n">
        <v>1636.53</v>
      </c>
      <c r="E2296" s="49" t="n">
        <f aca="false">D2296-cover</f>
        <v>1635.33</v>
      </c>
      <c r="F2296" s="50" t="n">
        <f aca="false">'Z7 Uhuru-Chapwa'!S12-'Z7 Uhuru-Chapwa'!P12*C2296/'Z7 Uhuru-Chapwa'!G12</f>
        <v>1688.55879712098</v>
      </c>
      <c r="G2296" s="51" t="n">
        <f aca="false">'Z7 Uhuru-Chapwa'!$B$8-E2296</f>
        <v>66.97</v>
      </c>
      <c r="H2296" s="52" t="n">
        <f aca="false">F2296-E2296</f>
        <v>53.2287971209751</v>
      </c>
      <c r="I2296" s="52" t="n">
        <f aca="false">MAX(H2296,G2296)</f>
        <v>66.97</v>
      </c>
      <c r="J2296" s="4" t="str">
        <f aca="false">IFERROR("PN"&amp;SMALL(PN_list,COUNTIF(PN_list,"&lt;"&amp;I2296*bar_per_m)+1),"&gt; max PN")</f>
        <v>PN10</v>
      </c>
      <c r="K2296" s="4" t="str">
        <f aca="false">IF(L2296="no","end at tank",IF(H2296&lt;0,"NEGATIVE",IF(H2296&lt;p_min-0.005,"low","OK")))</f>
        <v>OK</v>
      </c>
      <c r="L2296" s="4" t="s">
        <v>414</v>
      </c>
    </row>
    <row r="2297" customFormat="false" ht="15" hidden="false" customHeight="false" outlineLevel="0" collapsed="false">
      <c r="A2297" s="4" t="s">
        <v>46</v>
      </c>
      <c r="B2297" s="4" t="s">
        <v>393</v>
      </c>
      <c r="C2297" s="47" t="n">
        <v>1415.09</v>
      </c>
      <c r="D2297" s="48" t="n">
        <v>1635.37</v>
      </c>
      <c r="E2297" s="49" t="n">
        <f aca="false">D2297-cover</f>
        <v>1634.17</v>
      </c>
      <c r="F2297" s="50" t="n">
        <f aca="false">'Z7 Uhuru-Chapwa'!S12-'Z7 Uhuru-Chapwa'!P12*C2297/'Z7 Uhuru-Chapwa'!G12</f>
        <v>1688.22921821838</v>
      </c>
      <c r="G2297" s="51" t="n">
        <f aca="false">'Z7 Uhuru-Chapwa'!$B$8-E2297</f>
        <v>68.1300000000001</v>
      </c>
      <c r="H2297" s="52" t="n">
        <f aca="false">F2297-E2297</f>
        <v>54.0592182183816</v>
      </c>
      <c r="I2297" s="52" t="n">
        <f aca="false">MAX(H2297,G2297)</f>
        <v>68.1300000000001</v>
      </c>
      <c r="J2297" s="4" t="str">
        <f aca="false">IFERROR("PN"&amp;SMALL(PN_list,COUNTIF(PN_list,"&lt;"&amp;I2297*bar_per_m)+1),"&gt; max PN")</f>
        <v>PN10</v>
      </c>
      <c r="K2297" s="4" t="str">
        <f aca="false">IF(L2297="no","end at tank",IF(H2297&lt;0,"NEGATIVE",IF(H2297&lt;p_min-0.005,"low","OK")))</f>
        <v>OK</v>
      </c>
      <c r="L2297" s="4" t="s">
        <v>414</v>
      </c>
    </row>
    <row r="2298" customFormat="false" ht="15" hidden="false" customHeight="false" outlineLevel="0" collapsed="false">
      <c r="A2298" s="4" t="s">
        <v>46</v>
      </c>
      <c r="B2298" s="4" t="s">
        <v>393</v>
      </c>
      <c r="C2298" s="47" t="n">
        <v>1464.04</v>
      </c>
      <c r="D2298" s="48" t="n">
        <v>1634.52</v>
      </c>
      <c r="E2298" s="49" t="n">
        <f aca="false">D2298-cover</f>
        <v>1633.32</v>
      </c>
      <c r="F2298" s="50" t="n">
        <f aca="false">'Z7 Uhuru-Chapwa'!S12-'Z7 Uhuru-Chapwa'!P12*C2298/'Z7 Uhuru-Chapwa'!G12</f>
        <v>1687.90506938812</v>
      </c>
      <c r="G2298" s="51" t="n">
        <f aca="false">'Z7 Uhuru-Chapwa'!$B$8-E2298</f>
        <v>68.98</v>
      </c>
      <c r="H2298" s="52" t="n">
        <f aca="false">F2298-E2298</f>
        <v>54.5850693881232</v>
      </c>
      <c r="I2298" s="52" t="n">
        <f aca="false">MAX(H2298,G2298)</f>
        <v>68.98</v>
      </c>
      <c r="J2298" s="4" t="str">
        <f aca="false">IFERROR("PN"&amp;SMALL(PN_list,COUNTIF(PN_list,"&lt;"&amp;I2298*bar_per_m)+1),"&gt; max PN")</f>
        <v>PN10</v>
      </c>
      <c r="K2298" s="4" t="str">
        <f aca="false">IF(L2298="no","end at tank",IF(H2298&lt;0,"NEGATIVE",IF(H2298&lt;p_min-0.005,"low","OK")))</f>
        <v>OK</v>
      </c>
      <c r="L2298" s="4" t="s">
        <v>414</v>
      </c>
    </row>
    <row r="2299" customFormat="false" ht="15" hidden="false" customHeight="false" outlineLevel="0" collapsed="false">
      <c r="A2299" s="4" t="s">
        <v>46</v>
      </c>
      <c r="B2299" s="4" t="s">
        <v>393</v>
      </c>
      <c r="C2299" s="47" t="n">
        <v>1514.49</v>
      </c>
      <c r="D2299" s="48" t="n">
        <v>1633.93</v>
      </c>
      <c r="E2299" s="49" t="n">
        <f aca="false">D2299-cover</f>
        <v>1632.73</v>
      </c>
      <c r="F2299" s="50" t="n">
        <f aca="false">'Z7 Uhuru-Chapwa'!S12-'Z7 Uhuru-Chapwa'!P12*C2299/'Z7 Uhuru-Chapwa'!G12</f>
        <v>1687.57098749871</v>
      </c>
      <c r="G2299" s="51" t="n">
        <f aca="false">'Z7 Uhuru-Chapwa'!$B$8-E2299</f>
        <v>69.5699999999999</v>
      </c>
      <c r="H2299" s="52" t="n">
        <f aca="false">F2299-E2299</f>
        <v>54.8409874987149</v>
      </c>
      <c r="I2299" s="52" t="n">
        <f aca="false">MAX(H2299,G2299)</f>
        <v>69.5699999999999</v>
      </c>
      <c r="J2299" s="4" t="str">
        <f aca="false">IFERROR("PN"&amp;SMALL(PN_list,COUNTIF(PN_list,"&lt;"&amp;I2299*bar_per_m)+1),"&gt; max PN")</f>
        <v>PN10</v>
      </c>
      <c r="K2299" s="4" t="str">
        <f aca="false">IF(L2299="no","end at tank",IF(H2299&lt;0,"NEGATIVE",IF(H2299&lt;p_min-0.005,"low","OK")))</f>
        <v>OK</v>
      </c>
      <c r="L2299" s="4" t="s">
        <v>414</v>
      </c>
    </row>
    <row r="2300" customFormat="false" ht="15" hidden="false" customHeight="false" outlineLevel="0" collapsed="false">
      <c r="A2300" s="4" t="s">
        <v>46</v>
      </c>
      <c r="B2300" s="4" t="s">
        <v>393</v>
      </c>
      <c r="C2300" s="47" t="n">
        <v>1563.45</v>
      </c>
      <c r="D2300" s="48" t="n">
        <v>1630.08</v>
      </c>
      <c r="E2300" s="49" t="n">
        <f aca="false">D2300-cover</f>
        <v>1628.88</v>
      </c>
      <c r="F2300" s="50" t="n">
        <f aca="false">'Z7 Uhuru-Chapwa'!S12-'Z7 Uhuru-Chapwa'!P12*C2300/'Z7 Uhuru-Chapwa'!G12</f>
        <v>1687.24677244806</v>
      </c>
      <c r="G2300" s="51" t="n">
        <f aca="false">'Z7 Uhuru-Chapwa'!$B$8-E2300</f>
        <v>73.4200000000001</v>
      </c>
      <c r="H2300" s="52" t="n">
        <f aca="false">F2300-E2300</f>
        <v>58.3667724480624</v>
      </c>
      <c r="I2300" s="52" t="n">
        <f aca="false">MAX(H2300,G2300)</f>
        <v>73.4200000000001</v>
      </c>
      <c r="J2300" s="4" t="str">
        <f aca="false">IFERROR("PN"&amp;SMALL(PN_list,COUNTIF(PN_list,"&lt;"&amp;I2300*bar_per_m)+1),"&gt; max PN")</f>
        <v>PN10</v>
      </c>
      <c r="K2300" s="4" t="str">
        <f aca="false">IF(L2300="no","end at tank",IF(H2300&lt;0,"NEGATIVE",IF(H2300&lt;p_min-0.005,"low","OK")))</f>
        <v>OK</v>
      </c>
      <c r="L2300" s="4" t="s">
        <v>414</v>
      </c>
    </row>
    <row r="2301" customFormat="false" ht="15" hidden="false" customHeight="false" outlineLevel="0" collapsed="false">
      <c r="A2301" s="4" t="s">
        <v>46</v>
      </c>
      <c r="B2301" s="4" t="s">
        <v>395</v>
      </c>
      <c r="C2301" s="47" t="n">
        <v>0</v>
      </c>
      <c r="D2301" s="48" t="n">
        <v>1630.08</v>
      </c>
      <c r="E2301" s="49" t="n">
        <f aca="false">D2301-cover</f>
        <v>1628.88</v>
      </c>
      <c r="F2301" s="50" t="n">
        <f aca="false">'Z7 Uhuru-Chapwa'!S13-'Z7 Uhuru-Chapwa'!P13*C2301/'Z7 Uhuru-Chapwa'!G13</f>
        <v>1687.24644134609</v>
      </c>
      <c r="G2301" s="51" t="n">
        <f aca="false">'Z7 Uhuru-Chapwa'!$B$8-E2301</f>
        <v>73.4200000000001</v>
      </c>
      <c r="H2301" s="52" t="n">
        <f aca="false">F2301-E2301</f>
        <v>58.3664413460906</v>
      </c>
      <c r="I2301" s="52" t="n">
        <f aca="false">MAX(H2301,G2301)</f>
        <v>73.4200000000001</v>
      </c>
      <c r="J2301" s="4" t="str">
        <f aca="false">IFERROR("PN"&amp;SMALL(PN_list,COUNTIF(PN_list,"&lt;"&amp;I2301*bar_per_m)+1),"&gt; max PN")</f>
        <v>PN10</v>
      </c>
      <c r="K2301" s="4" t="str">
        <f aca="false">IF(L2301="no","end at tank",IF(H2301&lt;0,"NEGATIVE",IF(H2301&lt;p_min-0.005,"low","OK")))</f>
        <v>OK</v>
      </c>
      <c r="L2301" s="4" t="s">
        <v>414</v>
      </c>
    </row>
    <row r="2302" customFormat="false" ht="15" hidden="false" customHeight="false" outlineLevel="0" collapsed="false">
      <c r="A2302" s="4" t="s">
        <v>46</v>
      </c>
      <c r="B2302" s="4" t="s">
        <v>395</v>
      </c>
      <c r="C2302" s="47" t="n">
        <v>494</v>
      </c>
      <c r="D2302" s="48" t="n">
        <v>1655.7</v>
      </c>
      <c r="E2302" s="49" t="n">
        <f aca="false">D2302-cover</f>
        <v>1654.5</v>
      </c>
      <c r="F2302" s="50" t="n">
        <f aca="false">'Z7 Uhuru-Chapwa'!S13-'Z7 Uhuru-Chapwa'!P13*C2302/'Z7 Uhuru-Chapwa'!G13</f>
        <v>1680.71745098204</v>
      </c>
      <c r="G2302" s="51" t="n">
        <f aca="false">'Z7 Uhuru-Chapwa'!$B$8-E2302</f>
        <v>47.8</v>
      </c>
      <c r="H2302" s="52" t="n">
        <f aca="false">F2302-E2302</f>
        <v>26.2174509820447</v>
      </c>
      <c r="I2302" s="52" t="n">
        <f aca="false">MAX(H2302,G2302)</f>
        <v>47.8</v>
      </c>
      <c r="J2302" s="4" t="str">
        <f aca="false">IFERROR("PN"&amp;SMALL(PN_list,COUNTIF(PN_list,"&lt;"&amp;I2302*bar_per_m)+1),"&gt; max PN")</f>
        <v>PN10</v>
      </c>
      <c r="K2302" s="4" t="str">
        <f aca="false">IF(L2302="no","end at tank",IF(H2302&lt;0,"NEGATIVE",IF(H2302&lt;p_min-0.005,"low","OK")))</f>
        <v>end at tank</v>
      </c>
      <c r="L2302" s="4" t="s">
        <v>413</v>
      </c>
    </row>
    <row r="2303" customFormat="false" ht="15" hidden="false" customHeight="false" outlineLevel="0" collapsed="false">
      <c r="A2303" s="4" t="s">
        <v>46</v>
      </c>
      <c r="B2303" s="4" t="s">
        <v>396</v>
      </c>
      <c r="C2303" s="47" t="n">
        <v>0</v>
      </c>
      <c r="D2303" s="48" t="n">
        <v>1630.08</v>
      </c>
      <c r="E2303" s="49" t="n">
        <f aca="false">D2303-cover</f>
        <v>1628.88</v>
      </c>
      <c r="F2303" s="50" t="n">
        <f aca="false">'Z7 Uhuru-Chapwa'!S14-'Z7 Uhuru-Chapwa'!P14*C2303/'Z7 Uhuru-Chapwa'!G14</f>
        <v>1687.24644134609</v>
      </c>
      <c r="G2303" s="51" t="n">
        <f aca="false">'Z7 Uhuru-Chapwa'!$B$8-E2303</f>
        <v>73.4200000000001</v>
      </c>
      <c r="H2303" s="52" t="n">
        <f aca="false">F2303-E2303</f>
        <v>58.3664413460906</v>
      </c>
      <c r="I2303" s="52" t="n">
        <f aca="false">MAX(H2303,G2303)</f>
        <v>73.4200000000001</v>
      </c>
      <c r="J2303" s="4" t="str">
        <f aca="false">IFERROR("PN"&amp;SMALL(PN_list,COUNTIF(PN_list,"&lt;"&amp;I2303*bar_per_m)+1),"&gt; max PN")</f>
        <v>PN10</v>
      </c>
      <c r="K2303" s="4" t="str">
        <f aca="false">IF(L2303="no","end at tank",IF(H2303&lt;0,"NEGATIVE",IF(H2303&lt;p_min-0.005,"low","OK")))</f>
        <v>OK</v>
      </c>
      <c r="L2303" s="4" t="s">
        <v>414</v>
      </c>
    </row>
    <row r="2304" customFormat="false" ht="15" hidden="false" customHeight="false" outlineLevel="0" collapsed="false">
      <c r="A2304" s="4" t="s">
        <v>46</v>
      </c>
      <c r="B2304" s="4" t="s">
        <v>396</v>
      </c>
      <c r="C2304" s="47" t="n">
        <v>50.01</v>
      </c>
      <c r="D2304" s="48" t="n">
        <v>1628.93</v>
      </c>
      <c r="E2304" s="49" t="n">
        <f aca="false">D2304-cover</f>
        <v>1627.73</v>
      </c>
      <c r="F2304" s="50" t="n">
        <f aca="false">'Z7 Uhuru-Chapwa'!S14-'Z7 Uhuru-Chapwa'!P14*C2304/'Z7 Uhuru-Chapwa'!G14</f>
        <v>1686.58548019608</v>
      </c>
      <c r="G2304" s="51" t="n">
        <f aca="false">'Z7 Uhuru-Chapwa'!$B$8-E2304</f>
        <v>74.5699999999999</v>
      </c>
      <c r="H2304" s="52" t="n">
        <f aca="false">F2304-E2304</f>
        <v>58.8554801960784</v>
      </c>
      <c r="I2304" s="52" t="n">
        <f aca="false">MAX(H2304,G2304)</f>
        <v>74.5699999999999</v>
      </c>
      <c r="J2304" s="4" t="str">
        <f aca="false">IFERROR("PN"&amp;SMALL(PN_list,COUNTIF(PN_list,"&lt;"&amp;I2304*bar_per_m)+1),"&gt; max PN")</f>
        <v>PN10</v>
      </c>
      <c r="K2304" s="4" t="str">
        <f aca="false">IF(L2304="no","end at tank",IF(H2304&lt;0,"NEGATIVE",IF(H2304&lt;p_min-0.005,"low","OK")))</f>
        <v>OK</v>
      </c>
      <c r="L2304" s="4" t="s">
        <v>414</v>
      </c>
    </row>
    <row r="2305" customFormat="false" ht="15" hidden="false" customHeight="false" outlineLevel="0" collapsed="false">
      <c r="A2305" s="4" t="s">
        <v>46</v>
      </c>
      <c r="B2305" s="4" t="s">
        <v>396</v>
      </c>
      <c r="C2305" s="47" t="n">
        <v>99.84</v>
      </c>
      <c r="D2305" s="48" t="n">
        <v>1627.22</v>
      </c>
      <c r="E2305" s="49" t="n">
        <f aca="false">D2305-cover</f>
        <v>1626.02</v>
      </c>
      <c r="F2305" s="50" t="n">
        <f aca="false">'Z7 Uhuru-Chapwa'!S14-'Z7 Uhuru-Chapwa'!P14*C2305/'Z7 Uhuru-Chapwa'!G14</f>
        <v>1685.92689803041</v>
      </c>
      <c r="G2305" s="51" t="n">
        <f aca="false">'Z7 Uhuru-Chapwa'!$B$8-E2305</f>
        <v>76.28</v>
      </c>
      <c r="H2305" s="52" t="n">
        <f aca="false">F2305-E2305</f>
        <v>59.9068980304096</v>
      </c>
      <c r="I2305" s="52" t="n">
        <f aca="false">MAX(H2305,G2305)</f>
        <v>76.28</v>
      </c>
      <c r="J2305" s="4" t="str">
        <f aca="false">IFERROR("PN"&amp;SMALL(PN_list,COUNTIF(PN_list,"&lt;"&amp;I2305*bar_per_m)+1),"&gt; max PN")</f>
        <v>PN10</v>
      </c>
      <c r="K2305" s="4" t="str">
        <f aca="false">IF(L2305="no","end at tank",IF(H2305&lt;0,"NEGATIVE",IF(H2305&lt;p_min-0.005,"low","OK")))</f>
        <v>OK</v>
      </c>
      <c r="L2305" s="4" t="s">
        <v>414</v>
      </c>
    </row>
    <row r="2306" customFormat="false" ht="15" hidden="false" customHeight="false" outlineLevel="0" collapsed="false">
      <c r="A2306" s="4" t="s">
        <v>46</v>
      </c>
      <c r="B2306" s="4" t="s">
        <v>396</v>
      </c>
      <c r="C2306" s="47" t="n">
        <v>149.86</v>
      </c>
      <c r="D2306" s="48" t="n">
        <v>1626.03</v>
      </c>
      <c r="E2306" s="49" t="n">
        <f aca="false">D2306-cover</f>
        <v>1624.83</v>
      </c>
      <c r="F2306" s="50" t="n">
        <f aca="false">'Z7 Uhuru-Chapwa'!S14-'Z7 Uhuru-Chapwa'!P14*C2306/'Z7 Uhuru-Chapwa'!G14</f>
        <v>1685.2658047146</v>
      </c>
      <c r="G2306" s="51" t="n">
        <f aca="false">'Z7 Uhuru-Chapwa'!$B$8-E2306</f>
        <v>77.47</v>
      </c>
      <c r="H2306" s="52" t="n">
        <f aca="false">F2306-E2306</f>
        <v>60.4358047146009</v>
      </c>
      <c r="I2306" s="52" t="n">
        <f aca="false">MAX(H2306,G2306)</f>
        <v>77.47</v>
      </c>
      <c r="J2306" s="4" t="str">
        <f aca="false">IFERROR("PN"&amp;SMALL(PN_list,COUNTIF(PN_list,"&lt;"&amp;I2306*bar_per_m)+1),"&gt; max PN")</f>
        <v>PN10</v>
      </c>
      <c r="K2306" s="4" t="str">
        <f aca="false">IF(L2306="no","end at tank",IF(H2306&lt;0,"NEGATIVE",IF(H2306&lt;p_min-0.005,"low","OK")))</f>
        <v>OK</v>
      </c>
      <c r="L2306" s="4" t="s">
        <v>414</v>
      </c>
    </row>
    <row r="2307" customFormat="false" ht="15" hidden="false" customHeight="false" outlineLevel="0" collapsed="false">
      <c r="A2307" s="4" t="s">
        <v>46</v>
      </c>
      <c r="B2307" s="4" t="s">
        <v>396</v>
      </c>
      <c r="C2307" s="47" t="n">
        <v>199.89</v>
      </c>
      <c r="D2307" s="48" t="n">
        <v>1626.06</v>
      </c>
      <c r="E2307" s="49" t="n">
        <f aca="false">D2307-cover</f>
        <v>1624.86</v>
      </c>
      <c r="F2307" s="50" t="n">
        <f aca="false">'Z7 Uhuru-Chapwa'!S14-'Z7 Uhuru-Chapwa'!P14*C2307/'Z7 Uhuru-Chapwa'!G14</f>
        <v>1684.604579233</v>
      </c>
      <c r="G2307" s="51" t="n">
        <f aca="false">'Z7 Uhuru-Chapwa'!$B$8-E2307</f>
        <v>77.4400000000001</v>
      </c>
      <c r="H2307" s="52" t="n">
        <f aca="false">F2307-E2307</f>
        <v>59.7445792329952</v>
      </c>
      <c r="I2307" s="52" t="n">
        <f aca="false">MAX(H2307,G2307)</f>
        <v>77.4400000000001</v>
      </c>
      <c r="J2307" s="4" t="str">
        <f aca="false">IFERROR("PN"&amp;SMALL(PN_list,COUNTIF(PN_list,"&lt;"&amp;I2307*bar_per_m)+1),"&gt; max PN")</f>
        <v>PN10</v>
      </c>
      <c r="K2307" s="4" t="str">
        <f aca="false">IF(L2307="no","end at tank",IF(H2307&lt;0,"NEGATIVE",IF(H2307&lt;p_min-0.005,"low","OK")))</f>
        <v>OK</v>
      </c>
      <c r="L2307" s="4" t="s">
        <v>414</v>
      </c>
    </row>
    <row r="2308" customFormat="false" ht="15" hidden="false" customHeight="false" outlineLevel="0" collapsed="false">
      <c r="A2308" s="4" t="s">
        <v>46</v>
      </c>
      <c r="B2308" s="4" t="s">
        <v>396</v>
      </c>
      <c r="C2308" s="47" t="n">
        <v>250.23</v>
      </c>
      <c r="D2308" s="48" t="n">
        <v>1625.26</v>
      </c>
      <c r="E2308" s="49" t="n">
        <f aca="false">D2308-cover</f>
        <v>1624.06</v>
      </c>
      <c r="F2308" s="50" t="n">
        <f aca="false">'Z7 Uhuru-Chapwa'!S14-'Z7 Uhuru-Chapwa'!P14*C2308/'Z7 Uhuru-Chapwa'!G14</f>
        <v>1683.93925661169</v>
      </c>
      <c r="G2308" s="51" t="n">
        <f aca="false">'Z7 Uhuru-Chapwa'!$B$8-E2308</f>
        <v>78.24</v>
      </c>
      <c r="H2308" s="52" t="n">
        <f aca="false">F2308-E2308</f>
        <v>59.8792566116874</v>
      </c>
      <c r="I2308" s="52" t="n">
        <f aca="false">MAX(H2308,G2308)</f>
        <v>78.24</v>
      </c>
      <c r="J2308" s="4" t="str">
        <f aca="false">IFERROR("PN"&amp;SMALL(PN_list,COUNTIF(PN_list,"&lt;"&amp;I2308*bar_per_m)+1),"&gt; max PN")</f>
        <v>PN10</v>
      </c>
      <c r="K2308" s="4" t="str">
        <f aca="false">IF(L2308="no","end at tank",IF(H2308&lt;0,"NEGATIVE",IF(H2308&lt;p_min-0.005,"low","OK")))</f>
        <v>OK</v>
      </c>
      <c r="L2308" s="4" t="s">
        <v>414</v>
      </c>
    </row>
    <row r="2309" customFormat="false" ht="15" hidden="false" customHeight="false" outlineLevel="0" collapsed="false">
      <c r="A2309" s="4" t="s">
        <v>46</v>
      </c>
      <c r="B2309" s="4" t="s">
        <v>396</v>
      </c>
      <c r="C2309" s="47" t="n">
        <v>300.54</v>
      </c>
      <c r="D2309" s="48" t="n">
        <v>1621.68</v>
      </c>
      <c r="E2309" s="49" t="n">
        <f aca="false">D2309-cover</f>
        <v>1620.48</v>
      </c>
      <c r="F2309" s="50" t="n">
        <f aca="false">'Z7 Uhuru-Chapwa'!S14-'Z7 Uhuru-Chapwa'!P14*C2309/'Z7 Uhuru-Chapwa'!G14</f>
        <v>1683.27433048777</v>
      </c>
      <c r="G2309" s="51" t="n">
        <f aca="false">'Z7 Uhuru-Chapwa'!$B$8-E2309</f>
        <v>81.8199999999999</v>
      </c>
      <c r="H2309" s="52" t="n">
        <f aca="false">F2309-E2309</f>
        <v>62.7943304877701</v>
      </c>
      <c r="I2309" s="52" t="n">
        <f aca="false">MAX(H2309,G2309)</f>
        <v>81.8199999999999</v>
      </c>
      <c r="J2309" s="4" t="str">
        <f aca="false">IFERROR("PN"&amp;SMALL(PN_list,COUNTIF(PN_list,"&lt;"&amp;I2309*bar_per_m)+1),"&gt; max PN")</f>
        <v>PN10</v>
      </c>
      <c r="K2309" s="4" t="str">
        <f aca="false">IF(L2309="no","end at tank",IF(H2309&lt;0,"NEGATIVE",IF(H2309&lt;p_min-0.005,"low","OK")))</f>
        <v>OK</v>
      </c>
      <c r="L2309" s="4" t="s">
        <v>414</v>
      </c>
    </row>
    <row r="2310" customFormat="false" ht="15" hidden="false" customHeight="false" outlineLevel="0" collapsed="false">
      <c r="A2310" s="4" t="s">
        <v>46</v>
      </c>
      <c r="B2310" s="4" t="s">
        <v>396</v>
      </c>
      <c r="C2310" s="47" t="n">
        <v>350.54</v>
      </c>
      <c r="D2310" s="48" t="n">
        <v>1619.86</v>
      </c>
      <c r="E2310" s="49" t="n">
        <f aca="false">D2310-cover</f>
        <v>1618.66</v>
      </c>
      <c r="F2310" s="50" t="n">
        <f aca="false">'Z7 Uhuru-Chapwa'!S14-'Z7 Uhuru-Chapwa'!P14*C2310/'Z7 Uhuru-Chapwa'!G14</f>
        <v>1682.61350150356</v>
      </c>
      <c r="G2310" s="51" t="n">
        <f aca="false">'Z7 Uhuru-Chapwa'!$B$8-E2310</f>
        <v>83.6400000000001</v>
      </c>
      <c r="H2310" s="52" t="n">
        <f aca="false">F2310-E2310</f>
        <v>63.9535015035551</v>
      </c>
      <c r="I2310" s="52" t="n">
        <f aca="false">MAX(H2310,G2310)</f>
        <v>83.6400000000001</v>
      </c>
      <c r="J2310" s="4" t="str">
        <f aca="false">IFERROR("PN"&amp;SMALL(PN_list,COUNTIF(PN_list,"&lt;"&amp;I2310*bar_per_m)+1),"&gt; max PN")</f>
        <v>PN10</v>
      </c>
      <c r="K2310" s="4" t="str">
        <f aca="false">IF(L2310="no","end at tank",IF(H2310&lt;0,"NEGATIVE",IF(H2310&lt;p_min-0.005,"low","OK")))</f>
        <v>OK</v>
      </c>
      <c r="L2310" s="4" t="s">
        <v>414</v>
      </c>
    </row>
    <row r="2311" customFormat="false" ht="15" hidden="false" customHeight="false" outlineLevel="0" collapsed="false">
      <c r="A2311" s="4" t="s">
        <v>46</v>
      </c>
      <c r="B2311" s="4" t="s">
        <v>396</v>
      </c>
      <c r="C2311" s="47" t="n">
        <v>400.8</v>
      </c>
      <c r="D2311" s="48" t="n">
        <v>1616.72</v>
      </c>
      <c r="E2311" s="49" t="n">
        <f aca="false">D2311-cover</f>
        <v>1615.52</v>
      </c>
      <c r="F2311" s="50" t="n">
        <f aca="false">'Z7 Uhuru-Chapwa'!S14-'Z7 Uhuru-Chapwa'!P14*C2311/'Z7 Uhuru-Chapwa'!G14</f>
        <v>1681.94923620862</v>
      </c>
      <c r="G2311" s="51" t="n">
        <f aca="false">'Z7 Uhuru-Chapwa'!$B$8-E2311</f>
        <v>86.78</v>
      </c>
      <c r="H2311" s="52" t="n">
        <f aca="false">F2311-E2311</f>
        <v>66.4292362086219</v>
      </c>
      <c r="I2311" s="52" t="n">
        <f aca="false">MAX(H2311,G2311)</f>
        <v>86.78</v>
      </c>
      <c r="J2311" s="4" t="str">
        <f aca="false">IFERROR("PN"&amp;SMALL(PN_list,COUNTIF(PN_list,"&lt;"&amp;I2311*bar_per_m)+1),"&gt; max PN")</f>
        <v>PN10</v>
      </c>
      <c r="K2311" s="4" t="str">
        <f aca="false">IF(L2311="no","end at tank",IF(H2311&lt;0,"NEGATIVE",IF(H2311&lt;p_min-0.005,"low","OK")))</f>
        <v>OK</v>
      </c>
      <c r="L2311" s="4" t="s">
        <v>414</v>
      </c>
    </row>
    <row r="2312" customFormat="false" ht="15" hidden="false" customHeight="false" outlineLevel="0" collapsed="false">
      <c r="A2312" s="4" t="s">
        <v>46</v>
      </c>
      <c r="B2312" s="4" t="s">
        <v>396</v>
      </c>
      <c r="C2312" s="47" t="n">
        <v>451.07</v>
      </c>
      <c r="D2312" s="48" t="n">
        <v>1613.61</v>
      </c>
      <c r="E2312" s="49" t="n">
        <f aca="false">D2312-cover</f>
        <v>1612.41</v>
      </c>
      <c r="F2312" s="50" t="n">
        <f aca="false">'Z7 Uhuru-Chapwa'!S14-'Z7 Uhuru-Chapwa'!P14*C2312/'Z7 Uhuru-Chapwa'!G14</f>
        <v>1681.28483874789</v>
      </c>
      <c r="G2312" s="51" t="n">
        <f aca="false">'Z7 Uhuru-Chapwa'!$B$8-E2312</f>
        <v>89.8900000000001</v>
      </c>
      <c r="H2312" s="52" t="n">
        <f aca="false">F2312-E2312</f>
        <v>68.874838747892</v>
      </c>
      <c r="I2312" s="52" t="n">
        <f aca="false">MAX(H2312,G2312)</f>
        <v>89.8900000000001</v>
      </c>
      <c r="J2312" s="4" t="str">
        <f aca="false">IFERROR("PN"&amp;SMALL(PN_list,COUNTIF(PN_list,"&lt;"&amp;I2312*bar_per_m)+1),"&gt; max PN")</f>
        <v>PN10</v>
      </c>
      <c r="K2312" s="4" t="str">
        <f aca="false">IF(L2312="no","end at tank",IF(H2312&lt;0,"NEGATIVE",IF(H2312&lt;p_min-0.005,"low","OK")))</f>
        <v>OK</v>
      </c>
      <c r="L2312" s="4" t="s">
        <v>414</v>
      </c>
    </row>
    <row r="2313" customFormat="false" ht="15" hidden="false" customHeight="false" outlineLevel="0" collapsed="false">
      <c r="A2313" s="4" t="s">
        <v>46</v>
      </c>
      <c r="B2313" s="4" t="s">
        <v>396</v>
      </c>
      <c r="C2313" s="47" t="n">
        <v>501.19</v>
      </c>
      <c r="D2313" s="48" t="n">
        <v>1610.18</v>
      </c>
      <c r="E2313" s="49" t="n">
        <f aca="false">D2313-cover</f>
        <v>1608.98</v>
      </c>
      <c r="F2313" s="50" t="n">
        <f aca="false">'Z7 Uhuru-Chapwa'!S14-'Z7 Uhuru-Chapwa'!P14*C2313/'Z7 Uhuru-Chapwa'!G14</f>
        <v>1680.62242377411</v>
      </c>
      <c r="G2313" s="51" t="n">
        <f aca="false">'Z7 Uhuru-Chapwa'!$B$8-E2313</f>
        <v>93.3199999999999</v>
      </c>
      <c r="H2313" s="52" t="n">
        <f aca="false">F2313-E2313</f>
        <v>71.6424237741146</v>
      </c>
      <c r="I2313" s="52" t="n">
        <f aca="false">MAX(H2313,G2313)</f>
        <v>93.3199999999999</v>
      </c>
      <c r="J2313" s="4" t="str">
        <f aca="false">IFERROR("PN"&amp;SMALL(PN_list,COUNTIF(PN_list,"&lt;"&amp;I2313*bar_per_m)+1),"&gt; max PN")</f>
        <v>PN10</v>
      </c>
      <c r="K2313" s="4" t="str">
        <f aca="false">IF(L2313="no","end at tank",IF(H2313&lt;0,"NEGATIVE",IF(H2313&lt;p_min-0.005,"low","OK")))</f>
        <v>OK</v>
      </c>
      <c r="L2313" s="4" t="s">
        <v>414</v>
      </c>
    </row>
    <row r="2314" customFormat="false" ht="15" hidden="false" customHeight="false" outlineLevel="0" collapsed="false">
      <c r="A2314" s="4" t="s">
        <v>46</v>
      </c>
      <c r="B2314" s="4" t="s">
        <v>396</v>
      </c>
      <c r="C2314" s="47" t="n">
        <v>550.84</v>
      </c>
      <c r="D2314" s="48" t="n">
        <v>1606.37</v>
      </c>
      <c r="E2314" s="49" t="n">
        <f aca="false">D2314-cover</f>
        <v>1605.17</v>
      </c>
      <c r="F2314" s="50" t="n">
        <f aca="false">'Z7 Uhuru-Chapwa'!S14-'Z7 Uhuru-Chapwa'!P14*C2314/'Z7 Uhuru-Chapwa'!G14</f>
        <v>1679.96622059279</v>
      </c>
      <c r="G2314" s="51" t="n">
        <f aca="false">'Z7 Uhuru-Chapwa'!$B$8-E2314</f>
        <v>97.1300000000001</v>
      </c>
      <c r="H2314" s="52" t="n">
        <f aca="false">F2314-E2314</f>
        <v>74.7962205927893</v>
      </c>
      <c r="I2314" s="52" t="n">
        <f aca="false">MAX(H2314,G2314)</f>
        <v>97.1300000000001</v>
      </c>
      <c r="J2314" s="4" t="str">
        <f aca="false">IFERROR("PN"&amp;SMALL(PN_list,COUNTIF(PN_list,"&lt;"&amp;I2314*bar_per_m)+1),"&gt; max PN")</f>
        <v>PN10</v>
      </c>
      <c r="K2314" s="4" t="str">
        <f aca="false">IF(L2314="no","end at tank",IF(H2314&lt;0,"NEGATIVE",IF(H2314&lt;p_min-0.005,"low","OK")))</f>
        <v>OK</v>
      </c>
      <c r="L2314" s="4" t="s">
        <v>414</v>
      </c>
    </row>
    <row r="2315" customFormat="false" ht="15" hidden="false" customHeight="false" outlineLevel="0" collapsed="false">
      <c r="A2315" s="4" t="s">
        <v>46</v>
      </c>
      <c r="B2315" s="4" t="s">
        <v>396</v>
      </c>
      <c r="C2315" s="47" t="n">
        <v>599.18</v>
      </c>
      <c r="D2315" s="48" t="n">
        <v>1602.64</v>
      </c>
      <c r="E2315" s="49" t="n">
        <f aca="false">D2315-cover</f>
        <v>1601.44</v>
      </c>
      <c r="F2315" s="50" t="n">
        <f aca="false">'Z7 Uhuru-Chapwa'!S14-'Z7 Uhuru-Chapwa'!P14*C2315/'Z7 Uhuru-Chapwa'!G14</f>
        <v>1679.32733113085</v>
      </c>
      <c r="G2315" s="51" t="n">
        <f aca="false">'Z7 Uhuru-Chapwa'!$B$8-E2315</f>
        <v>100.86</v>
      </c>
      <c r="H2315" s="52" t="n">
        <f aca="false">F2315-E2315</f>
        <v>77.8873311308498</v>
      </c>
      <c r="I2315" s="52" t="n">
        <f aca="false">MAX(H2315,G2315)</f>
        <v>100.86</v>
      </c>
      <c r="J2315" s="4" t="str">
        <f aca="false">IFERROR("PN"&amp;SMALL(PN_list,COUNTIF(PN_list,"&lt;"&amp;I2315*bar_per_m)+1),"&gt; max PN")</f>
        <v>PN10</v>
      </c>
      <c r="K2315" s="4" t="str">
        <f aca="false">IF(L2315="no","end at tank",IF(H2315&lt;0,"NEGATIVE",IF(H2315&lt;p_min-0.005,"low","OK")))</f>
        <v>OK</v>
      </c>
      <c r="L2315" s="4" t="s">
        <v>414</v>
      </c>
    </row>
    <row r="2316" customFormat="false" ht="15" hidden="false" customHeight="false" outlineLevel="0" collapsed="false">
      <c r="A2316" s="4" t="s">
        <v>46</v>
      </c>
      <c r="B2316" s="4" t="s">
        <v>396</v>
      </c>
      <c r="C2316" s="47" t="n">
        <v>646.43</v>
      </c>
      <c r="D2316" s="48" t="n">
        <v>1599.82</v>
      </c>
      <c r="E2316" s="49" t="n">
        <f aca="false">D2316-cover</f>
        <v>1598.62</v>
      </c>
      <c r="F2316" s="50" t="n">
        <f aca="false">'Z7 Uhuru-Chapwa'!S14-'Z7 Uhuru-Chapwa'!P14*C2316/'Z7 Uhuru-Chapwa'!G14</f>
        <v>1678.70284774077</v>
      </c>
      <c r="G2316" s="51" t="n">
        <f aca="false">'Z7 Uhuru-Chapwa'!$B$8-E2316</f>
        <v>103.68</v>
      </c>
      <c r="H2316" s="52" t="n">
        <f aca="false">F2316-E2316</f>
        <v>80.0828477407665</v>
      </c>
      <c r="I2316" s="52" t="n">
        <f aca="false">MAX(H2316,G2316)</f>
        <v>103.68</v>
      </c>
      <c r="J2316" s="4" t="str">
        <f aca="false">IFERROR("PN"&amp;SMALL(PN_list,COUNTIF(PN_list,"&lt;"&amp;I2316*bar_per_m)+1),"&gt; max PN")</f>
        <v>PN16</v>
      </c>
      <c r="K2316" s="4" t="str">
        <f aca="false">IF(L2316="no","end at tank",IF(H2316&lt;0,"NEGATIVE",IF(H2316&lt;p_min-0.005,"low","OK")))</f>
        <v>OK</v>
      </c>
      <c r="L2316" s="4" t="s">
        <v>414</v>
      </c>
    </row>
    <row r="2317" customFormat="false" ht="15" hidden="false" customHeight="false" outlineLevel="0" collapsed="false">
      <c r="A2317" s="4" t="s">
        <v>46</v>
      </c>
      <c r="B2317" s="4" t="s">
        <v>396</v>
      </c>
      <c r="C2317" s="47" t="n">
        <v>696.82</v>
      </c>
      <c r="D2317" s="48" t="n">
        <v>1595.87</v>
      </c>
      <c r="E2317" s="49" t="n">
        <f aca="false">D2317-cover</f>
        <v>1594.67</v>
      </c>
      <c r="F2317" s="50" t="n">
        <f aca="false">'Z7 Uhuru-Chapwa'!S14-'Z7 Uhuru-Chapwa'!P14*C2317/'Z7 Uhuru-Chapwa'!G14</f>
        <v>1678.03686429047</v>
      </c>
      <c r="G2317" s="51" t="n">
        <f aca="false">'Z7 Uhuru-Chapwa'!$B$8-E2317</f>
        <v>107.63</v>
      </c>
      <c r="H2317" s="52" t="n">
        <f aca="false">F2317-E2317</f>
        <v>83.3668642904747</v>
      </c>
      <c r="I2317" s="52" t="n">
        <f aca="false">MAX(H2317,G2317)</f>
        <v>107.63</v>
      </c>
      <c r="J2317" s="4" t="str">
        <f aca="false">IFERROR("PN"&amp;SMALL(PN_list,COUNTIF(PN_list,"&lt;"&amp;I2317*bar_per_m)+1),"&gt; max PN")</f>
        <v>PN16</v>
      </c>
      <c r="K2317" s="4" t="str">
        <f aca="false">IF(L2317="no","end at tank",IF(H2317&lt;0,"NEGATIVE",IF(H2317&lt;p_min-0.005,"low","OK")))</f>
        <v>OK</v>
      </c>
      <c r="L2317" s="4" t="s">
        <v>414</v>
      </c>
    </row>
    <row r="2318" customFormat="false" ht="15" hidden="false" customHeight="false" outlineLevel="0" collapsed="false">
      <c r="A2318" s="4" t="s">
        <v>46</v>
      </c>
      <c r="B2318" s="4" t="s">
        <v>396</v>
      </c>
      <c r="C2318" s="47" t="n">
        <v>746.46</v>
      </c>
      <c r="D2318" s="48" t="n">
        <v>1592.46</v>
      </c>
      <c r="E2318" s="49" t="n">
        <f aca="false">D2318-cover</f>
        <v>1591.26</v>
      </c>
      <c r="F2318" s="50" t="n">
        <f aca="false">'Z7 Uhuru-Chapwa'!S14-'Z7 Uhuru-Chapwa'!P14*C2318/'Z7 Uhuru-Chapwa'!G14</f>
        <v>1677.38079327495</v>
      </c>
      <c r="G2318" s="51" t="n">
        <f aca="false">'Z7 Uhuru-Chapwa'!$B$8-E2318</f>
        <v>111.04</v>
      </c>
      <c r="H2318" s="52" t="n">
        <f aca="false">F2318-E2318</f>
        <v>86.1207932749458</v>
      </c>
      <c r="I2318" s="52" t="n">
        <f aca="false">MAX(H2318,G2318)</f>
        <v>111.04</v>
      </c>
      <c r="J2318" s="4" t="str">
        <f aca="false">IFERROR("PN"&amp;SMALL(PN_list,COUNTIF(PN_list,"&lt;"&amp;I2318*bar_per_m)+1),"&gt; max PN")</f>
        <v>PN16</v>
      </c>
      <c r="K2318" s="4" t="str">
        <f aca="false">IF(L2318="no","end at tank",IF(H2318&lt;0,"NEGATIVE",IF(H2318&lt;p_min-0.005,"low","OK")))</f>
        <v>OK</v>
      </c>
      <c r="L2318" s="4" t="s">
        <v>414</v>
      </c>
    </row>
    <row r="2319" customFormat="false" ht="15" hidden="false" customHeight="false" outlineLevel="0" collapsed="false">
      <c r="A2319" s="4" t="s">
        <v>46</v>
      </c>
      <c r="B2319" s="4" t="s">
        <v>396</v>
      </c>
      <c r="C2319" s="47" t="n">
        <v>795.94</v>
      </c>
      <c r="D2319" s="48" t="n">
        <v>1590.45</v>
      </c>
      <c r="E2319" s="49" t="n">
        <f aca="false">D2319-cover</f>
        <v>1589.25</v>
      </c>
      <c r="F2319" s="50" t="n">
        <f aca="false">'Z7 Uhuru-Chapwa'!S14-'Z7 Uhuru-Chapwa'!P14*C2319/'Z7 Uhuru-Chapwa'!G14</f>
        <v>1676.72683691217</v>
      </c>
      <c r="G2319" s="51" t="n">
        <f aca="false">'Z7 Uhuru-Chapwa'!$B$8-E2319</f>
        <v>113.05</v>
      </c>
      <c r="H2319" s="52" t="n">
        <f aca="false">F2319-E2319</f>
        <v>87.4768369121664</v>
      </c>
      <c r="I2319" s="52" t="n">
        <f aca="false">MAX(H2319,G2319)</f>
        <v>113.05</v>
      </c>
      <c r="J2319" s="4" t="str">
        <f aca="false">IFERROR("PN"&amp;SMALL(PN_list,COUNTIF(PN_list,"&lt;"&amp;I2319*bar_per_m)+1),"&gt; max PN")</f>
        <v>PN16</v>
      </c>
      <c r="K2319" s="4" t="str">
        <f aca="false">IF(L2319="no","end at tank",IF(H2319&lt;0,"NEGATIVE",IF(H2319&lt;p_min-0.005,"low","OK")))</f>
        <v>OK</v>
      </c>
      <c r="L2319" s="4" t="s">
        <v>414</v>
      </c>
    </row>
    <row r="2320" customFormat="false" ht="15" hidden="false" customHeight="false" outlineLevel="0" collapsed="false">
      <c r="A2320" s="4" t="s">
        <v>46</v>
      </c>
      <c r="B2320" s="4" t="s">
        <v>396</v>
      </c>
      <c r="C2320" s="47" t="n">
        <v>845.96</v>
      </c>
      <c r="D2320" s="48" t="n">
        <v>1586.91</v>
      </c>
      <c r="E2320" s="49" t="n">
        <f aca="false">D2320-cover</f>
        <v>1585.71</v>
      </c>
      <c r="F2320" s="50" t="n">
        <f aca="false">'Z7 Uhuru-Chapwa'!S14-'Z7 Uhuru-Chapwa'!P14*C2320/'Z7 Uhuru-Chapwa'!G14</f>
        <v>1676.06574359636</v>
      </c>
      <c r="G2320" s="51" t="n">
        <f aca="false">'Z7 Uhuru-Chapwa'!$B$8-E2320</f>
        <v>116.59</v>
      </c>
      <c r="H2320" s="52" t="n">
        <f aca="false">F2320-E2320</f>
        <v>90.3557435963576</v>
      </c>
      <c r="I2320" s="52" t="n">
        <f aca="false">MAX(H2320,G2320)</f>
        <v>116.59</v>
      </c>
      <c r="J2320" s="4" t="str">
        <f aca="false">IFERROR("PN"&amp;SMALL(PN_list,COUNTIF(PN_list,"&lt;"&amp;I2320*bar_per_m)+1),"&gt; max PN")</f>
        <v>PN16</v>
      </c>
      <c r="K2320" s="4" t="str">
        <f aca="false">IF(L2320="no","end at tank",IF(H2320&lt;0,"NEGATIVE",IF(H2320&lt;p_min-0.005,"low","OK")))</f>
        <v>OK</v>
      </c>
      <c r="L2320" s="4" t="s">
        <v>414</v>
      </c>
    </row>
    <row r="2321" customFormat="false" ht="15" hidden="false" customHeight="false" outlineLevel="0" collapsed="false">
      <c r="A2321" s="4" t="s">
        <v>46</v>
      </c>
      <c r="B2321" s="4" t="s">
        <v>396</v>
      </c>
      <c r="C2321" s="47" t="n">
        <v>895.93</v>
      </c>
      <c r="D2321" s="48" t="n">
        <v>1584.03</v>
      </c>
      <c r="E2321" s="49" t="n">
        <f aca="false">D2321-cover</f>
        <v>1582.83</v>
      </c>
      <c r="F2321" s="50" t="n">
        <f aca="false">'Z7 Uhuru-Chapwa'!S14-'Z7 Uhuru-Chapwa'!P14*C2321/'Z7 Uhuru-Chapwa'!G14</f>
        <v>1675.40531110953</v>
      </c>
      <c r="G2321" s="51" t="n">
        <f aca="false">'Z7 Uhuru-Chapwa'!$B$8-E2321</f>
        <v>119.47</v>
      </c>
      <c r="H2321" s="52" t="n">
        <f aca="false">F2321-E2321</f>
        <v>92.575311109533</v>
      </c>
      <c r="I2321" s="52" t="n">
        <f aca="false">MAX(H2321,G2321)</f>
        <v>119.47</v>
      </c>
      <c r="J2321" s="4" t="str">
        <f aca="false">IFERROR("PN"&amp;SMALL(PN_list,COUNTIF(PN_list,"&lt;"&amp;I2321*bar_per_m)+1),"&gt; max PN")</f>
        <v>PN16</v>
      </c>
      <c r="K2321" s="4" t="str">
        <f aca="false">IF(L2321="no","end at tank",IF(H2321&lt;0,"NEGATIVE",IF(H2321&lt;p_min-0.005,"low","OK")))</f>
        <v>OK</v>
      </c>
      <c r="L2321" s="4" t="s">
        <v>414</v>
      </c>
    </row>
    <row r="2322" customFormat="false" ht="15" hidden="false" customHeight="false" outlineLevel="0" collapsed="false">
      <c r="A2322" s="4" t="s">
        <v>46</v>
      </c>
      <c r="B2322" s="4" t="s">
        <v>396</v>
      </c>
      <c r="C2322" s="47" t="n">
        <v>946</v>
      </c>
      <c r="D2322" s="48" t="n">
        <v>1581.45</v>
      </c>
      <c r="E2322" s="49" t="n">
        <f aca="false">D2322-cover</f>
        <v>1580.25</v>
      </c>
      <c r="F2322" s="50" t="n">
        <f aca="false">'Z7 Uhuru-Chapwa'!S14-'Z7 Uhuru-Chapwa'!P14*C2322/'Z7 Uhuru-Chapwa'!G14</f>
        <v>1674.74355696474</v>
      </c>
      <c r="G2322" s="51" t="n">
        <f aca="false">'Z7 Uhuru-Chapwa'!$B$8-E2322</f>
        <v>122.05</v>
      </c>
      <c r="H2322" s="52" t="n">
        <f aca="false">F2322-E2322</f>
        <v>94.4935569647398</v>
      </c>
      <c r="I2322" s="52" t="n">
        <f aca="false">MAX(H2322,G2322)</f>
        <v>122.05</v>
      </c>
      <c r="J2322" s="4" t="str">
        <f aca="false">IFERROR("PN"&amp;SMALL(PN_list,COUNTIF(PN_list,"&lt;"&amp;I2322*bar_per_m)+1),"&gt; max PN")</f>
        <v>PN16</v>
      </c>
      <c r="K2322" s="4" t="str">
        <f aca="false">IF(L2322="no","end at tank",IF(H2322&lt;0,"NEGATIVE",IF(H2322&lt;p_min-0.005,"low","OK")))</f>
        <v>OK</v>
      </c>
      <c r="L2322" s="4" t="s">
        <v>414</v>
      </c>
    </row>
    <row r="2323" customFormat="false" ht="15" hidden="false" customHeight="false" outlineLevel="0" collapsed="false">
      <c r="A2323" s="4" t="s">
        <v>46</v>
      </c>
      <c r="B2323" s="4" t="s">
        <v>396</v>
      </c>
      <c r="C2323" s="47" t="n">
        <v>994.92</v>
      </c>
      <c r="D2323" s="48" t="n">
        <v>1578.02</v>
      </c>
      <c r="E2323" s="49" t="n">
        <f aca="false">D2323-cover</f>
        <v>1576.82</v>
      </c>
      <c r="F2323" s="50" t="n">
        <f aca="false">'Z7 Uhuru-Chapwa'!S14-'Z7 Uhuru-Chapwa'!P14*C2323/'Z7 Uhuru-Chapwa'!G14</f>
        <v>1674.09700188658</v>
      </c>
      <c r="G2323" s="51" t="n">
        <f aca="false">'Z7 Uhuru-Chapwa'!$B$8-E2323</f>
        <v>125.48</v>
      </c>
      <c r="H2323" s="52" t="n">
        <f aca="false">F2323-E2323</f>
        <v>97.2770018865838</v>
      </c>
      <c r="I2323" s="52" t="n">
        <f aca="false">MAX(H2323,G2323)</f>
        <v>125.48</v>
      </c>
      <c r="J2323" s="4" t="str">
        <f aca="false">IFERROR("PN"&amp;SMALL(PN_list,COUNTIF(PN_list,"&lt;"&amp;I2323*bar_per_m)+1),"&gt; max PN")</f>
        <v>PN16</v>
      </c>
      <c r="K2323" s="4" t="str">
        <f aca="false">IF(L2323="no","end at tank",IF(H2323&lt;0,"NEGATIVE",IF(H2323&lt;p_min-0.005,"low","OK")))</f>
        <v>OK</v>
      </c>
      <c r="L2323" s="4" t="s">
        <v>414</v>
      </c>
    </row>
    <row r="2324" customFormat="false" ht="15" hidden="false" customHeight="false" outlineLevel="0" collapsed="false">
      <c r="A2324" s="4" t="s">
        <v>46</v>
      </c>
      <c r="B2324" s="4" t="s">
        <v>396</v>
      </c>
      <c r="C2324" s="47" t="n">
        <v>1044.57</v>
      </c>
      <c r="D2324" s="48" t="n">
        <v>1575.98</v>
      </c>
      <c r="E2324" s="49" t="n">
        <f aca="false">D2324-cover</f>
        <v>1574.78</v>
      </c>
      <c r="F2324" s="50" t="n">
        <f aca="false">'Z7 Uhuru-Chapwa'!S14-'Z7 Uhuru-Chapwa'!P14*C2324/'Z7 Uhuru-Chapwa'!G14</f>
        <v>1673.44079870526</v>
      </c>
      <c r="G2324" s="51" t="n">
        <f aca="false">'Z7 Uhuru-Chapwa'!$B$8-E2324</f>
        <v>127.52</v>
      </c>
      <c r="H2324" s="52" t="n">
        <f aca="false">F2324-E2324</f>
        <v>98.6607987052582</v>
      </c>
      <c r="I2324" s="52" t="n">
        <f aca="false">MAX(H2324,G2324)</f>
        <v>127.52</v>
      </c>
      <c r="J2324" s="4" t="str">
        <f aca="false">IFERROR("PN"&amp;SMALL(PN_list,COUNTIF(PN_list,"&lt;"&amp;I2324*bar_per_m)+1),"&gt; max PN")</f>
        <v>PN16</v>
      </c>
      <c r="K2324" s="4" t="str">
        <f aca="false">IF(L2324="no","end at tank",IF(H2324&lt;0,"NEGATIVE",IF(H2324&lt;p_min-0.005,"low","OK")))</f>
        <v>OK</v>
      </c>
      <c r="L2324" s="4" t="s">
        <v>414</v>
      </c>
    </row>
    <row r="2325" customFormat="false" ht="15" hidden="false" customHeight="false" outlineLevel="0" collapsed="false">
      <c r="A2325" s="4" t="s">
        <v>46</v>
      </c>
      <c r="B2325" s="4" t="s">
        <v>396</v>
      </c>
      <c r="C2325" s="47" t="n">
        <v>1093.79</v>
      </c>
      <c r="D2325" s="48" t="n">
        <v>1571.53</v>
      </c>
      <c r="E2325" s="49" t="n">
        <f aca="false">D2325-cover</f>
        <v>1570.33</v>
      </c>
      <c r="F2325" s="50" t="n">
        <f aca="false">'Z7 Uhuru-Chapwa'!S14-'Z7 Uhuru-Chapwa'!P14*C2325/'Z7 Uhuru-Chapwa'!G14</f>
        <v>1672.7902786532</v>
      </c>
      <c r="G2325" s="51" t="n">
        <f aca="false">'Z7 Uhuru-Chapwa'!$B$8-E2325</f>
        <v>131.97</v>
      </c>
      <c r="H2325" s="52" t="n">
        <f aca="false">F2325-E2325</f>
        <v>102.460278653197</v>
      </c>
      <c r="I2325" s="52" t="n">
        <f aca="false">MAX(H2325,G2325)</f>
        <v>131.97</v>
      </c>
      <c r="J2325" s="4" t="str">
        <f aca="false">IFERROR("PN"&amp;SMALL(PN_list,COUNTIF(PN_list,"&lt;"&amp;I2325*bar_per_m)+1),"&gt; max PN")</f>
        <v>PN16</v>
      </c>
      <c r="K2325" s="4" t="str">
        <f aca="false">IF(L2325="no","end at tank",IF(H2325&lt;0,"NEGATIVE",IF(H2325&lt;p_min-0.005,"low","OK")))</f>
        <v>OK</v>
      </c>
      <c r="L2325" s="4" t="s">
        <v>414</v>
      </c>
    </row>
    <row r="2326" customFormat="false" ht="15" hidden="false" customHeight="false" outlineLevel="0" collapsed="false">
      <c r="A2326" s="4" t="s">
        <v>46</v>
      </c>
      <c r="B2326" s="4" t="s">
        <v>396</v>
      </c>
      <c r="C2326" s="47" t="n">
        <v>1143.99</v>
      </c>
      <c r="D2326" s="48" t="n">
        <v>1568.19</v>
      </c>
      <c r="E2326" s="49" t="n">
        <f aca="false">D2326-cover</f>
        <v>1566.99</v>
      </c>
      <c r="F2326" s="50" t="n">
        <f aca="false">'Z7 Uhuru-Chapwa'!S14-'Z7 Uhuru-Chapwa'!P14*C2326/'Z7 Uhuru-Chapwa'!G14</f>
        <v>1672.12680635304</v>
      </c>
      <c r="G2326" s="51" t="n">
        <f aca="false">'Z7 Uhuru-Chapwa'!$B$8-E2326</f>
        <v>135.31</v>
      </c>
      <c r="H2326" s="52" t="n">
        <f aca="false">F2326-E2326</f>
        <v>105.136806353045</v>
      </c>
      <c r="I2326" s="52" t="n">
        <f aca="false">MAX(H2326,G2326)</f>
        <v>135.31</v>
      </c>
      <c r="J2326" s="4" t="str">
        <f aca="false">IFERROR("PN"&amp;SMALL(PN_list,COUNTIF(PN_list,"&lt;"&amp;I2326*bar_per_m)+1),"&gt; max PN")</f>
        <v>PN16</v>
      </c>
      <c r="K2326" s="4" t="str">
        <f aca="false">IF(L2326="no","end at tank",IF(H2326&lt;0,"NEGATIVE",IF(H2326&lt;p_min-0.005,"low","OK")))</f>
        <v>OK</v>
      </c>
      <c r="L2326" s="4" t="s">
        <v>414</v>
      </c>
    </row>
    <row r="2327" customFormat="false" ht="15" hidden="false" customHeight="false" outlineLevel="0" collapsed="false">
      <c r="A2327" s="4" t="s">
        <v>46</v>
      </c>
      <c r="B2327" s="4" t="s">
        <v>396</v>
      </c>
      <c r="C2327" s="47" t="n">
        <v>1193.67</v>
      </c>
      <c r="D2327" s="48" t="n">
        <v>1565.59</v>
      </c>
      <c r="E2327" s="49" t="n">
        <f aca="false">D2327-cover</f>
        <v>1564.39</v>
      </c>
      <c r="F2327" s="50" t="n">
        <f aca="false">'Z7 Uhuru-Chapwa'!S14-'Z7 Uhuru-Chapwa'!P14*C2327/'Z7 Uhuru-Chapwa'!G14</f>
        <v>1671.47020667433</v>
      </c>
      <c r="G2327" s="51" t="n">
        <f aca="false">'Z7 Uhuru-Chapwa'!$B$8-E2327</f>
        <v>137.91</v>
      </c>
      <c r="H2327" s="52" t="n">
        <f aca="false">F2327-E2327</f>
        <v>107.080206674329</v>
      </c>
      <c r="I2327" s="52" t="n">
        <f aca="false">MAX(H2327,G2327)</f>
        <v>137.91</v>
      </c>
      <c r="J2327" s="4" t="str">
        <f aca="false">IFERROR("PN"&amp;SMALL(PN_list,COUNTIF(PN_list,"&lt;"&amp;I2327*bar_per_m)+1),"&gt; max PN")</f>
        <v>PN16</v>
      </c>
      <c r="K2327" s="4" t="str">
        <f aca="false">IF(L2327="no","end at tank",IF(H2327&lt;0,"NEGATIVE",IF(H2327&lt;p_min-0.005,"low","OK")))</f>
        <v>OK</v>
      </c>
      <c r="L2327" s="4" t="s">
        <v>414</v>
      </c>
    </row>
    <row r="2328" customFormat="false" ht="15" hidden="false" customHeight="false" outlineLevel="0" collapsed="false">
      <c r="A2328" s="4" t="s">
        <v>46</v>
      </c>
      <c r="B2328" s="4" t="s">
        <v>396</v>
      </c>
      <c r="C2328" s="47" t="n">
        <v>1243.61</v>
      </c>
      <c r="D2328" s="48" t="n">
        <v>1564.62</v>
      </c>
      <c r="E2328" s="49" t="n">
        <f aca="false">D2328-cover</f>
        <v>1563.42</v>
      </c>
      <c r="F2328" s="50" t="n">
        <f aca="false">'Z7 Uhuru-Chapwa'!S14-'Z7 Uhuru-Chapwa'!P14*C2328/'Z7 Uhuru-Chapwa'!G14</f>
        <v>1670.81017068489</v>
      </c>
      <c r="G2328" s="51" t="n">
        <f aca="false">'Z7 Uhuru-Chapwa'!$B$8-E2328</f>
        <v>138.88</v>
      </c>
      <c r="H2328" s="52" t="n">
        <f aca="false">F2328-E2328</f>
        <v>107.390170684895</v>
      </c>
      <c r="I2328" s="52" t="n">
        <f aca="false">MAX(H2328,G2328)</f>
        <v>138.88</v>
      </c>
      <c r="J2328" s="4" t="str">
        <f aca="false">IFERROR("PN"&amp;SMALL(PN_list,COUNTIF(PN_list,"&lt;"&amp;I2328*bar_per_m)+1),"&gt; max PN")</f>
        <v>PN16</v>
      </c>
      <c r="K2328" s="4" t="str">
        <f aca="false">IF(L2328="no","end at tank",IF(H2328&lt;0,"NEGATIVE",IF(H2328&lt;p_min-0.005,"low","OK")))</f>
        <v>OK</v>
      </c>
      <c r="L2328" s="4" t="s">
        <v>414</v>
      </c>
    </row>
    <row r="2329" customFormat="false" ht="15" hidden="false" customHeight="false" outlineLevel="0" collapsed="false">
      <c r="A2329" s="4" t="s">
        <v>46</v>
      </c>
      <c r="B2329" s="4" t="s">
        <v>396</v>
      </c>
      <c r="C2329" s="47" t="n">
        <v>1293.64</v>
      </c>
      <c r="D2329" s="48" t="n">
        <v>1563.07</v>
      </c>
      <c r="E2329" s="49" t="n">
        <f aca="false">D2329-cover</f>
        <v>1561.87</v>
      </c>
      <c r="F2329" s="50" t="n">
        <f aca="false">'Z7 Uhuru-Chapwa'!S14-'Z7 Uhuru-Chapwa'!P14*C2329/'Z7 Uhuru-Chapwa'!G14</f>
        <v>1670.14894520329</v>
      </c>
      <c r="G2329" s="51" t="n">
        <f aca="false">'Z7 Uhuru-Chapwa'!$B$8-E2329</f>
        <v>140.43</v>
      </c>
      <c r="H2329" s="52" t="n">
        <f aca="false">F2329-E2329</f>
        <v>108.278945203289</v>
      </c>
      <c r="I2329" s="52" t="n">
        <f aca="false">MAX(H2329,G2329)</f>
        <v>140.43</v>
      </c>
      <c r="J2329" s="4" t="str">
        <f aca="false">IFERROR("PN"&amp;SMALL(PN_list,COUNTIF(PN_list,"&lt;"&amp;I2329*bar_per_m)+1),"&gt; max PN")</f>
        <v>PN16</v>
      </c>
      <c r="K2329" s="4" t="str">
        <f aca="false">IF(L2329="no","end at tank",IF(H2329&lt;0,"NEGATIVE",IF(H2329&lt;p_min-0.005,"low","OK")))</f>
        <v>OK</v>
      </c>
      <c r="L2329" s="4" t="s">
        <v>414</v>
      </c>
    </row>
    <row r="2330" customFormat="false" ht="15" hidden="false" customHeight="false" outlineLevel="0" collapsed="false">
      <c r="A2330" s="4" t="s">
        <v>46</v>
      </c>
      <c r="B2330" s="4" t="s">
        <v>396</v>
      </c>
      <c r="C2330" s="47" t="n">
        <v>1343.66</v>
      </c>
      <c r="D2330" s="48" t="n">
        <v>1562.57</v>
      </c>
      <c r="E2330" s="49" t="n">
        <f aca="false">D2330-cover</f>
        <v>1561.37</v>
      </c>
      <c r="F2330" s="50" t="n">
        <f aca="false">'Z7 Uhuru-Chapwa'!S14-'Z7 Uhuru-Chapwa'!P14*C2330/'Z7 Uhuru-Chapwa'!G14</f>
        <v>1669.48785188748</v>
      </c>
      <c r="G2330" s="51" t="n">
        <f aca="false">'Z7 Uhuru-Chapwa'!$B$8-E2330</f>
        <v>140.93</v>
      </c>
      <c r="H2330" s="52" t="n">
        <f aca="false">F2330-E2330</f>
        <v>108.11785188748</v>
      </c>
      <c r="I2330" s="52" t="n">
        <f aca="false">MAX(H2330,G2330)</f>
        <v>140.93</v>
      </c>
      <c r="J2330" s="4" t="str">
        <f aca="false">IFERROR("PN"&amp;SMALL(PN_list,COUNTIF(PN_list,"&lt;"&amp;I2330*bar_per_m)+1),"&gt; max PN")</f>
        <v>PN16</v>
      </c>
      <c r="K2330" s="4" t="str">
        <f aca="false">IF(L2330="no","end at tank",IF(H2330&lt;0,"NEGATIVE",IF(H2330&lt;p_min-0.005,"low","OK")))</f>
        <v>OK</v>
      </c>
      <c r="L2330" s="4" t="s">
        <v>414</v>
      </c>
    </row>
    <row r="2331" customFormat="false" ht="15" hidden="false" customHeight="false" outlineLevel="0" collapsed="false">
      <c r="A2331" s="4" t="s">
        <v>46</v>
      </c>
      <c r="B2331" s="4" t="s">
        <v>396</v>
      </c>
      <c r="C2331" s="47" t="n">
        <v>1393.66</v>
      </c>
      <c r="D2331" s="48" t="n">
        <v>1562.56</v>
      </c>
      <c r="E2331" s="49" t="n">
        <f aca="false">D2331-cover</f>
        <v>1561.36</v>
      </c>
      <c r="F2331" s="50" t="n">
        <f aca="false">'Z7 Uhuru-Chapwa'!S14-'Z7 Uhuru-Chapwa'!P14*C2331/'Z7 Uhuru-Chapwa'!G14</f>
        <v>1668.82702290326</v>
      </c>
      <c r="G2331" s="51" t="n">
        <f aca="false">'Z7 Uhuru-Chapwa'!$B$8-E2331</f>
        <v>140.94</v>
      </c>
      <c r="H2331" s="52" t="n">
        <f aca="false">F2331-E2331</f>
        <v>107.467022903265</v>
      </c>
      <c r="I2331" s="52" t="n">
        <f aca="false">MAX(H2331,G2331)</f>
        <v>140.94</v>
      </c>
      <c r="J2331" s="4" t="str">
        <f aca="false">IFERROR("PN"&amp;SMALL(PN_list,COUNTIF(PN_list,"&lt;"&amp;I2331*bar_per_m)+1),"&gt; max PN")</f>
        <v>PN16</v>
      </c>
      <c r="K2331" s="4" t="str">
        <f aca="false">IF(L2331="no","end at tank",IF(H2331&lt;0,"NEGATIVE",IF(H2331&lt;p_min-0.005,"low","OK")))</f>
        <v>OK</v>
      </c>
      <c r="L2331" s="4" t="s">
        <v>414</v>
      </c>
    </row>
    <row r="2332" customFormat="false" ht="15" hidden="false" customHeight="false" outlineLevel="0" collapsed="false">
      <c r="A2332" s="4" t="s">
        <v>46</v>
      </c>
      <c r="B2332" s="4" t="s">
        <v>396</v>
      </c>
      <c r="C2332" s="47" t="n">
        <v>1443.7</v>
      </c>
      <c r="D2332" s="48" t="n">
        <v>1561.98</v>
      </c>
      <c r="E2332" s="49" t="n">
        <f aca="false">D2332-cover</f>
        <v>1560.78</v>
      </c>
      <c r="F2332" s="50" t="n">
        <f aca="false">'Z7 Uhuru-Chapwa'!S14-'Z7 Uhuru-Chapwa'!P14*C2332/'Z7 Uhuru-Chapwa'!G14</f>
        <v>1668.16566525586</v>
      </c>
      <c r="G2332" s="51" t="n">
        <f aca="false">'Z7 Uhuru-Chapwa'!$B$8-E2332</f>
        <v>141.52</v>
      </c>
      <c r="H2332" s="52" t="n">
        <f aca="false">F2332-E2332</f>
        <v>107.385665255862</v>
      </c>
      <c r="I2332" s="52" t="n">
        <f aca="false">MAX(H2332,G2332)</f>
        <v>141.52</v>
      </c>
      <c r="J2332" s="4" t="str">
        <f aca="false">IFERROR("PN"&amp;SMALL(PN_list,COUNTIF(PN_list,"&lt;"&amp;I2332*bar_per_m)+1),"&gt; max PN")</f>
        <v>PN16</v>
      </c>
      <c r="K2332" s="4" t="str">
        <f aca="false">IF(L2332="no","end at tank",IF(H2332&lt;0,"NEGATIVE",IF(H2332&lt;p_min-0.005,"low","OK")))</f>
        <v>OK</v>
      </c>
      <c r="L2332" s="4" t="s">
        <v>414</v>
      </c>
    </row>
    <row r="2333" customFormat="false" ht="15" hidden="false" customHeight="false" outlineLevel="0" collapsed="false">
      <c r="A2333" s="4" t="s">
        <v>46</v>
      </c>
      <c r="B2333" s="4" t="s">
        <v>396</v>
      </c>
      <c r="C2333" s="47" t="n">
        <v>1493.71</v>
      </c>
      <c r="D2333" s="48" t="n">
        <v>1562.95</v>
      </c>
      <c r="E2333" s="49" t="n">
        <f aca="false">D2333-cover</f>
        <v>1561.75</v>
      </c>
      <c r="F2333" s="50" t="n">
        <f aca="false">'Z7 Uhuru-Chapwa'!S14-'Z7 Uhuru-Chapwa'!P14*C2333/'Z7 Uhuru-Chapwa'!G14</f>
        <v>1667.50470410585</v>
      </c>
      <c r="G2333" s="51" t="n">
        <f aca="false">'Z7 Uhuru-Chapwa'!$B$8-E2333</f>
        <v>140.55</v>
      </c>
      <c r="H2333" s="52" t="n">
        <f aca="false">F2333-E2333</f>
        <v>105.75470410585</v>
      </c>
      <c r="I2333" s="52" t="n">
        <f aca="false">MAX(H2333,G2333)</f>
        <v>140.55</v>
      </c>
      <c r="J2333" s="4" t="str">
        <f aca="false">IFERROR("PN"&amp;SMALL(PN_list,COUNTIF(PN_list,"&lt;"&amp;I2333*bar_per_m)+1),"&gt; max PN")</f>
        <v>PN16</v>
      </c>
      <c r="K2333" s="4" t="str">
        <f aca="false">IF(L2333="no","end at tank",IF(H2333&lt;0,"NEGATIVE",IF(H2333&lt;p_min-0.005,"low","OK")))</f>
        <v>OK</v>
      </c>
      <c r="L2333" s="4" t="s">
        <v>414</v>
      </c>
    </row>
    <row r="2334" customFormat="false" ht="15" hidden="false" customHeight="false" outlineLevel="0" collapsed="false">
      <c r="A2334" s="4" t="s">
        <v>46</v>
      </c>
      <c r="B2334" s="4" t="s">
        <v>396</v>
      </c>
      <c r="C2334" s="47" t="n">
        <v>1542.68</v>
      </c>
      <c r="D2334" s="48" t="n">
        <v>1562.88</v>
      </c>
      <c r="E2334" s="49" t="n">
        <f aca="false">D2334-cover</f>
        <v>1561.68</v>
      </c>
      <c r="F2334" s="50" t="n">
        <f aca="false">'Z7 Uhuru-Chapwa'!S14-'Z7 Uhuru-Chapwa'!P14*C2334/'Z7 Uhuru-Chapwa'!G14</f>
        <v>1666.85748819871</v>
      </c>
      <c r="G2334" s="51" t="n">
        <f aca="false">'Z7 Uhuru-Chapwa'!$B$8-E2334</f>
        <v>140.62</v>
      </c>
      <c r="H2334" s="52" t="n">
        <f aca="false">F2334-E2334</f>
        <v>105.17748819871</v>
      </c>
      <c r="I2334" s="52" t="n">
        <f aca="false">MAX(H2334,G2334)</f>
        <v>140.62</v>
      </c>
      <c r="J2334" s="4" t="str">
        <f aca="false">IFERROR("PN"&amp;SMALL(PN_list,COUNTIF(PN_list,"&lt;"&amp;I2334*bar_per_m)+1),"&gt; max PN")</f>
        <v>PN16</v>
      </c>
      <c r="K2334" s="4" t="str">
        <f aca="false">IF(L2334="no","end at tank",IF(H2334&lt;0,"NEGATIVE",IF(H2334&lt;p_min-0.005,"low","OK")))</f>
        <v>OK</v>
      </c>
      <c r="L2334" s="4" t="s">
        <v>414</v>
      </c>
    </row>
    <row r="2335" customFormat="false" ht="15" hidden="false" customHeight="false" outlineLevel="0" collapsed="false">
      <c r="A2335" s="4" t="s">
        <v>46</v>
      </c>
      <c r="B2335" s="4" t="s">
        <v>396</v>
      </c>
      <c r="C2335" s="47" t="n">
        <v>1593.05</v>
      </c>
      <c r="D2335" s="48" t="n">
        <v>1563.49</v>
      </c>
      <c r="E2335" s="49" t="n">
        <f aca="false">D2335-cover</f>
        <v>1562.29</v>
      </c>
      <c r="F2335" s="50" t="n">
        <f aca="false">'Z7 Uhuru-Chapwa'!S14-'Z7 Uhuru-Chapwa'!P14*C2335/'Z7 Uhuru-Chapwa'!G14</f>
        <v>1666.19176908001</v>
      </c>
      <c r="G2335" s="51" t="n">
        <f aca="false">'Z7 Uhuru-Chapwa'!$B$8-E2335</f>
        <v>140.01</v>
      </c>
      <c r="H2335" s="52" t="n">
        <f aca="false">F2335-E2335</f>
        <v>103.901769080012</v>
      </c>
      <c r="I2335" s="52" t="n">
        <f aca="false">MAX(H2335,G2335)</f>
        <v>140.01</v>
      </c>
      <c r="J2335" s="4" t="str">
        <f aca="false">IFERROR("PN"&amp;SMALL(PN_list,COUNTIF(PN_list,"&lt;"&amp;I2335*bar_per_m)+1),"&gt; max PN")</f>
        <v>PN16</v>
      </c>
      <c r="K2335" s="4" t="str">
        <f aca="false">IF(L2335="no","end at tank",IF(H2335&lt;0,"NEGATIVE",IF(H2335&lt;p_min-0.005,"low","OK")))</f>
        <v>OK</v>
      </c>
      <c r="L2335" s="4" t="s">
        <v>414</v>
      </c>
    </row>
    <row r="2336" customFormat="false" ht="15" hidden="false" customHeight="false" outlineLevel="0" collapsed="false">
      <c r="A2336" s="4" t="s">
        <v>46</v>
      </c>
      <c r="B2336" s="4" t="s">
        <v>396</v>
      </c>
      <c r="C2336" s="47" t="n">
        <v>1643.07</v>
      </c>
      <c r="D2336" s="48" t="n">
        <v>1562.15</v>
      </c>
      <c r="E2336" s="49" t="n">
        <f aca="false">D2336-cover</f>
        <v>1560.95</v>
      </c>
      <c r="F2336" s="50" t="n">
        <f aca="false">'Z7 Uhuru-Chapwa'!S14-'Z7 Uhuru-Chapwa'!P14*C2336/'Z7 Uhuru-Chapwa'!G14</f>
        <v>1665.5306757642</v>
      </c>
      <c r="G2336" s="51" t="n">
        <f aca="false">'Z7 Uhuru-Chapwa'!$B$8-E2336</f>
        <v>141.35</v>
      </c>
      <c r="H2336" s="52" t="n">
        <f aca="false">F2336-E2336</f>
        <v>104.580675764203</v>
      </c>
      <c r="I2336" s="52" t="n">
        <f aca="false">MAX(H2336,G2336)</f>
        <v>141.35</v>
      </c>
      <c r="J2336" s="4" t="str">
        <f aca="false">IFERROR("PN"&amp;SMALL(PN_list,COUNTIF(PN_list,"&lt;"&amp;I2336*bar_per_m)+1),"&gt; max PN")</f>
        <v>PN16</v>
      </c>
      <c r="K2336" s="4" t="str">
        <f aca="false">IF(L2336="no","end at tank",IF(H2336&lt;0,"NEGATIVE",IF(H2336&lt;p_min-0.005,"low","OK")))</f>
        <v>OK</v>
      </c>
      <c r="L2336" s="4" t="s">
        <v>414</v>
      </c>
    </row>
    <row r="2337" customFormat="false" ht="15" hidden="false" customHeight="false" outlineLevel="0" collapsed="false">
      <c r="A2337" s="4" t="s">
        <v>46</v>
      </c>
      <c r="B2337" s="4" t="s">
        <v>396</v>
      </c>
      <c r="C2337" s="47" t="n">
        <v>1693.14</v>
      </c>
      <c r="D2337" s="48" t="n">
        <v>1561.43</v>
      </c>
      <c r="E2337" s="49" t="n">
        <f aca="false">D2337-cover</f>
        <v>1560.23</v>
      </c>
      <c r="F2337" s="50" t="n">
        <f aca="false">'Z7 Uhuru-Chapwa'!S14-'Z7 Uhuru-Chapwa'!P14*C2337/'Z7 Uhuru-Chapwa'!G14</f>
        <v>1664.86892161941</v>
      </c>
      <c r="G2337" s="51" t="n">
        <f aca="false">'Z7 Uhuru-Chapwa'!$B$8-E2337</f>
        <v>142.07</v>
      </c>
      <c r="H2337" s="52" t="n">
        <f aca="false">F2337-E2337</f>
        <v>104.63892161941</v>
      </c>
      <c r="I2337" s="52" t="n">
        <f aca="false">MAX(H2337,G2337)</f>
        <v>142.07</v>
      </c>
      <c r="J2337" s="4" t="str">
        <f aca="false">IFERROR("PN"&amp;SMALL(PN_list,COUNTIF(PN_list,"&lt;"&amp;I2337*bar_per_m)+1),"&gt; max PN")</f>
        <v>PN16</v>
      </c>
      <c r="K2337" s="4" t="str">
        <f aca="false">IF(L2337="no","end at tank",IF(H2337&lt;0,"NEGATIVE",IF(H2337&lt;p_min-0.005,"low","OK")))</f>
        <v>OK</v>
      </c>
      <c r="L2337" s="4" t="s">
        <v>414</v>
      </c>
    </row>
    <row r="2338" customFormat="false" ht="15" hidden="false" customHeight="false" outlineLevel="0" collapsed="false">
      <c r="A2338" s="4" t="s">
        <v>46</v>
      </c>
      <c r="B2338" s="4" t="s">
        <v>396</v>
      </c>
      <c r="C2338" s="47" t="n">
        <v>1743.15</v>
      </c>
      <c r="D2338" s="48" t="n">
        <v>1562.33</v>
      </c>
      <c r="E2338" s="49" t="n">
        <f aca="false">D2338-cover</f>
        <v>1561.13</v>
      </c>
      <c r="F2338" s="50" t="n">
        <f aca="false">'Z7 Uhuru-Chapwa'!S14-'Z7 Uhuru-Chapwa'!P14*C2338/'Z7 Uhuru-Chapwa'!G14</f>
        <v>1664.2079604694</v>
      </c>
      <c r="G2338" s="51" t="n">
        <f aca="false">'Z7 Uhuru-Chapwa'!$B$8-E2338</f>
        <v>141.17</v>
      </c>
      <c r="H2338" s="52" t="n">
        <f aca="false">F2338-E2338</f>
        <v>103.077960469398</v>
      </c>
      <c r="I2338" s="52" t="n">
        <f aca="false">MAX(H2338,G2338)</f>
        <v>141.17</v>
      </c>
      <c r="J2338" s="4" t="str">
        <f aca="false">IFERROR("PN"&amp;SMALL(PN_list,COUNTIF(PN_list,"&lt;"&amp;I2338*bar_per_m)+1),"&gt; max PN")</f>
        <v>PN16</v>
      </c>
      <c r="K2338" s="4" t="str">
        <f aca="false">IF(L2338="no","end at tank",IF(H2338&lt;0,"NEGATIVE",IF(H2338&lt;p_min-0.005,"low","OK")))</f>
        <v>OK</v>
      </c>
      <c r="L2338" s="4" t="s">
        <v>414</v>
      </c>
    </row>
    <row r="2339" customFormat="false" ht="15" hidden="false" customHeight="false" outlineLevel="0" collapsed="false">
      <c r="A2339" s="4" t="s">
        <v>46</v>
      </c>
      <c r="B2339" s="4" t="s">
        <v>396</v>
      </c>
      <c r="C2339" s="47" t="n">
        <v>1792.17</v>
      </c>
      <c r="D2339" s="48" t="n">
        <v>1563.91</v>
      </c>
      <c r="E2339" s="49" t="n">
        <f aca="false">D2339-cover</f>
        <v>1562.71</v>
      </c>
      <c r="F2339" s="50" t="n">
        <f aca="false">'Z7 Uhuru-Chapwa'!S14-'Z7 Uhuru-Chapwa'!P14*C2339/'Z7 Uhuru-Chapwa'!G14</f>
        <v>1663.56008373327</v>
      </c>
      <c r="G2339" s="51" t="n">
        <f aca="false">'Z7 Uhuru-Chapwa'!$B$8-E2339</f>
        <v>139.59</v>
      </c>
      <c r="H2339" s="52" t="n">
        <f aca="false">F2339-E2339</f>
        <v>100.850083733273</v>
      </c>
      <c r="I2339" s="52" t="n">
        <f aca="false">MAX(H2339,G2339)</f>
        <v>139.59</v>
      </c>
      <c r="J2339" s="4" t="str">
        <f aca="false">IFERROR("PN"&amp;SMALL(PN_list,COUNTIF(PN_list,"&lt;"&amp;I2339*bar_per_m)+1),"&gt; max PN")</f>
        <v>PN16</v>
      </c>
      <c r="K2339" s="4" t="str">
        <f aca="false">IF(L2339="no","end at tank",IF(H2339&lt;0,"NEGATIVE",IF(H2339&lt;p_min-0.005,"low","OK")))</f>
        <v>OK</v>
      </c>
      <c r="L2339" s="4" t="s">
        <v>414</v>
      </c>
    </row>
    <row r="2340" customFormat="false" ht="15" hidden="false" customHeight="false" outlineLevel="0" collapsed="false">
      <c r="A2340" s="4" t="s">
        <v>46</v>
      </c>
      <c r="B2340" s="4" t="s">
        <v>396</v>
      </c>
      <c r="C2340" s="47" t="n">
        <v>1841.45</v>
      </c>
      <c r="D2340" s="48" t="n">
        <v>1564.17</v>
      </c>
      <c r="E2340" s="49" t="n">
        <f aca="false">D2340-cover</f>
        <v>1562.97</v>
      </c>
      <c r="F2340" s="50" t="n">
        <f aca="false">'Z7 Uhuru-Chapwa'!S14-'Z7 Uhuru-Chapwa'!P14*C2340/'Z7 Uhuru-Chapwa'!G14</f>
        <v>1662.90877068643</v>
      </c>
      <c r="G2340" s="51" t="n">
        <f aca="false">'Z7 Uhuru-Chapwa'!$B$8-E2340</f>
        <v>139.33</v>
      </c>
      <c r="H2340" s="52" t="n">
        <f aca="false">F2340-E2340</f>
        <v>99.9387706864306</v>
      </c>
      <c r="I2340" s="52" t="n">
        <f aca="false">MAX(H2340,G2340)</f>
        <v>139.33</v>
      </c>
      <c r="J2340" s="4" t="str">
        <f aca="false">IFERROR("PN"&amp;SMALL(PN_list,COUNTIF(PN_list,"&lt;"&amp;I2340*bar_per_m)+1),"&gt; max PN")</f>
        <v>PN16</v>
      </c>
      <c r="K2340" s="4" t="str">
        <f aca="false">IF(L2340="no","end at tank",IF(H2340&lt;0,"NEGATIVE",IF(H2340&lt;p_min-0.005,"low","OK")))</f>
        <v>OK</v>
      </c>
      <c r="L2340" s="4" t="s">
        <v>414</v>
      </c>
    </row>
    <row r="2341" customFormat="false" ht="15" hidden="false" customHeight="false" outlineLevel="0" collapsed="false">
      <c r="A2341" s="4" t="s">
        <v>46</v>
      </c>
      <c r="B2341" s="4" t="s">
        <v>396</v>
      </c>
      <c r="C2341" s="47" t="n">
        <v>1891.2</v>
      </c>
      <c r="D2341" s="48" t="n">
        <v>1562.44</v>
      </c>
      <c r="E2341" s="49" t="n">
        <f aca="false">D2341-cover</f>
        <v>1561.24</v>
      </c>
      <c r="F2341" s="50" t="n">
        <f aca="false">'Z7 Uhuru-Chapwa'!S14-'Z7 Uhuru-Chapwa'!P14*C2341/'Z7 Uhuru-Chapwa'!G14</f>
        <v>1662.25124584714</v>
      </c>
      <c r="G2341" s="51" t="n">
        <f aca="false">'Z7 Uhuru-Chapwa'!$B$8-E2341</f>
        <v>141.06</v>
      </c>
      <c r="H2341" s="52" t="n">
        <f aca="false">F2341-E2341</f>
        <v>101.011245847137</v>
      </c>
      <c r="I2341" s="52" t="n">
        <f aca="false">MAX(H2341,G2341)</f>
        <v>141.06</v>
      </c>
      <c r="J2341" s="4" t="str">
        <f aca="false">IFERROR("PN"&amp;SMALL(PN_list,COUNTIF(PN_list,"&lt;"&amp;I2341*bar_per_m)+1),"&gt; max PN")</f>
        <v>PN16</v>
      </c>
      <c r="K2341" s="4" t="str">
        <f aca="false">IF(L2341="no","end at tank",IF(H2341&lt;0,"NEGATIVE",IF(H2341&lt;p_min-0.005,"low","OK")))</f>
        <v>OK</v>
      </c>
      <c r="L2341" s="4" t="s">
        <v>414</v>
      </c>
    </row>
    <row r="2342" customFormat="false" ht="15" hidden="false" customHeight="false" outlineLevel="0" collapsed="false">
      <c r="A2342" s="4" t="s">
        <v>46</v>
      </c>
      <c r="B2342" s="4" t="s">
        <v>396</v>
      </c>
      <c r="C2342" s="47" t="n">
        <v>1941.32</v>
      </c>
      <c r="D2342" s="48" t="n">
        <v>1560.75</v>
      </c>
      <c r="E2342" s="49" t="n">
        <f aca="false">D2342-cover</f>
        <v>1559.55</v>
      </c>
      <c r="F2342" s="50" t="n">
        <f aca="false">'Z7 Uhuru-Chapwa'!S14-'Z7 Uhuru-Chapwa'!P14*C2342/'Z7 Uhuru-Chapwa'!G14</f>
        <v>1661.58883087336</v>
      </c>
      <c r="G2342" s="51" t="n">
        <f aca="false">'Z7 Uhuru-Chapwa'!$B$8-E2342</f>
        <v>142.75</v>
      </c>
      <c r="H2342" s="52" t="n">
        <f aca="false">F2342-E2342</f>
        <v>102.03883087336</v>
      </c>
      <c r="I2342" s="52" t="n">
        <f aca="false">MAX(H2342,G2342)</f>
        <v>142.75</v>
      </c>
      <c r="J2342" s="4" t="str">
        <f aca="false">IFERROR("PN"&amp;SMALL(PN_list,COUNTIF(PN_list,"&lt;"&amp;I2342*bar_per_m)+1),"&gt; max PN")</f>
        <v>PN16</v>
      </c>
      <c r="K2342" s="4" t="str">
        <f aca="false">IF(L2342="no","end at tank",IF(H2342&lt;0,"NEGATIVE",IF(H2342&lt;p_min-0.005,"low","OK")))</f>
        <v>OK</v>
      </c>
      <c r="L2342" s="4" t="s">
        <v>414</v>
      </c>
    </row>
    <row r="2343" customFormat="false" ht="15" hidden="false" customHeight="false" outlineLevel="0" collapsed="false">
      <c r="A2343" s="4" t="s">
        <v>46</v>
      </c>
      <c r="B2343" s="4" t="s">
        <v>396</v>
      </c>
      <c r="C2343" s="47" t="n">
        <v>1991.39</v>
      </c>
      <c r="D2343" s="48" t="n">
        <v>1558.07</v>
      </c>
      <c r="E2343" s="49" t="n">
        <f aca="false">D2343-cover</f>
        <v>1556.87</v>
      </c>
      <c r="F2343" s="50" t="n">
        <f aca="false">'Z7 Uhuru-Chapwa'!S14-'Z7 Uhuru-Chapwa'!P14*C2343/'Z7 Uhuru-Chapwa'!G14</f>
        <v>1660.92707672857</v>
      </c>
      <c r="G2343" s="51" t="n">
        <f aca="false">'Z7 Uhuru-Chapwa'!$B$8-E2343</f>
        <v>145.43</v>
      </c>
      <c r="H2343" s="52" t="n">
        <f aca="false">F2343-E2343</f>
        <v>104.057076728566</v>
      </c>
      <c r="I2343" s="52" t="n">
        <f aca="false">MAX(H2343,G2343)</f>
        <v>145.43</v>
      </c>
      <c r="J2343" s="4" t="str">
        <f aca="false">IFERROR("PN"&amp;SMALL(PN_list,COUNTIF(PN_list,"&lt;"&amp;I2343*bar_per_m)+1),"&gt; max PN")</f>
        <v>PN16</v>
      </c>
      <c r="K2343" s="4" t="str">
        <f aca="false">IF(L2343="no","end at tank",IF(H2343&lt;0,"NEGATIVE",IF(H2343&lt;p_min-0.005,"low","OK")))</f>
        <v>OK</v>
      </c>
      <c r="L2343" s="4" t="s">
        <v>414</v>
      </c>
    </row>
    <row r="2344" customFormat="false" ht="15" hidden="false" customHeight="false" outlineLevel="0" collapsed="false">
      <c r="A2344" s="4" t="s">
        <v>46</v>
      </c>
      <c r="B2344" s="4" t="s">
        <v>396</v>
      </c>
      <c r="C2344" s="47" t="n">
        <v>2041.61</v>
      </c>
      <c r="D2344" s="48" t="n">
        <v>1553.44</v>
      </c>
      <c r="E2344" s="49" t="n">
        <f aca="false">D2344-cover</f>
        <v>1552.24</v>
      </c>
      <c r="F2344" s="50" t="n">
        <f aca="false">'Z7 Uhuru-Chapwa'!S14-'Z7 Uhuru-Chapwa'!P14*C2344/'Z7 Uhuru-Chapwa'!G14</f>
        <v>1660.26334009682</v>
      </c>
      <c r="G2344" s="51" t="n">
        <f aca="false">'Z7 Uhuru-Chapwa'!$B$8-E2344</f>
        <v>150.06</v>
      </c>
      <c r="H2344" s="52" t="n">
        <f aca="false">F2344-E2344</f>
        <v>108.023340096821</v>
      </c>
      <c r="I2344" s="52" t="n">
        <f aca="false">MAX(H2344,G2344)</f>
        <v>150.06</v>
      </c>
      <c r="J2344" s="4" t="str">
        <f aca="false">IFERROR("PN"&amp;SMALL(PN_list,COUNTIF(PN_list,"&lt;"&amp;I2344*bar_per_m)+1),"&gt; max PN")</f>
        <v>PN16</v>
      </c>
      <c r="K2344" s="4" t="str">
        <f aca="false">IF(L2344="no","end at tank",IF(H2344&lt;0,"NEGATIVE",IF(H2344&lt;p_min-0.005,"low","OK")))</f>
        <v>OK</v>
      </c>
      <c r="L2344" s="4" t="s">
        <v>414</v>
      </c>
    </row>
    <row r="2345" customFormat="false" ht="15" hidden="false" customHeight="false" outlineLevel="0" collapsed="false">
      <c r="A2345" s="4" t="s">
        <v>46</v>
      </c>
      <c r="B2345" s="4" t="s">
        <v>396</v>
      </c>
      <c r="C2345" s="47" t="n">
        <v>2090.78</v>
      </c>
      <c r="D2345" s="48" t="n">
        <v>1552.39</v>
      </c>
      <c r="E2345" s="49" t="n">
        <f aca="false">D2345-cover</f>
        <v>1551.19</v>
      </c>
      <c r="F2345" s="50" t="n">
        <f aca="false">'Z7 Uhuru-Chapwa'!S14-'Z7 Uhuru-Chapwa'!P14*C2345/'Z7 Uhuru-Chapwa'!G14</f>
        <v>1659.61348087374</v>
      </c>
      <c r="G2345" s="51" t="n">
        <f aca="false">'Z7 Uhuru-Chapwa'!$B$8-E2345</f>
        <v>151.11</v>
      </c>
      <c r="H2345" s="52" t="n">
        <f aca="false">F2345-E2345</f>
        <v>108.423480873743</v>
      </c>
      <c r="I2345" s="52" t="n">
        <f aca="false">MAX(H2345,G2345)</f>
        <v>151.11</v>
      </c>
      <c r="J2345" s="4" t="str">
        <f aca="false">IFERROR("PN"&amp;SMALL(PN_list,COUNTIF(PN_list,"&lt;"&amp;I2345*bar_per_m)+1),"&gt; max PN")</f>
        <v>PN16</v>
      </c>
      <c r="K2345" s="4" t="str">
        <f aca="false">IF(L2345="no","end at tank",IF(H2345&lt;0,"NEGATIVE",IF(H2345&lt;p_min-0.005,"low","OK")))</f>
        <v>OK</v>
      </c>
      <c r="L2345" s="4" t="s">
        <v>414</v>
      </c>
    </row>
    <row r="2346" customFormat="false" ht="15" hidden="false" customHeight="false" outlineLevel="0" collapsed="false">
      <c r="A2346" s="4" t="s">
        <v>46</v>
      </c>
      <c r="B2346" s="4" t="s">
        <v>396</v>
      </c>
      <c r="C2346" s="47" t="n">
        <v>2139.77</v>
      </c>
      <c r="D2346" s="48" t="n">
        <v>1553.2</v>
      </c>
      <c r="E2346" s="49" t="n">
        <f aca="false">D2346-cover</f>
        <v>1552</v>
      </c>
      <c r="F2346" s="50" t="n">
        <f aca="false">'Z7 Uhuru-Chapwa'!S14-'Z7 Uhuru-Chapwa'!P14*C2346/'Z7 Uhuru-Chapwa'!G14</f>
        <v>1658.96600063501</v>
      </c>
      <c r="G2346" s="51" t="n">
        <f aca="false">'Z7 Uhuru-Chapwa'!$B$8-E2346</f>
        <v>150.3</v>
      </c>
      <c r="H2346" s="52" t="n">
        <f aca="false">F2346-E2346</f>
        <v>106.96600063501</v>
      </c>
      <c r="I2346" s="52" t="n">
        <f aca="false">MAX(H2346,G2346)</f>
        <v>150.3</v>
      </c>
      <c r="J2346" s="4" t="str">
        <f aca="false">IFERROR("PN"&amp;SMALL(PN_list,COUNTIF(PN_list,"&lt;"&amp;I2346*bar_per_m)+1),"&gt; max PN")</f>
        <v>PN16</v>
      </c>
      <c r="K2346" s="4" t="str">
        <f aca="false">IF(L2346="no","end at tank",IF(H2346&lt;0,"NEGATIVE",IF(H2346&lt;p_min-0.005,"low","OK")))</f>
        <v>OK</v>
      </c>
      <c r="L2346" s="4" t="s">
        <v>414</v>
      </c>
    </row>
    <row r="2347" customFormat="false" ht="15" hidden="false" customHeight="false" outlineLevel="0" collapsed="false">
      <c r="A2347" s="4" t="s">
        <v>46</v>
      </c>
      <c r="B2347" s="4" t="s">
        <v>396</v>
      </c>
      <c r="C2347" s="47" t="n">
        <v>2189.78</v>
      </c>
      <c r="D2347" s="48" t="n">
        <v>1554.04</v>
      </c>
      <c r="E2347" s="49" t="n">
        <f aca="false">D2347-cover</f>
        <v>1552.84</v>
      </c>
      <c r="F2347" s="50" t="n">
        <f aca="false">'Z7 Uhuru-Chapwa'!S14-'Z7 Uhuru-Chapwa'!P14*C2347/'Z7 Uhuru-Chapwa'!G14</f>
        <v>1658.305039485</v>
      </c>
      <c r="G2347" s="51" t="n">
        <f aca="false">'Z7 Uhuru-Chapwa'!$B$8-E2347</f>
        <v>149.46</v>
      </c>
      <c r="H2347" s="52" t="n">
        <f aca="false">F2347-E2347</f>
        <v>105.465039484998</v>
      </c>
      <c r="I2347" s="52" t="n">
        <f aca="false">MAX(H2347,G2347)</f>
        <v>149.46</v>
      </c>
      <c r="J2347" s="4" t="str">
        <f aca="false">IFERROR("PN"&amp;SMALL(PN_list,COUNTIF(PN_list,"&lt;"&amp;I2347*bar_per_m)+1),"&gt; max PN")</f>
        <v>PN16</v>
      </c>
      <c r="K2347" s="4" t="str">
        <f aca="false">IF(L2347="no","end at tank",IF(H2347&lt;0,"NEGATIVE",IF(H2347&lt;p_min-0.005,"low","OK")))</f>
        <v>OK</v>
      </c>
      <c r="L2347" s="4" t="s">
        <v>414</v>
      </c>
    </row>
    <row r="2348" customFormat="false" ht="15" hidden="false" customHeight="false" outlineLevel="0" collapsed="false">
      <c r="A2348" s="4" t="s">
        <v>46</v>
      </c>
      <c r="B2348" s="4" t="s">
        <v>396</v>
      </c>
      <c r="C2348" s="47" t="n">
        <v>2240.02</v>
      </c>
      <c r="D2348" s="48" t="n">
        <v>1558.94</v>
      </c>
      <c r="E2348" s="49" t="n">
        <f aca="false">D2348-cover</f>
        <v>1557.74</v>
      </c>
      <c r="F2348" s="50" t="n">
        <f aca="false">'Z7 Uhuru-Chapwa'!S14-'Z7 Uhuru-Chapwa'!P14*C2348/'Z7 Uhuru-Chapwa'!G14</f>
        <v>1657.64103852166</v>
      </c>
      <c r="G2348" s="51" t="n">
        <f aca="false">'Z7 Uhuru-Chapwa'!$B$8-E2348</f>
        <v>144.56</v>
      </c>
      <c r="H2348" s="52" t="n">
        <f aca="false">F2348-E2348</f>
        <v>99.9010385216582</v>
      </c>
      <c r="I2348" s="52" t="n">
        <f aca="false">MAX(H2348,G2348)</f>
        <v>144.56</v>
      </c>
      <c r="J2348" s="4" t="str">
        <f aca="false">IFERROR("PN"&amp;SMALL(PN_list,COUNTIF(PN_list,"&lt;"&amp;I2348*bar_per_m)+1),"&gt; max PN")</f>
        <v>PN16</v>
      </c>
      <c r="K2348" s="4" t="str">
        <f aca="false">IF(L2348="no","end at tank",IF(H2348&lt;0,"NEGATIVE",IF(H2348&lt;p_min-0.005,"low","OK")))</f>
        <v>OK</v>
      </c>
      <c r="L2348" s="4" t="s">
        <v>414</v>
      </c>
    </row>
    <row r="2349" customFormat="false" ht="15" hidden="false" customHeight="false" outlineLevel="0" collapsed="false">
      <c r="A2349" s="4" t="s">
        <v>46</v>
      </c>
      <c r="B2349" s="4" t="s">
        <v>396</v>
      </c>
      <c r="C2349" s="47" t="n">
        <v>2290.05</v>
      </c>
      <c r="D2349" s="48" t="n">
        <v>1560.76</v>
      </c>
      <c r="E2349" s="49" t="n">
        <f aca="false">D2349-cover</f>
        <v>1559.56</v>
      </c>
      <c r="F2349" s="50" t="n">
        <f aca="false">'Z7 Uhuru-Chapwa'!S14-'Z7 Uhuru-Chapwa'!P14*C2349/'Z7 Uhuru-Chapwa'!G14</f>
        <v>1656.97981304005</v>
      </c>
      <c r="G2349" s="51" t="n">
        <f aca="false">'Z7 Uhuru-Chapwa'!$B$8-E2349</f>
        <v>142.74</v>
      </c>
      <c r="H2349" s="52" t="n">
        <f aca="false">F2349-E2349</f>
        <v>97.4198130400525</v>
      </c>
      <c r="I2349" s="52" t="n">
        <f aca="false">MAX(H2349,G2349)</f>
        <v>142.74</v>
      </c>
      <c r="J2349" s="4" t="str">
        <f aca="false">IFERROR("PN"&amp;SMALL(PN_list,COUNTIF(PN_list,"&lt;"&amp;I2349*bar_per_m)+1),"&gt; max PN")</f>
        <v>PN16</v>
      </c>
      <c r="K2349" s="4" t="str">
        <f aca="false">IF(L2349="no","end at tank",IF(H2349&lt;0,"NEGATIVE",IF(H2349&lt;p_min-0.005,"low","OK")))</f>
        <v>OK</v>
      </c>
      <c r="L2349" s="4" t="s">
        <v>414</v>
      </c>
    </row>
    <row r="2350" customFormat="false" ht="15" hidden="false" customHeight="false" outlineLevel="0" collapsed="false">
      <c r="A2350" s="4" t="s">
        <v>46</v>
      </c>
      <c r="B2350" s="4" t="s">
        <v>396</v>
      </c>
      <c r="C2350" s="47" t="n">
        <v>2340.06</v>
      </c>
      <c r="D2350" s="48" t="n">
        <v>1560.21</v>
      </c>
      <c r="E2350" s="49" t="n">
        <f aca="false">D2350-cover</f>
        <v>1559.01</v>
      </c>
      <c r="F2350" s="50" t="n">
        <f aca="false">'Z7 Uhuru-Chapwa'!S14-'Z7 Uhuru-Chapwa'!P14*C2350/'Z7 Uhuru-Chapwa'!G14</f>
        <v>1656.31885189004</v>
      </c>
      <c r="G2350" s="51" t="n">
        <f aca="false">'Z7 Uhuru-Chapwa'!$B$8-E2350</f>
        <v>143.29</v>
      </c>
      <c r="H2350" s="52" t="n">
        <f aca="false">F2350-E2350</f>
        <v>97.3088518900404</v>
      </c>
      <c r="I2350" s="52" t="n">
        <f aca="false">MAX(H2350,G2350)</f>
        <v>143.29</v>
      </c>
      <c r="J2350" s="4" t="str">
        <f aca="false">IFERROR("PN"&amp;SMALL(PN_list,COUNTIF(PN_list,"&lt;"&amp;I2350*bar_per_m)+1),"&gt; max PN")</f>
        <v>PN16</v>
      </c>
      <c r="K2350" s="4" t="str">
        <f aca="false">IF(L2350="no","end at tank",IF(H2350&lt;0,"NEGATIVE",IF(H2350&lt;p_min-0.005,"low","OK")))</f>
        <v>OK</v>
      </c>
      <c r="L2350" s="4" t="s">
        <v>414</v>
      </c>
    </row>
    <row r="2351" customFormat="false" ht="15" hidden="false" customHeight="false" outlineLevel="0" collapsed="false">
      <c r="A2351" s="4" t="s">
        <v>46</v>
      </c>
      <c r="B2351" s="4" t="s">
        <v>396</v>
      </c>
      <c r="C2351" s="47" t="n">
        <v>2389.69</v>
      </c>
      <c r="D2351" s="48" t="n">
        <v>1557.67</v>
      </c>
      <c r="E2351" s="49" t="n">
        <f aca="false">D2351-cover</f>
        <v>1556.47</v>
      </c>
      <c r="F2351" s="50" t="n">
        <f aca="false">'Z7 Uhuru-Chapwa'!S14-'Z7 Uhuru-Chapwa'!P14*C2351/'Z7 Uhuru-Chapwa'!G14</f>
        <v>1655.66291304031</v>
      </c>
      <c r="G2351" s="51" t="n">
        <f aca="false">'Z7 Uhuru-Chapwa'!$B$8-E2351</f>
        <v>145.83</v>
      </c>
      <c r="H2351" s="52" t="n">
        <f aca="false">F2351-E2351</f>
        <v>99.1929130403084</v>
      </c>
      <c r="I2351" s="52" t="n">
        <f aca="false">MAX(H2351,G2351)</f>
        <v>145.83</v>
      </c>
      <c r="J2351" s="4" t="str">
        <f aca="false">IFERROR("PN"&amp;SMALL(PN_list,COUNTIF(PN_list,"&lt;"&amp;I2351*bar_per_m)+1),"&gt; max PN")</f>
        <v>PN16</v>
      </c>
      <c r="K2351" s="4" t="str">
        <f aca="false">IF(L2351="no","end at tank",IF(H2351&lt;0,"NEGATIVE",IF(H2351&lt;p_min-0.005,"low","OK")))</f>
        <v>OK</v>
      </c>
      <c r="L2351" s="4" t="s">
        <v>414</v>
      </c>
    </row>
    <row r="2352" customFormat="false" ht="15" hidden="false" customHeight="false" outlineLevel="0" collapsed="false">
      <c r="A2352" s="4" t="s">
        <v>46</v>
      </c>
      <c r="B2352" s="4" t="s">
        <v>396</v>
      </c>
      <c r="C2352" s="47" t="n">
        <v>2439.8</v>
      </c>
      <c r="D2352" s="48" t="n">
        <v>1554.32</v>
      </c>
      <c r="E2352" s="49" t="n">
        <f aca="false">D2352-cover</f>
        <v>1553.12</v>
      </c>
      <c r="F2352" s="50" t="n">
        <f aca="false">'Z7 Uhuru-Chapwa'!S14-'Z7 Uhuru-Chapwa'!P14*C2352/'Z7 Uhuru-Chapwa'!G14</f>
        <v>1655.00063023233</v>
      </c>
      <c r="G2352" s="51" t="n">
        <f aca="false">'Z7 Uhuru-Chapwa'!$B$8-E2352</f>
        <v>149.18</v>
      </c>
      <c r="H2352" s="52" t="n">
        <f aca="false">F2352-E2352</f>
        <v>101.880630232328</v>
      </c>
      <c r="I2352" s="52" t="n">
        <f aca="false">MAX(H2352,G2352)</f>
        <v>149.18</v>
      </c>
      <c r="J2352" s="4" t="str">
        <f aca="false">IFERROR("PN"&amp;SMALL(PN_list,COUNTIF(PN_list,"&lt;"&amp;I2352*bar_per_m)+1),"&gt; max PN")</f>
        <v>PN16</v>
      </c>
      <c r="K2352" s="4" t="str">
        <f aca="false">IF(L2352="no","end at tank",IF(H2352&lt;0,"NEGATIVE",IF(H2352&lt;p_min-0.005,"low","OK")))</f>
        <v>OK</v>
      </c>
      <c r="L2352" s="4" t="s">
        <v>414</v>
      </c>
    </row>
    <row r="2353" customFormat="false" ht="15" hidden="false" customHeight="false" outlineLevel="0" collapsed="false">
      <c r="A2353" s="4" t="s">
        <v>46</v>
      </c>
      <c r="B2353" s="4" t="s">
        <v>396</v>
      </c>
      <c r="C2353" s="47" t="n">
        <v>2489.66</v>
      </c>
      <c r="D2353" s="48" t="n">
        <v>1552.01</v>
      </c>
      <c r="E2353" s="49" t="n">
        <f aca="false">D2353-cover</f>
        <v>1550.81</v>
      </c>
      <c r="F2353" s="50" t="n">
        <f aca="false">'Z7 Uhuru-Chapwa'!S14-'Z7 Uhuru-Chapwa'!P14*C2353/'Z7 Uhuru-Chapwa'!G14</f>
        <v>1654.34165156927</v>
      </c>
      <c r="G2353" s="51" t="n">
        <f aca="false">'Z7 Uhuru-Chapwa'!$B$8-E2353</f>
        <v>151.49</v>
      </c>
      <c r="H2353" s="52" t="n">
        <f aca="false">F2353-E2353</f>
        <v>103.531651569269</v>
      </c>
      <c r="I2353" s="52" t="n">
        <f aca="false">MAX(H2353,G2353)</f>
        <v>151.49</v>
      </c>
      <c r="J2353" s="4" t="str">
        <f aca="false">IFERROR("PN"&amp;SMALL(PN_list,COUNTIF(PN_list,"&lt;"&amp;I2353*bar_per_m)+1),"&gt; max PN")</f>
        <v>PN16</v>
      </c>
      <c r="K2353" s="4" t="str">
        <f aca="false">IF(L2353="no","end at tank",IF(H2353&lt;0,"NEGATIVE",IF(H2353&lt;p_min-0.005,"low","OK")))</f>
        <v>OK</v>
      </c>
      <c r="L2353" s="4" t="s">
        <v>414</v>
      </c>
    </row>
    <row r="2354" customFormat="false" ht="15" hidden="false" customHeight="false" outlineLevel="0" collapsed="false">
      <c r="A2354" s="4" t="s">
        <v>46</v>
      </c>
      <c r="B2354" s="4" t="s">
        <v>396</v>
      </c>
      <c r="C2354" s="47" t="n">
        <v>2538.5</v>
      </c>
      <c r="D2354" s="48" t="n">
        <v>1546.35</v>
      </c>
      <c r="E2354" s="49" t="n">
        <f aca="false">D2354-cover</f>
        <v>1545.15</v>
      </c>
      <c r="F2354" s="50" t="n">
        <f aca="false">'Z7 Uhuru-Chapwa'!S14-'Z7 Uhuru-Chapwa'!P14*C2354/'Z7 Uhuru-Chapwa'!G14</f>
        <v>1653.69615381749</v>
      </c>
      <c r="G2354" s="51" t="n">
        <f aca="false">'Z7 Uhuru-Chapwa'!$B$8-E2354</f>
        <v>157.15</v>
      </c>
      <c r="H2354" s="52" t="n">
        <f aca="false">F2354-E2354</f>
        <v>108.546153817488</v>
      </c>
      <c r="I2354" s="52" t="n">
        <f aca="false">MAX(H2354,G2354)</f>
        <v>157.15</v>
      </c>
      <c r="J2354" s="4" t="str">
        <f aca="false">IFERROR("PN"&amp;SMALL(PN_list,COUNTIF(PN_list,"&lt;"&amp;I2354*bar_per_m)+1),"&gt; max PN")</f>
        <v>PN16</v>
      </c>
      <c r="K2354" s="4" t="str">
        <f aca="false">IF(L2354="no","end at tank",IF(H2354&lt;0,"NEGATIVE",IF(H2354&lt;p_min-0.005,"low","OK")))</f>
        <v>OK</v>
      </c>
      <c r="L2354" s="4" t="s">
        <v>414</v>
      </c>
    </row>
    <row r="2355" customFormat="false" ht="15" hidden="false" customHeight="false" outlineLevel="0" collapsed="false">
      <c r="A2355" s="4" t="s">
        <v>46</v>
      </c>
      <c r="B2355" s="4" t="s">
        <v>396</v>
      </c>
      <c r="C2355" s="47" t="n">
        <v>2586.9</v>
      </c>
      <c r="D2355" s="48" t="n">
        <v>1542.67</v>
      </c>
      <c r="E2355" s="49" t="n">
        <f aca="false">D2355-cover</f>
        <v>1541.47</v>
      </c>
      <c r="F2355" s="50" t="n">
        <f aca="false">'Z7 Uhuru-Chapwa'!S14-'Z7 Uhuru-Chapwa'!P14*C2355/'Z7 Uhuru-Chapwa'!G14</f>
        <v>1653.05647136077</v>
      </c>
      <c r="G2355" s="51" t="n">
        <f aca="false">'Z7 Uhuru-Chapwa'!$B$8-E2355</f>
        <v>160.83</v>
      </c>
      <c r="H2355" s="52" t="n">
        <f aca="false">F2355-E2355</f>
        <v>111.586471360767</v>
      </c>
      <c r="I2355" s="52" t="n">
        <f aca="false">MAX(H2355,G2355)</f>
        <v>160.83</v>
      </c>
      <c r="J2355" s="4" t="str">
        <f aca="false">IFERROR("PN"&amp;SMALL(PN_list,COUNTIF(PN_list,"&lt;"&amp;I2355*bar_per_m)+1),"&gt; max PN")</f>
        <v>PN16</v>
      </c>
      <c r="K2355" s="4" t="str">
        <f aca="false">IF(L2355="no","end at tank",IF(H2355&lt;0,"NEGATIVE",IF(H2355&lt;p_min-0.005,"low","OK")))</f>
        <v>OK</v>
      </c>
      <c r="L2355" s="4" t="s">
        <v>414</v>
      </c>
    </row>
    <row r="2356" customFormat="false" ht="15" hidden="false" customHeight="false" outlineLevel="0" collapsed="false">
      <c r="A2356" s="4" t="s">
        <v>46</v>
      </c>
      <c r="B2356" s="4" t="s">
        <v>396</v>
      </c>
      <c r="C2356" s="47" t="n">
        <v>2637.44</v>
      </c>
      <c r="D2356" s="48" t="n">
        <v>1536.03</v>
      </c>
      <c r="E2356" s="49" t="n">
        <f aca="false">D2356-cover</f>
        <v>1534.83</v>
      </c>
      <c r="F2356" s="50" t="n">
        <f aca="false">'Z7 Uhuru-Chapwa'!S14-'Z7 Uhuru-Chapwa'!P14*C2356/'Z7 Uhuru-Chapwa'!G14</f>
        <v>1652.38850542352</v>
      </c>
      <c r="G2356" s="51" t="n">
        <f aca="false">'Z7 Uhuru-Chapwa'!$B$8-E2356</f>
        <v>167.47</v>
      </c>
      <c r="H2356" s="52" t="n">
        <f aca="false">F2356-E2356</f>
        <v>117.558505423523</v>
      </c>
      <c r="I2356" s="52" t="n">
        <f aca="false">MAX(H2356,G2356)</f>
        <v>167.47</v>
      </c>
      <c r="J2356" s="4" t="str">
        <f aca="false">IFERROR("PN"&amp;SMALL(PN_list,COUNTIF(PN_list,"&lt;"&amp;I2356*bar_per_m)+1),"&gt; max PN")</f>
        <v>PN25</v>
      </c>
      <c r="K2356" s="4" t="str">
        <f aca="false">IF(L2356="no","end at tank",IF(H2356&lt;0,"NEGATIVE",IF(H2356&lt;p_min-0.005,"low","OK")))</f>
        <v>OK</v>
      </c>
      <c r="L2356" s="4" t="s">
        <v>414</v>
      </c>
    </row>
    <row r="2357" customFormat="false" ht="15" hidden="false" customHeight="false" outlineLevel="0" collapsed="false">
      <c r="A2357" s="4" t="s">
        <v>46</v>
      </c>
      <c r="B2357" s="4" t="s">
        <v>396</v>
      </c>
      <c r="C2357" s="47" t="n">
        <v>2687.71</v>
      </c>
      <c r="D2357" s="48" t="n">
        <v>1530.88</v>
      </c>
      <c r="E2357" s="49" t="n">
        <f aca="false">D2357-cover</f>
        <v>1529.68</v>
      </c>
      <c r="F2357" s="50" t="n">
        <f aca="false">'Z7 Uhuru-Chapwa'!S14-'Z7 Uhuru-Chapwa'!P14*C2357/'Z7 Uhuru-Chapwa'!G14</f>
        <v>1651.72410796279</v>
      </c>
      <c r="G2357" s="51" t="n">
        <f aca="false">'Z7 Uhuru-Chapwa'!$B$8-E2357</f>
        <v>172.62</v>
      </c>
      <c r="H2357" s="52" t="n">
        <f aca="false">F2357-E2357</f>
        <v>122.044107962792</v>
      </c>
      <c r="I2357" s="52" t="n">
        <f aca="false">MAX(H2357,G2357)</f>
        <v>172.62</v>
      </c>
      <c r="J2357" s="4" t="str">
        <f aca="false">IFERROR("PN"&amp;SMALL(PN_list,COUNTIF(PN_list,"&lt;"&amp;I2357*bar_per_m)+1),"&gt; max PN")</f>
        <v>PN25</v>
      </c>
      <c r="K2357" s="4" t="str">
        <f aca="false">IF(L2357="no","end at tank",IF(H2357&lt;0,"NEGATIVE",IF(H2357&lt;p_min-0.005,"low","OK")))</f>
        <v>OK</v>
      </c>
      <c r="L2357" s="4" t="s">
        <v>414</v>
      </c>
    </row>
    <row r="2358" customFormat="false" ht="15" hidden="false" customHeight="false" outlineLevel="0" collapsed="false">
      <c r="A2358" s="4" t="s">
        <v>46</v>
      </c>
      <c r="B2358" s="4" t="s">
        <v>396</v>
      </c>
      <c r="C2358" s="47" t="n">
        <v>2737.56</v>
      </c>
      <c r="D2358" s="48" t="n">
        <v>1525.37</v>
      </c>
      <c r="E2358" s="49" t="n">
        <f aca="false">D2358-cover</f>
        <v>1524.17</v>
      </c>
      <c r="F2358" s="50" t="n">
        <f aca="false">'Z7 Uhuru-Chapwa'!S14-'Z7 Uhuru-Chapwa'!P14*C2358/'Z7 Uhuru-Chapwa'!G14</f>
        <v>1651.06526146553</v>
      </c>
      <c r="G2358" s="51" t="n">
        <f aca="false">'Z7 Uhuru-Chapwa'!$B$8-E2358</f>
        <v>178.13</v>
      </c>
      <c r="H2358" s="52" t="n">
        <f aca="false">F2358-E2358</f>
        <v>126.89526146553</v>
      </c>
      <c r="I2358" s="52" t="n">
        <f aca="false">MAX(H2358,G2358)</f>
        <v>178.13</v>
      </c>
      <c r="J2358" s="4" t="str">
        <f aca="false">IFERROR("PN"&amp;SMALL(PN_list,COUNTIF(PN_list,"&lt;"&amp;I2358*bar_per_m)+1),"&gt; max PN")</f>
        <v>PN25</v>
      </c>
      <c r="K2358" s="4" t="str">
        <f aca="false">IF(L2358="no","end at tank",IF(H2358&lt;0,"NEGATIVE",IF(H2358&lt;p_min-0.005,"low","OK")))</f>
        <v>OK</v>
      </c>
      <c r="L2358" s="4" t="s">
        <v>414</v>
      </c>
    </row>
    <row r="2359" customFormat="false" ht="15" hidden="false" customHeight="false" outlineLevel="0" collapsed="false">
      <c r="A2359" s="4" t="s">
        <v>46</v>
      </c>
      <c r="B2359" s="4" t="s">
        <v>396</v>
      </c>
      <c r="C2359" s="47" t="n">
        <v>2781.84</v>
      </c>
      <c r="D2359" s="48" t="n">
        <v>1523.93</v>
      </c>
      <c r="E2359" s="49" t="n">
        <f aca="false">D2359-cover</f>
        <v>1522.73</v>
      </c>
      <c r="F2359" s="50" t="n">
        <f aca="false">'Z7 Uhuru-Chapwa'!S14-'Z7 Uhuru-Chapwa'!P14*C2359/'Z7 Uhuru-Chapwa'!G14</f>
        <v>1650.48003131711</v>
      </c>
      <c r="G2359" s="51" t="n">
        <f aca="false">'Z7 Uhuru-Chapwa'!$B$8-E2359</f>
        <v>179.57</v>
      </c>
      <c r="H2359" s="52" t="n">
        <f aca="false">F2359-E2359</f>
        <v>127.750031317109</v>
      </c>
      <c r="I2359" s="52" t="n">
        <f aca="false">MAX(H2359,G2359)</f>
        <v>179.57</v>
      </c>
      <c r="J2359" s="4" t="str">
        <f aca="false">IFERROR("PN"&amp;SMALL(PN_list,COUNTIF(PN_list,"&lt;"&amp;I2359*bar_per_m)+1),"&gt; max PN")</f>
        <v>PN25</v>
      </c>
      <c r="K2359" s="4" t="str">
        <f aca="false">IF(L2359="no","end at tank",IF(H2359&lt;0,"NEGATIVE",IF(H2359&lt;p_min-0.005,"low","OK")))</f>
        <v>OK</v>
      </c>
      <c r="L2359" s="4" t="s">
        <v>414</v>
      </c>
    </row>
    <row r="2360" customFormat="false" ht="15" hidden="false" customHeight="false" outlineLevel="0" collapsed="false">
      <c r="A2360" s="4" t="s">
        <v>46</v>
      </c>
      <c r="B2360" s="4" t="s">
        <v>396</v>
      </c>
      <c r="C2360" s="47" t="n">
        <v>2790.5</v>
      </c>
      <c r="D2360" s="48" t="n">
        <v>1523.81</v>
      </c>
      <c r="E2360" s="49" t="n">
        <f aca="false">D2360-cover</f>
        <v>1522.61</v>
      </c>
      <c r="F2360" s="50" t="n">
        <f aca="false">'Z7 Uhuru-Chapwa'!S14-'Z7 Uhuru-Chapwa'!P14*C2360/'Z7 Uhuru-Chapwa'!G14</f>
        <v>1650.36557573704</v>
      </c>
      <c r="G2360" s="51" t="n">
        <f aca="false">'Z7 Uhuru-Chapwa'!$B$8-E2360</f>
        <v>179.69</v>
      </c>
      <c r="H2360" s="52" t="n">
        <f aca="false">F2360-E2360</f>
        <v>127.755575737043</v>
      </c>
      <c r="I2360" s="52" t="n">
        <f aca="false">MAX(H2360,G2360)</f>
        <v>179.69</v>
      </c>
      <c r="J2360" s="4" t="str">
        <f aca="false">IFERROR("PN"&amp;SMALL(PN_list,COUNTIF(PN_list,"&lt;"&amp;I2360*bar_per_m)+1),"&gt; max PN")</f>
        <v>PN25</v>
      </c>
      <c r="K2360" s="4" t="str">
        <f aca="false">IF(L2360="no","end at tank",IF(H2360&lt;0,"NEGATIVE",IF(H2360&lt;p_min-0.005,"low","OK")))</f>
        <v>end at tank</v>
      </c>
      <c r="L2360" s="4" t="s">
        <v>413</v>
      </c>
    </row>
  </sheetData>
  <autoFilter ref="A4:L23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2026-10-23T09:09:36Z</dcterms:created>
  <dc:creator>openpyxl</dc:creator>
  <dc:description/>
  <dc:language>en-US</dc:language>
  <cp:lastModifiedBy/>
  <dcterms:modified xsi:type="dcterms:W3CDTF">2026-10-23T09:09:37Z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